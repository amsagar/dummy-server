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mc:AlternateContent xmlns:mc="http://schemas.openxmlformats.org/markup-compatibility/2006">
    <mc:Choice Requires="x15">
      <x15ac:absPath xmlns:x15ac="http://schemas.microsoft.com/office/spreadsheetml/2010/11/ac" url="https://pods-my.sharepoint.com/personal/dligas_pods_com/Documents/"/>
    </mc:Choice>
  </mc:AlternateContent>
  <xr:revisionPtr revIDLastSave="0" documentId="8_{299B857F-721B-456E-B4CD-D995C82A53DE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Enriched Data" sheetId="1" r:id="rId1"/>
    <sheet name="Sheet1" sheetId="3" r:id="rId2"/>
    <sheet name="Pivot Table" sheetId="2" r:id="rId3"/>
    <sheet name="sql" sheetId="4" r:id="rId4"/>
    <sheet name="Pareto Analysis" sheetId="5" r:id="rId5"/>
  </sheets>
  <definedNames>
    <definedName name="_xlnm._FilterDatabase" localSheetId="0" hidden="1">'Enriched Data'!#REF!</definedName>
  </definedNames>
  <calcPr calcId="191028"/>
  <pivotCaches>
    <pivotCache cacheId="3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B4" i="5" a="1"/>
  <c r="B4" i="5" s="1"/>
  <c r="C4" i="5" a="1"/>
  <c r="C4" i="5" s="1"/>
  <c r="A5" i="5"/>
  <c r="A6" i="5" s="1"/>
  <c r="B5" i="5" a="1"/>
  <c r="B5" i="5" s="1"/>
  <c r="C5" i="5" a="1"/>
  <c r="C5" i="5" s="1"/>
  <c r="C3" i="5" a="1"/>
  <c r="C3" i="5" s="1"/>
  <c r="B3" i="5" a="1"/>
  <c r="B3" i="5" s="1"/>
  <c r="A3" i="5"/>
  <c r="C2" i="5"/>
  <c r="D2" i="5" s="1"/>
  <c r="B2" i="5"/>
  <c r="F2" i="5"/>
  <c r="I3" i="5" s="1"/>
  <c r="D3" i="5" l="1"/>
  <c r="E3" i="5" s="1"/>
  <c r="E2" i="5"/>
  <c r="I2" i="5"/>
  <c r="C6" i="5" a="1"/>
  <c r="C6" i="5" s="1"/>
  <c r="A7" i="5"/>
  <c r="B6" i="5" a="1"/>
  <c r="B6" i="5" s="1"/>
  <c r="D4" i="5" l="1"/>
  <c r="E4" i="5" s="1"/>
  <c r="B7" i="5" a="1"/>
  <c r="B7" i="5" s="1"/>
  <c r="C7" i="5" a="1"/>
  <c r="C7" i="5" s="1"/>
  <c r="A8" i="5"/>
  <c r="D5" i="5" l="1"/>
  <c r="A9" i="5"/>
  <c r="B8" i="5" a="1"/>
  <c r="B8" i="5" s="1"/>
  <c r="C8" i="5" a="1"/>
  <c r="C8" i="5" s="1"/>
  <c r="E5" i="5" l="1"/>
  <c r="D6" i="5"/>
  <c r="C9" i="5" a="1"/>
  <c r="C9" i="5" s="1"/>
  <c r="A10" i="5"/>
  <c r="B9" i="5" a="1"/>
  <c r="B9" i="5" s="1"/>
  <c r="E6" i="5" l="1"/>
  <c r="D7" i="5"/>
  <c r="A11" i="5"/>
  <c r="B10" i="5" a="1"/>
  <c r="B10" i="5" s="1"/>
  <c r="C10" i="5" a="1"/>
  <c r="C10" i="5" s="1"/>
  <c r="E7" i="5" l="1"/>
  <c r="D8" i="5"/>
  <c r="B11" i="5" a="1"/>
  <c r="B11" i="5" s="1"/>
  <c r="C11" i="5" a="1"/>
  <c r="C11" i="5" s="1"/>
  <c r="A12" i="5"/>
  <c r="E8" i="5" l="1"/>
  <c r="D9" i="5"/>
  <c r="B12" i="5" a="1"/>
  <c r="B12" i="5" s="1"/>
  <c r="C12" i="5" a="1"/>
  <c r="C12" i="5" s="1"/>
  <c r="A13" i="5"/>
  <c r="E9" i="5" l="1"/>
  <c r="D10" i="5"/>
  <c r="B13" i="5" a="1"/>
  <c r="B13" i="5" s="1"/>
  <c r="A14" i="5"/>
  <c r="C13" i="5" a="1"/>
  <c r="C13" i="5" s="1"/>
  <c r="E10" i="5" l="1"/>
  <c r="D11" i="5"/>
  <c r="B14" i="5" a="1"/>
  <c r="B14" i="5" s="1"/>
  <c r="C14" i="5" a="1"/>
  <c r="C14" i="5" s="1"/>
  <c r="A15" i="5"/>
  <c r="E11" i="5" l="1"/>
  <c r="D12" i="5"/>
  <c r="C15" i="5" a="1"/>
  <c r="C15" i="5" s="1"/>
  <c r="B15" i="5" a="1"/>
  <c r="B15" i="5" s="1"/>
  <c r="A16" i="5"/>
  <c r="E12" i="5" l="1"/>
  <c r="D13" i="5"/>
  <c r="B16" i="5" a="1"/>
  <c r="B16" i="5" s="1"/>
  <c r="C16" i="5" a="1"/>
  <c r="C16" i="5" s="1"/>
  <c r="A17" i="5"/>
  <c r="E13" i="5" l="1"/>
  <c r="D14" i="5"/>
  <c r="B17" i="5" a="1"/>
  <c r="B17" i="5" s="1"/>
  <c r="C17" i="5" a="1"/>
  <c r="C17" i="5" s="1"/>
  <c r="A18" i="5"/>
  <c r="E14" i="5" l="1"/>
  <c r="D15" i="5"/>
  <c r="B18" i="5" a="1"/>
  <c r="B18" i="5" s="1"/>
  <c r="C18" i="5" a="1"/>
  <c r="C18" i="5" s="1"/>
  <c r="A19" i="5"/>
  <c r="E15" i="5" l="1"/>
  <c r="D16" i="5"/>
  <c r="A20" i="5"/>
  <c r="B19" i="5" a="1"/>
  <c r="B19" i="5" s="1"/>
  <c r="C19" i="5" a="1"/>
  <c r="C19" i="5" s="1"/>
  <c r="E16" i="5" l="1"/>
  <c r="D17" i="5"/>
  <c r="B20" i="5" a="1"/>
  <c r="B20" i="5" s="1"/>
  <c r="C20" i="5" a="1"/>
  <c r="C20" i="5" s="1"/>
  <c r="A21" i="5"/>
  <c r="E17" i="5" l="1"/>
  <c r="D18" i="5"/>
  <c r="C21" i="5" a="1"/>
  <c r="C21" i="5" s="1"/>
  <c r="B21" i="5" a="1"/>
  <c r="B21" i="5" s="1"/>
  <c r="A22" i="5"/>
  <c r="E18" i="5" l="1"/>
  <c r="D19" i="5"/>
  <c r="C22" i="5" a="1"/>
  <c r="C22" i="5" s="1"/>
  <c r="A23" i="5"/>
  <c r="B22" i="5" a="1"/>
  <c r="B22" i="5" s="1"/>
  <c r="E19" i="5" l="1"/>
  <c r="D20" i="5"/>
  <c r="B23" i="5" a="1"/>
  <c r="B23" i="5" s="1"/>
  <c r="C23" i="5" a="1"/>
  <c r="C23" i="5" s="1"/>
  <c r="A24" i="5"/>
  <c r="E20" i="5" l="1"/>
  <c r="D21" i="5"/>
  <c r="A25" i="5"/>
  <c r="B24" i="5" a="1"/>
  <c r="B24" i="5" s="1"/>
  <c r="C24" i="5" a="1"/>
  <c r="C24" i="5" s="1"/>
  <c r="E21" i="5" l="1"/>
  <c r="D22" i="5"/>
  <c r="C25" i="5" a="1"/>
  <c r="C25" i="5" s="1"/>
  <c r="A26" i="5"/>
  <c r="B25" i="5" a="1"/>
  <c r="B25" i="5" s="1"/>
  <c r="E22" i="5" l="1"/>
  <c r="D23" i="5"/>
  <c r="A27" i="5"/>
  <c r="B26" i="5" a="1"/>
  <c r="B26" i="5" s="1"/>
  <c r="C26" i="5" a="1"/>
  <c r="C26" i="5" s="1"/>
  <c r="E23" i="5" l="1"/>
  <c r="D24" i="5"/>
  <c r="B27" i="5" a="1"/>
  <c r="B27" i="5" s="1"/>
  <c r="C27" i="5" a="1"/>
  <c r="C27" i="5" s="1"/>
  <c r="A28" i="5"/>
  <c r="E24" i="5" l="1"/>
  <c r="D25" i="5"/>
  <c r="B28" i="5" a="1"/>
  <c r="B28" i="5" s="1"/>
  <c r="C28" i="5" a="1"/>
  <c r="C28" i="5" s="1"/>
  <c r="A29" i="5"/>
  <c r="E25" i="5" l="1"/>
  <c r="D26" i="5"/>
  <c r="B29" i="5" a="1"/>
  <c r="B29" i="5" s="1"/>
  <c r="A30" i="5"/>
  <c r="C29" i="5" a="1"/>
  <c r="C29" i="5" s="1"/>
  <c r="E26" i="5" l="1"/>
  <c r="D27" i="5"/>
  <c r="B30" i="5" a="1"/>
  <c r="B30" i="5" s="1"/>
  <c r="C30" i="5" a="1"/>
  <c r="C30" i="5" s="1"/>
  <c r="A31" i="5"/>
  <c r="E27" i="5" l="1"/>
  <c r="D28" i="5"/>
  <c r="C31" i="5" a="1"/>
  <c r="C31" i="5" s="1"/>
  <c r="B31" i="5" a="1"/>
  <c r="B31" i="5" s="1"/>
  <c r="A32" i="5"/>
  <c r="E28" i="5" l="1"/>
  <c r="D29" i="5"/>
  <c r="B32" i="5" a="1"/>
  <c r="B32" i="5" s="1"/>
  <c r="C32" i="5" a="1"/>
  <c r="C32" i="5" s="1"/>
  <c r="A33" i="5"/>
  <c r="E29" i="5" l="1"/>
  <c r="D30" i="5"/>
  <c r="B33" i="5" a="1"/>
  <c r="B33" i="5" s="1"/>
  <c r="C33" i="5" a="1"/>
  <c r="C33" i="5" s="1"/>
  <c r="A34" i="5"/>
  <c r="E30" i="5" l="1"/>
  <c r="D31" i="5"/>
  <c r="B34" i="5" a="1"/>
  <c r="B34" i="5" s="1"/>
  <c r="C34" i="5" a="1"/>
  <c r="C34" i="5" s="1"/>
  <c r="A35" i="5"/>
  <c r="E31" i="5" l="1"/>
  <c r="D32" i="5"/>
  <c r="A36" i="5"/>
  <c r="B35" i="5" a="1"/>
  <c r="B35" i="5" s="1"/>
  <c r="C35" i="5" a="1"/>
  <c r="C35" i="5" s="1"/>
  <c r="E32" i="5" l="1"/>
  <c r="D33" i="5"/>
  <c r="B36" i="5" a="1"/>
  <c r="B36" i="5" s="1"/>
  <c r="C36" i="5" a="1"/>
  <c r="C36" i="5" s="1"/>
  <c r="A37" i="5"/>
  <c r="E33" i="5" l="1"/>
  <c r="D34" i="5"/>
  <c r="C37" i="5" a="1"/>
  <c r="C37" i="5" s="1"/>
  <c r="A38" i="5"/>
  <c r="B37" i="5" a="1"/>
  <c r="B37" i="5" s="1"/>
  <c r="E34" i="5" l="1"/>
  <c r="D35" i="5"/>
  <c r="C38" i="5" a="1"/>
  <c r="C38" i="5" s="1"/>
  <c r="A39" i="5"/>
  <c r="B38" i="5" a="1"/>
  <c r="B38" i="5" s="1"/>
  <c r="E35" i="5" l="1"/>
  <c r="D36" i="5"/>
  <c r="B39" i="5" a="1"/>
  <c r="B39" i="5" s="1"/>
  <c r="C39" i="5" a="1"/>
  <c r="C39" i="5" s="1"/>
  <c r="A40" i="5"/>
  <c r="E36" i="5" l="1"/>
  <c r="D37" i="5"/>
  <c r="A41" i="5"/>
  <c r="B40" i="5" a="1"/>
  <c r="B40" i="5" s="1"/>
  <c r="C40" i="5" a="1"/>
  <c r="C40" i="5" s="1"/>
  <c r="E37" i="5" l="1"/>
  <c r="D38" i="5"/>
  <c r="C41" i="5" a="1"/>
  <c r="C41" i="5" s="1"/>
  <c r="A42" i="5"/>
  <c r="B41" i="5" a="1"/>
  <c r="B41" i="5" s="1"/>
  <c r="E38" i="5" l="1"/>
  <c r="D39" i="5"/>
  <c r="A43" i="5"/>
  <c r="B42" i="5" a="1"/>
  <c r="B42" i="5" s="1"/>
  <c r="C42" i="5" a="1"/>
  <c r="C42" i="5" s="1"/>
  <c r="E39" i="5" l="1"/>
  <c r="D40" i="5"/>
  <c r="C43" i="5" a="1"/>
  <c r="C43" i="5" s="1"/>
  <c r="A44" i="5"/>
  <c r="B43" i="5" a="1"/>
  <c r="B43" i="5" s="1"/>
  <c r="E40" i="5" l="1"/>
  <c r="D41" i="5"/>
  <c r="B44" i="5" a="1"/>
  <c r="B44" i="5" s="1"/>
  <c r="C44" i="5" a="1"/>
  <c r="C44" i="5" s="1"/>
  <c r="A45" i="5"/>
  <c r="E41" i="5" l="1"/>
  <c r="D42" i="5"/>
  <c r="B45" i="5" a="1"/>
  <c r="B45" i="5" s="1"/>
  <c r="A46" i="5"/>
  <c r="C45" i="5" a="1"/>
  <c r="C45" i="5" s="1"/>
  <c r="E42" i="5" l="1"/>
  <c r="D43" i="5"/>
  <c r="B46" i="5" a="1"/>
  <c r="B46" i="5" s="1"/>
  <c r="C46" i="5" a="1"/>
  <c r="C46" i="5" s="1"/>
  <c r="A47" i="5"/>
  <c r="E43" i="5" l="1"/>
  <c r="D44" i="5"/>
  <c r="C47" i="5" a="1"/>
  <c r="C47" i="5" s="1"/>
  <c r="A48" i="5"/>
  <c r="B47" i="5" a="1"/>
  <c r="B47" i="5" s="1"/>
  <c r="E44" i="5" l="1"/>
  <c r="D45" i="5"/>
  <c r="B48" i="5" a="1"/>
  <c r="B48" i="5" s="1"/>
  <c r="C48" i="5" a="1"/>
  <c r="C48" i="5" s="1"/>
  <c r="A49" i="5"/>
  <c r="E45" i="5" l="1"/>
  <c r="D46" i="5"/>
  <c r="B49" i="5" a="1"/>
  <c r="B49" i="5" s="1"/>
  <c r="A50" i="5"/>
  <c r="C49" i="5" a="1"/>
  <c r="C49" i="5" s="1"/>
  <c r="E46" i="5" l="1"/>
  <c r="D47" i="5"/>
  <c r="B50" i="5" a="1"/>
  <c r="B50" i="5" s="1"/>
  <c r="C50" i="5" a="1"/>
  <c r="C50" i="5" s="1"/>
  <c r="A51" i="5"/>
  <c r="E47" i="5" l="1"/>
  <c r="D48" i="5"/>
  <c r="A52" i="5"/>
  <c r="B51" i="5" a="1"/>
  <c r="B51" i="5" s="1"/>
  <c r="C51" i="5" a="1"/>
  <c r="C51" i="5" s="1"/>
  <c r="E48" i="5" l="1"/>
  <c r="D49" i="5"/>
  <c r="B52" i="5" a="1"/>
  <c r="B52" i="5" s="1"/>
  <c r="C52" i="5" a="1"/>
  <c r="C52" i="5" s="1"/>
  <c r="A53" i="5"/>
  <c r="E49" i="5" l="1"/>
  <c r="D50" i="5"/>
  <c r="C53" i="5" a="1"/>
  <c r="C53" i="5" s="1"/>
  <c r="A54" i="5"/>
  <c r="B53" i="5" a="1"/>
  <c r="B53" i="5" s="1"/>
  <c r="E50" i="5" l="1"/>
  <c r="D51" i="5"/>
  <c r="C54" i="5" a="1"/>
  <c r="C54" i="5" s="1"/>
  <c r="A55" i="5"/>
  <c r="B54" i="5" a="1"/>
  <c r="B54" i="5" s="1"/>
  <c r="E51" i="5" l="1"/>
  <c r="D52" i="5"/>
  <c r="B55" i="5" a="1"/>
  <c r="B55" i="5" s="1"/>
  <c r="A56" i="5"/>
  <c r="C55" i="5" a="1"/>
  <c r="C55" i="5" s="1"/>
  <c r="E52" i="5" l="1"/>
  <c r="D53" i="5"/>
  <c r="A57" i="5"/>
  <c r="B56" i="5" a="1"/>
  <c r="B56" i="5" s="1"/>
  <c r="C56" i="5" a="1"/>
  <c r="C56" i="5" s="1"/>
  <c r="E53" i="5" l="1"/>
  <c r="D54" i="5"/>
  <c r="C57" i="5" a="1"/>
  <c r="C57" i="5" s="1"/>
  <c r="B57" i="5" a="1"/>
  <c r="B57" i="5" s="1"/>
  <c r="A58" i="5"/>
  <c r="E54" i="5" l="1"/>
  <c r="D55" i="5"/>
  <c r="A59" i="5"/>
  <c r="B58" i="5" a="1"/>
  <c r="B58" i="5" s="1"/>
  <c r="C58" i="5" a="1"/>
  <c r="C58" i="5" s="1"/>
  <c r="E55" i="5" l="1"/>
  <c r="D56" i="5"/>
  <c r="B59" i="5" a="1"/>
  <c r="B59" i="5" s="1"/>
  <c r="C59" i="5" a="1"/>
  <c r="C59" i="5" s="1"/>
  <c r="A60" i="5"/>
  <c r="E56" i="5" l="1"/>
  <c r="D57" i="5"/>
  <c r="B60" i="5" a="1"/>
  <c r="B60" i="5" s="1"/>
  <c r="C60" i="5" a="1"/>
  <c r="C60" i="5" s="1"/>
  <c r="A61" i="5"/>
  <c r="E57" i="5" l="1"/>
  <c r="D58" i="5"/>
  <c r="B61" i="5" a="1"/>
  <c r="B61" i="5" s="1"/>
  <c r="A62" i="5"/>
  <c r="C61" i="5" a="1"/>
  <c r="C61" i="5" s="1"/>
  <c r="E58" i="5" l="1"/>
  <c r="D59" i="5"/>
  <c r="B62" i="5" a="1"/>
  <c r="B62" i="5" s="1"/>
  <c r="C62" i="5" a="1"/>
  <c r="C62" i="5" s="1"/>
  <c r="A63" i="5"/>
  <c r="E59" i="5" l="1"/>
  <c r="D60" i="5"/>
  <c r="C63" i="5" a="1"/>
  <c r="C63" i="5" s="1"/>
  <c r="A64" i="5"/>
  <c r="B63" i="5" a="1"/>
  <c r="B63" i="5" s="1"/>
  <c r="E60" i="5" l="1"/>
  <c r="D61" i="5"/>
  <c r="B64" i="5" a="1"/>
  <c r="B64" i="5" s="1"/>
  <c r="C64" i="5" a="1"/>
  <c r="C64" i="5" s="1"/>
  <c r="A65" i="5"/>
  <c r="E61" i="5" l="1"/>
  <c r="D62" i="5"/>
  <c r="B65" i="5" a="1"/>
  <c r="B65" i="5" s="1"/>
  <c r="C65" i="5" a="1"/>
  <c r="C65" i="5" s="1"/>
  <c r="A66" i="5"/>
  <c r="E62" i="5" l="1"/>
  <c r="D63" i="5"/>
  <c r="B66" i="5" a="1"/>
  <c r="B66" i="5" s="1"/>
  <c r="A67" i="5"/>
  <c r="C66" i="5" a="1"/>
  <c r="C66" i="5" s="1"/>
  <c r="E63" i="5" l="1"/>
  <c r="D64" i="5"/>
  <c r="A68" i="5"/>
  <c r="B67" i="5" a="1"/>
  <c r="B67" i="5" s="1"/>
  <c r="C67" i="5" a="1"/>
  <c r="C67" i="5" s="1"/>
  <c r="E64" i="5" l="1"/>
  <c r="D65" i="5"/>
  <c r="B68" i="5" a="1"/>
  <c r="B68" i="5" s="1"/>
  <c r="C68" i="5" a="1"/>
  <c r="C68" i="5" s="1"/>
  <c r="A69" i="5"/>
  <c r="E65" i="5" l="1"/>
  <c r="D66" i="5"/>
  <c r="B69" i="5" a="1"/>
  <c r="B69" i="5" s="1"/>
  <c r="C69" i="5" a="1"/>
  <c r="C69" i="5" s="1"/>
  <c r="A70" i="5"/>
  <c r="E66" i="5" l="1"/>
  <c r="D67" i="5"/>
  <c r="C70" i="5" a="1"/>
  <c r="C70" i="5" s="1"/>
  <c r="B70" i="5" a="1"/>
  <c r="B70" i="5" s="1"/>
  <c r="A71" i="5"/>
  <c r="E67" i="5" l="1"/>
  <c r="D68" i="5"/>
  <c r="B71" i="5" a="1"/>
  <c r="B71" i="5" s="1"/>
  <c r="C71" i="5" a="1"/>
  <c r="C71" i="5" s="1"/>
  <c r="A72" i="5"/>
  <c r="E68" i="5" l="1"/>
  <c r="D69" i="5"/>
  <c r="A73" i="5"/>
  <c r="B72" i="5" a="1"/>
  <c r="B72" i="5" s="1"/>
  <c r="C72" i="5" a="1"/>
  <c r="C72" i="5" s="1"/>
  <c r="E69" i="5" l="1"/>
  <c r="D70" i="5"/>
  <c r="C73" i="5" a="1"/>
  <c r="C73" i="5" s="1"/>
  <c r="A74" i="5"/>
  <c r="B73" i="5" a="1"/>
  <c r="B73" i="5" s="1"/>
  <c r="E70" i="5" l="1"/>
  <c r="D71" i="5"/>
  <c r="A75" i="5"/>
  <c r="B74" i="5" a="1"/>
  <c r="B74" i="5" s="1"/>
  <c r="C74" i="5" a="1"/>
  <c r="C74" i="5" s="1"/>
  <c r="E71" i="5" l="1"/>
  <c r="D72" i="5"/>
  <c r="B75" i="5" a="1"/>
  <c r="B75" i="5" s="1"/>
  <c r="C75" i="5" a="1"/>
  <c r="C75" i="5" s="1"/>
  <c r="A76" i="5"/>
  <c r="E72" i="5" l="1"/>
  <c r="D73" i="5"/>
  <c r="B76" i="5" a="1"/>
  <c r="B76" i="5" s="1"/>
  <c r="C76" i="5" a="1"/>
  <c r="C76" i="5" s="1"/>
  <c r="A77" i="5"/>
  <c r="E73" i="5" l="1"/>
  <c r="D74" i="5"/>
  <c r="B77" i="5" a="1"/>
  <c r="B77" i="5" s="1"/>
  <c r="A78" i="5"/>
  <c r="C77" i="5" a="1"/>
  <c r="C77" i="5" s="1"/>
  <c r="E74" i="5" l="1"/>
  <c r="D75" i="5"/>
  <c r="C78" i="5" a="1"/>
  <c r="C78" i="5" s="1"/>
  <c r="A79" i="5"/>
  <c r="B78" i="5" a="1"/>
  <c r="B78" i="5" s="1"/>
  <c r="E75" i="5" l="1"/>
  <c r="D76" i="5"/>
  <c r="C79" i="5" a="1"/>
  <c r="C79" i="5" s="1"/>
  <c r="B79" i="5" a="1"/>
  <c r="B79" i="5" s="1"/>
  <c r="A80" i="5"/>
  <c r="E76" i="5" l="1"/>
  <c r="D77" i="5"/>
  <c r="A81" i="5"/>
  <c r="B80" i="5" a="1"/>
  <c r="B80" i="5" s="1"/>
  <c r="C80" i="5" a="1"/>
  <c r="C80" i="5" s="1"/>
  <c r="E77" i="5" l="1"/>
  <c r="D78" i="5"/>
  <c r="C81" i="5" a="1"/>
  <c r="C81" i="5" s="1"/>
  <c r="A82" i="5"/>
  <c r="B81" i="5" a="1"/>
  <c r="B81" i="5" s="1"/>
  <c r="E78" i="5" l="1"/>
  <c r="D79" i="5"/>
  <c r="B82" i="5" a="1"/>
  <c r="B82" i="5" s="1"/>
  <c r="A83" i="5"/>
  <c r="C82" i="5" a="1"/>
  <c r="C82" i="5" s="1"/>
  <c r="E79" i="5" l="1"/>
  <c r="D80" i="5"/>
  <c r="B83" i="5" a="1"/>
  <c r="B83" i="5" s="1"/>
  <c r="C83" i="5" a="1"/>
  <c r="C83" i="5" s="1"/>
  <c r="A84" i="5"/>
  <c r="E80" i="5" l="1"/>
  <c r="D81" i="5"/>
  <c r="C84" i="5" a="1"/>
  <c r="C84" i="5" s="1"/>
  <c r="A85" i="5"/>
  <c r="B84" i="5" a="1"/>
  <c r="B84" i="5" s="1"/>
  <c r="E81" i="5" l="1"/>
  <c r="D82" i="5"/>
  <c r="C85" i="5" a="1"/>
  <c r="C85" i="5" s="1"/>
  <c r="B85" i="5" a="1"/>
  <c r="B85" i="5" s="1"/>
  <c r="A86" i="5"/>
  <c r="E82" i="5" l="1"/>
  <c r="D83" i="5"/>
  <c r="B86" i="5" a="1"/>
  <c r="B86" i="5" s="1"/>
  <c r="C86" i="5" a="1"/>
  <c r="C86" i="5" s="1"/>
  <c r="A87" i="5"/>
  <c r="E83" i="5" l="1"/>
  <c r="D84" i="5"/>
  <c r="C87" i="5" a="1"/>
  <c r="C87" i="5" s="1"/>
  <c r="A88" i="5"/>
  <c r="B87" i="5" a="1"/>
  <c r="B87" i="5" s="1"/>
  <c r="E84" i="5" l="1"/>
  <c r="D85" i="5"/>
  <c r="A89" i="5"/>
  <c r="B88" i="5" a="1"/>
  <c r="B88" i="5" s="1"/>
  <c r="C88" i="5" a="1"/>
  <c r="C88" i="5" s="1"/>
  <c r="E85" i="5" l="1"/>
  <c r="D86" i="5"/>
  <c r="B89" i="5" a="1"/>
  <c r="B89" i="5" s="1"/>
  <c r="C89" i="5" a="1"/>
  <c r="C89" i="5" s="1"/>
  <c r="A90" i="5"/>
  <c r="E86" i="5" l="1"/>
  <c r="D87" i="5"/>
  <c r="B90" i="5" a="1"/>
  <c r="B90" i="5" s="1"/>
  <c r="C90" i="5" a="1"/>
  <c r="C90" i="5" s="1"/>
  <c r="A91" i="5"/>
  <c r="E87" i="5" l="1"/>
  <c r="D88" i="5"/>
  <c r="B91" i="5" a="1"/>
  <c r="B91" i="5" s="1"/>
  <c r="A92" i="5"/>
  <c r="C91" i="5" a="1"/>
  <c r="C91" i="5" s="1"/>
  <c r="E88" i="5" l="1"/>
  <c r="D89" i="5"/>
  <c r="B92" i="5" a="1"/>
  <c r="B92" i="5" s="1"/>
  <c r="C92" i="5" a="1"/>
  <c r="C92" i="5" s="1"/>
  <c r="A93" i="5"/>
  <c r="E89" i="5" l="1"/>
  <c r="D90" i="5"/>
  <c r="C93" i="5" a="1"/>
  <c r="C93" i="5" s="1"/>
  <c r="A94" i="5"/>
  <c r="B93" i="5" a="1"/>
  <c r="B93" i="5" s="1"/>
  <c r="E90" i="5" l="1"/>
  <c r="D91" i="5"/>
  <c r="C94" i="5" a="1"/>
  <c r="C94" i="5" s="1"/>
  <c r="A95" i="5"/>
  <c r="B94" i="5" a="1"/>
  <c r="B94" i="5" s="1"/>
  <c r="E91" i="5" l="1"/>
  <c r="D92" i="5"/>
  <c r="C95" i="5" a="1"/>
  <c r="C95" i="5" s="1"/>
  <c r="A96" i="5"/>
  <c r="B95" i="5" a="1"/>
  <c r="B95" i="5" s="1"/>
  <c r="E92" i="5" l="1"/>
  <c r="D93" i="5"/>
  <c r="A97" i="5"/>
  <c r="C96" i="5" a="1"/>
  <c r="C96" i="5" s="1"/>
  <c r="B96" i="5" a="1"/>
  <c r="B96" i="5" s="1"/>
  <c r="E93" i="5" l="1"/>
  <c r="D94" i="5"/>
  <c r="B97" i="5" a="1"/>
  <c r="B97" i="5" s="1"/>
  <c r="C97" i="5" a="1"/>
  <c r="C97" i="5" s="1"/>
  <c r="A98" i="5"/>
  <c r="E94" i="5" l="1"/>
  <c r="D95" i="5"/>
  <c r="B98" i="5" a="1"/>
  <c r="B98" i="5" s="1"/>
  <c r="A99" i="5"/>
  <c r="C98" i="5" a="1"/>
  <c r="C98" i="5" s="1"/>
  <c r="E95" i="5" l="1"/>
  <c r="D96" i="5"/>
  <c r="A100" i="5"/>
  <c r="B99" i="5" a="1"/>
  <c r="B99" i="5" s="1"/>
  <c r="C99" i="5" a="1"/>
  <c r="C99" i="5" s="1"/>
  <c r="E96" i="5" l="1"/>
  <c r="D97" i="5"/>
  <c r="C100" i="5" a="1"/>
  <c r="C100" i="5" s="1"/>
  <c r="B100" i="5" a="1"/>
  <c r="B100" i="5" s="1"/>
  <c r="A101" i="5"/>
  <c r="E97" i="5" l="1"/>
  <c r="D98" i="5"/>
  <c r="B101" i="5" a="1"/>
  <c r="B101" i="5" s="1"/>
  <c r="C101" i="5" a="1"/>
  <c r="C101" i="5" s="1"/>
  <c r="A102" i="5"/>
  <c r="E98" i="5" l="1"/>
  <c r="D99" i="5"/>
  <c r="A103" i="5"/>
  <c r="B102" i="5" a="1"/>
  <c r="B102" i="5" s="1"/>
  <c r="C102" i="5" a="1"/>
  <c r="C102" i="5" s="1"/>
  <c r="E99" i="5" l="1"/>
  <c r="D100" i="5"/>
  <c r="B103" i="5" a="1"/>
  <c r="B103" i="5" s="1"/>
  <c r="C103" i="5" a="1"/>
  <c r="C103" i="5" s="1"/>
  <c r="A104" i="5"/>
  <c r="E100" i="5" l="1"/>
  <c r="D101" i="5"/>
  <c r="B104" i="5" a="1"/>
  <c r="B104" i="5" s="1"/>
  <c r="C104" i="5" a="1"/>
  <c r="C104" i="5" s="1"/>
  <c r="A105" i="5"/>
  <c r="E101" i="5" l="1"/>
  <c r="D102" i="5"/>
  <c r="C105" i="5" a="1"/>
  <c r="C105" i="5" s="1"/>
  <c r="A106" i="5"/>
  <c r="B105" i="5" a="1"/>
  <c r="B105" i="5" s="1"/>
  <c r="E102" i="5" l="1"/>
  <c r="D103" i="5"/>
  <c r="B106" i="5" a="1"/>
  <c r="B106" i="5" s="1"/>
  <c r="C106" i="5" a="1"/>
  <c r="C106" i="5" s="1"/>
  <c r="A107" i="5"/>
  <c r="E103" i="5" l="1"/>
  <c r="D104" i="5"/>
  <c r="A108" i="5"/>
  <c r="B107" i="5" a="1"/>
  <c r="B107" i="5" s="1"/>
  <c r="C107" i="5" a="1"/>
  <c r="C107" i="5" s="1"/>
  <c r="E104" i="5" l="1"/>
  <c r="D105" i="5"/>
  <c r="B108" i="5" a="1"/>
  <c r="B108" i="5" s="1"/>
  <c r="C108" i="5" a="1"/>
  <c r="C108" i="5" s="1"/>
  <c r="A109" i="5"/>
  <c r="E105" i="5" l="1"/>
  <c r="D106" i="5"/>
  <c r="C109" i="5" a="1"/>
  <c r="C109" i="5" s="1"/>
  <c r="A110" i="5"/>
  <c r="B109" i="5" a="1"/>
  <c r="B109" i="5" s="1"/>
  <c r="E106" i="5" l="1"/>
  <c r="D107" i="5"/>
  <c r="C110" i="5" a="1"/>
  <c r="C110" i="5" s="1"/>
  <c r="A111" i="5"/>
  <c r="B110" i="5" a="1"/>
  <c r="B110" i="5" s="1"/>
  <c r="E107" i="5" l="1"/>
  <c r="D108" i="5"/>
  <c r="B111" i="5" a="1"/>
  <c r="B111" i="5" s="1"/>
  <c r="C111" i="5" a="1"/>
  <c r="C111" i="5" s="1"/>
  <c r="A112" i="5"/>
  <c r="E108" i="5" l="1"/>
  <c r="D109" i="5"/>
  <c r="A113" i="5"/>
  <c r="B112" i="5" a="1"/>
  <c r="B112" i="5" s="1"/>
  <c r="C112" i="5" a="1"/>
  <c r="C112" i="5" s="1"/>
  <c r="E109" i="5" l="1"/>
  <c r="D110" i="5"/>
  <c r="A114" i="5"/>
  <c r="B113" i="5" a="1"/>
  <c r="B113" i="5" s="1"/>
  <c r="C113" i="5" a="1"/>
  <c r="C113" i="5" s="1"/>
  <c r="E110" i="5" l="1"/>
  <c r="D111" i="5"/>
  <c r="A115" i="5"/>
  <c r="B114" i="5" a="1"/>
  <c r="B114" i="5" s="1"/>
  <c r="C114" i="5" a="1"/>
  <c r="C114" i="5" s="1"/>
  <c r="E111" i="5" l="1"/>
  <c r="D112" i="5"/>
  <c r="C115" i="5" a="1"/>
  <c r="C115" i="5" s="1"/>
  <c r="A116" i="5"/>
  <c r="B115" i="5" a="1"/>
  <c r="B115" i="5" s="1"/>
  <c r="E112" i="5" l="1"/>
  <c r="D113" i="5"/>
  <c r="A117" i="5"/>
  <c r="B116" i="5" a="1"/>
  <c r="B116" i="5" s="1"/>
  <c r="C116" i="5" a="1"/>
  <c r="C116" i="5" s="1"/>
  <c r="E113" i="5" l="1"/>
  <c r="D114" i="5"/>
  <c r="B117" i="5" a="1"/>
  <c r="B117" i="5" s="1"/>
  <c r="A118" i="5"/>
  <c r="C117" i="5" a="1"/>
  <c r="C117" i="5" s="1"/>
  <c r="E114" i="5" l="1"/>
  <c r="D115" i="5"/>
  <c r="C118" i="5" a="1"/>
  <c r="C118" i="5" s="1"/>
  <c r="A119" i="5"/>
  <c r="B118" i="5" a="1"/>
  <c r="B118" i="5" s="1"/>
  <c r="E115" i="5" l="1"/>
  <c r="D116" i="5"/>
  <c r="C119" i="5" a="1"/>
  <c r="C119" i="5" s="1"/>
  <c r="A120" i="5"/>
  <c r="B119" i="5" a="1"/>
  <c r="B119" i="5" s="1"/>
  <c r="E116" i="5" l="1"/>
  <c r="D117" i="5"/>
  <c r="B120" i="5" a="1"/>
  <c r="B120" i="5" s="1"/>
  <c r="A121" i="5"/>
  <c r="C120" i="5" a="1"/>
  <c r="C120" i="5" s="1"/>
  <c r="E117" i="5" l="1"/>
  <c r="D118" i="5"/>
  <c r="B121" i="5" a="1"/>
  <c r="B121" i="5" s="1"/>
  <c r="C121" i="5" a="1"/>
  <c r="C121" i="5" s="1"/>
  <c r="A122" i="5"/>
  <c r="E118" i="5" l="1"/>
  <c r="D119" i="5"/>
  <c r="B122" i="5" a="1"/>
  <c r="B122" i="5" s="1"/>
  <c r="C122" i="5" a="1"/>
  <c r="C122" i="5" s="1"/>
  <c r="A123" i="5"/>
  <c r="E119" i="5" l="1"/>
  <c r="I10" i="5" s="1"/>
  <c r="D120" i="5"/>
  <c r="C123" i="5" a="1"/>
  <c r="C123" i="5" s="1"/>
  <c r="A124" i="5"/>
  <c r="B123" i="5" a="1"/>
  <c r="B123" i="5" s="1"/>
  <c r="E120" i="5" l="1"/>
  <c r="I11" i="5" s="1"/>
  <c r="D121" i="5"/>
  <c r="B124" i="5" a="1"/>
  <c r="B124" i="5" s="1"/>
  <c r="C124" i="5" a="1"/>
  <c r="C124" i="5" s="1"/>
  <c r="A125" i="5"/>
  <c r="E121" i="5" l="1"/>
  <c r="D122" i="5"/>
  <c r="B125" i="5" a="1"/>
  <c r="B125" i="5" s="1"/>
  <c r="C125" i="5" a="1"/>
  <c r="C125" i="5" s="1"/>
  <c r="A126" i="5"/>
  <c r="E122" i="5" l="1"/>
  <c r="D123" i="5"/>
  <c r="C126" i="5" a="1"/>
  <c r="C126" i="5" s="1"/>
  <c r="A127" i="5"/>
  <c r="B126" i="5" a="1"/>
  <c r="B126" i="5" s="1"/>
  <c r="E123" i="5" l="1"/>
  <c r="D124" i="5"/>
  <c r="A128" i="5"/>
  <c r="B127" i="5" a="1"/>
  <c r="B127" i="5" s="1"/>
  <c r="C127" i="5" a="1"/>
  <c r="C127" i="5" s="1"/>
  <c r="E124" i="5" l="1"/>
  <c r="D125" i="5"/>
  <c r="A129" i="5"/>
  <c r="B128" i="5" a="1"/>
  <c r="B128" i="5" s="1"/>
  <c r="C128" i="5" a="1"/>
  <c r="C128" i="5" s="1"/>
  <c r="E125" i="5" l="1"/>
  <c r="D126" i="5"/>
  <c r="B129" i="5" a="1"/>
  <c r="B129" i="5" s="1"/>
  <c r="A130" i="5"/>
  <c r="C129" i="5" a="1"/>
  <c r="C129" i="5" s="1"/>
  <c r="E126" i="5" l="1"/>
  <c r="D127" i="5"/>
  <c r="A131" i="5"/>
  <c r="B130" i="5" a="1"/>
  <c r="B130" i="5" s="1"/>
  <c r="C130" i="5" a="1"/>
  <c r="C130" i="5" s="1"/>
  <c r="E127" i="5" l="1"/>
  <c r="D128" i="5"/>
  <c r="B131" i="5" a="1"/>
  <c r="B131" i="5" s="1"/>
  <c r="C131" i="5" a="1"/>
  <c r="C131" i="5" s="1"/>
  <c r="A132" i="5"/>
  <c r="E128" i="5" l="1"/>
  <c r="D129" i="5"/>
  <c r="C132" i="5" a="1"/>
  <c r="C132" i="5" s="1"/>
  <c r="A133" i="5"/>
  <c r="B132" i="5" a="1"/>
  <c r="B132" i="5" s="1"/>
  <c r="E129" i="5" l="1"/>
  <c r="D130" i="5"/>
  <c r="C133" i="5" a="1"/>
  <c r="C133" i="5" s="1"/>
  <c r="A134" i="5"/>
  <c r="B133" i="5" a="1"/>
  <c r="B133" i="5" s="1"/>
  <c r="E130" i="5" l="1"/>
  <c r="D131" i="5"/>
  <c r="B134" i="5" a="1"/>
  <c r="B134" i="5" s="1"/>
  <c r="A135" i="5"/>
  <c r="C134" i="5" a="1"/>
  <c r="C134" i="5" s="1"/>
  <c r="E131" i="5" l="1"/>
  <c r="D132" i="5"/>
  <c r="B135" i="5" a="1"/>
  <c r="B135" i="5" s="1"/>
  <c r="C135" i="5" a="1"/>
  <c r="C135" i="5" s="1"/>
  <c r="A136" i="5"/>
  <c r="E132" i="5" l="1"/>
  <c r="D133" i="5"/>
  <c r="B136" i="5" a="1"/>
  <c r="B136" i="5" s="1"/>
  <c r="C136" i="5" a="1"/>
  <c r="C136" i="5" s="1"/>
  <c r="A137" i="5"/>
  <c r="E133" i="5" l="1"/>
  <c r="D134" i="5"/>
  <c r="C137" i="5" a="1"/>
  <c r="C137" i="5" s="1"/>
  <c r="A138" i="5"/>
  <c r="B137" i="5" a="1"/>
  <c r="B137" i="5" s="1"/>
  <c r="E134" i="5" l="1"/>
  <c r="D135" i="5"/>
  <c r="B138" i="5" a="1"/>
  <c r="B138" i="5" s="1"/>
  <c r="C138" i="5" a="1"/>
  <c r="C138" i="5" s="1"/>
  <c r="A139" i="5"/>
  <c r="E135" i="5" l="1"/>
  <c r="D136" i="5"/>
  <c r="B139" i="5" a="1"/>
  <c r="B139" i="5" s="1"/>
  <c r="C139" i="5" a="1"/>
  <c r="C139" i="5" s="1"/>
  <c r="A140" i="5"/>
  <c r="E136" i="5" l="1"/>
  <c r="D137" i="5"/>
  <c r="B140" i="5" a="1"/>
  <c r="B140" i="5" s="1"/>
  <c r="C140" i="5" a="1"/>
  <c r="C140" i="5" s="1"/>
  <c r="A141" i="5"/>
  <c r="E137" i="5" l="1"/>
  <c r="D138" i="5"/>
  <c r="A142" i="5"/>
  <c r="B141" i="5" a="1"/>
  <c r="B141" i="5" s="1"/>
  <c r="C141" i="5" a="1"/>
  <c r="C141" i="5" s="1"/>
  <c r="E138" i="5" l="1"/>
  <c r="D139" i="5"/>
  <c r="C142" i="5" a="1"/>
  <c r="C142" i="5" s="1"/>
  <c r="A143" i="5"/>
  <c r="B142" i="5" a="1"/>
  <c r="B142" i="5" s="1"/>
  <c r="E139" i="5" l="1"/>
  <c r="D140" i="5"/>
  <c r="B143" i="5" a="1"/>
  <c r="B143" i="5" s="1"/>
  <c r="A144" i="5"/>
  <c r="C143" i="5" a="1"/>
  <c r="C143" i="5" s="1"/>
  <c r="E140" i="5" l="1"/>
  <c r="D141" i="5"/>
  <c r="A145" i="5"/>
  <c r="B144" i="5" a="1"/>
  <c r="B144" i="5" s="1"/>
  <c r="C144" i="5" a="1"/>
  <c r="C144" i="5" s="1"/>
  <c r="E141" i="5" l="1"/>
  <c r="D142" i="5"/>
  <c r="B145" i="5" a="1"/>
  <c r="B145" i="5" s="1"/>
  <c r="C145" i="5" a="1"/>
  <c r="C145" i="5" s="1"/>
  <c r="A146" i="5"/>
  <c r="E142" i="5" l="1"/>
  <c r="D143" i="5"/>
  <c r="A147" i="5"/>
  <c r="C146" i="5" a="1"/>
  <c r="C146" i="5" s="1"/>
  <c r="B146" i="5" a="1"/>
  <c r="B146" i="5" s="1"/>
  <c r="E143" i="5" l="1"/>
  <c r="D144" i="5"/>
  <c r="A148" i="5"/>
  <c r="B147" i="5" a="1"/>
  <c r="B147" i="5" s="1"/>
  <c r="C147" i="5" a="1"/>
  <c r="C147" i="5" s="1"/>
  <c r="E144" i="5" l="1"/>
  <c r="D145" i="5"/>
  <c r="B148" i="5" a="1"/>
  <c r="B148" i="5" s="1"/>
  <c r="A149" i="5"/>
  <c r="C148" i="5" a="1"/>
  <c r="C148" i="5" s="1"/>
  <c r="E145" i="5" l="1"/>
  <c r="D146" i="5"/>
  <c r="B149" i="5" a="1"/>
  <c r="B149" i="5" s="1"/>
  <c r="C149" i="5" a="1"/>
  <c r="C149" i="5" s="1"/>
  <c r="A150" i="5"/>
  <c r="E146" i="5" l="1"/>
  <c r="D147" i="5"/>
  <c r="C150" i="5" a="1"/>
  <c r="C150" i="5" s="1"/>
  <c r="A151" i="5"/>
  <c r="B150" i="5" a="1"/>
  <c r="B150" i="5" s="1"/>
  <c r="E147" i="5" l="1"/>
  <c r="D148" i="5"/>
  <c r="C151" i="5" a="1"/>
  <c r="C151" i="5" s="1"/>
  <c r="A152" i="5"/>
  <c r="B151" i="5" a="1"/>
  <c r="B151" i="5" s="1"/>
  <c r="E148" i="5" l="1"/>
  <c r="D149" i="5"/>
  <c r="B152" i="5" a="1"/>
  <c r="B152" i="5" s="1"/>
  <c r="C152" i="5" a="1"/>
  <c r="C152" i="5" s="1"/>
  <c r="A153" i="5"/>
  <c r="E149" i="5" l="1"/>
  <c r="D150" i="5"/>
  <c r="B153" i="5" a="1"/>
  <c r="B153" i="5" s="1"/>
  <c r="C153" i="5" a="1"/>
  <c r="C153" i="5" s="1"/>
  <c r="A154" i="5"/>
  <c r="E150" i="5" l="1"/>
  <c r="D151" i="5"/>
  <c r="B154" i="5" a="1"/>
  <c r="B154" i="5" s="1"/>
  <c r="C154" i="5" a="1"/>
  <c r="C154" i="5" s="1"/>
  <c r="A155" i="5"/>
  <c r="E151" i="5" l="1"/>
  <c r="D152" i="5"/>
  <c r="A156" i="5"/>
  <c r="B155" i="5" a="1"/>
  <c r="B155" i="5" s="1"/>
  <c r="C155" i="5" a="1"/>
  <c r="C155" i="5" s="1"/>
  <c r="E152" i="5" l="1"/>
  <c r="D153" i="5"/>
  <c r="B156" i="5" a="1"/>
  <c r="B156" i="5" s="1"/>
  <c r="C156" i="5" a="1"/>
  <c r="C156" i="5" s="1"/>
  <c r="A157" i="5"/>
  <c r="E153" i="5" l="1"/>
  <c r="D154" i="5"/>
  <c r="B157" i="5" a="1"/>
  <c r="B157" i="5" s="1"/>
  <c r="A158" i="5"/>
  <c r="C157" i="5" a="1"/>
  <c r="C157" i="5" s="1"/>
  <c r="E154" i="5" l="1"/>
  <c r="D155" i="5"/>
  <c r="C158" i="5" a="1"/>
  <c r="C158" i="5" s="1"/>
  <c r="A159" i="5"/>
  <c r="B158" i="5" a="1"/>
  <c r="B158" i="5" s="1"/>
  <c r="E155" i="5" l="1"/>
  <c r="D156" i="5"/>
  <c r="B159" i="5" a="1"/>
  <c r="B159" i="5" s="1"/>
  <c r="C159" i="5" a="1"/>
  <c r="C159" i="5" s="1"/>
  <c r="A160" i="5"/>
  <c r="E156" i="5" l="1"/>
  <c r="D157" i="5"/>
  <c r="A161" i="5"/>
  <c r="C160" i="5" a="1"/>
  <c r="C160" i="5" s="1"/>
  <c r="B160" i="5" a="1"/>
  <c r="B160" i="5" s="1"/>
  <c r="E157" i="5" l="1"/>
  <c r="D158" i="5"/>
  <c r="A162" i="5"/>
  <c r="C161" i="5" a="1"/>
  <c r="C161" i="5" s="1"/>
  <c r="B161" i="5" a="1"/>
  <c r="B161" i="5" s="1"/>
  <c r="E158" i="5" l="1"/>
  <c r="D159" i="5"/>
  <c r="A163" i="5"/>
  <c r="B162" i="5" a="1"/>
  <c r="B162" i="5" s="1"/>
  <c r="C162" i="5" a="1"/>
  <c r="C162" i="5" s="1"/>
  <c r="E159" i="5" l="1"/>
  <c r="D160" i="5"/>
  <c r="B163" i="5" a="1"/>
  <c r="B163" i="5" s="1"/>
  <c r="C163" i="5" a="1"/>
  <c r="C163" i="5" s="1"/>
  <c r="A164" i="5"/>
  <c r="E160" i="5" l="1"/>
  <c r="D161" i="5"/>
  <c r="C164" i="5" a="1"/>
  <c r="C164" i="5" s="1"/>
  <c r="A165" i="5"/>
  <c r="B164" i="5" a="1"/>
  <c r="B164" i="5" s="1"/>
  <c r="E161" i="5" l="1"/>
  <c r="D162" i="5"/>
  <c r="C165" i="5" a="1"/>
  <c r="C165" i="5" s="1"/>
  <c r="B165" i="5" a="1"/>
  <c r="B165" i="5" s="1"/>
  <c r="A166" i="5"/>
  <c r="E162" i="5" l="1"/>
  <c r="D163" i="5"/>
  <c r="B166" i="5" a="1"/>
  <c r="B166" i="5" s="1"/>
  <c r="C166" i="5" a="1"/>
  <c r="C166" i="5" s="1"/>
  <c r="A167" i="5"/>
  <c r="E163" i="5" l="1"/>
  <c r="D164" i="5"/>
  <c r="B167" i="5" a="1"/>
  <c r="B167" i="5" s="1"/>
  <c r="C167" i="5" a="1"/>
  <c r="C167" i="5" s="1"/>
  <c r="A168" i="5"/>
  <c r="E164" i="5" l="1"/>
  <c r="D165" i="5"/>
  <c r="B168" i="5" a="1"/>
  <c r="B168" i="5" s="1"/>
  <c r="C168" i="5" a="1"/>
  <c r="C168" i="5" s="1"/>
  <c r="A169" i="5"/>
  <c r="E165" i="5" l="1"/>
  <c r="D166" i="5"/>
  <c r="A170" i="5"/>
  <c r="B169" i="5" a="1"/>
  <c r="B169" i="5" s="1"/>
  <c r="C169" i="5" a="1"/>
  <c r="C169" i="5" s="1"/>
  <c r="E166" i="5" l="1"/>
  <c r="D167" i="5"/>
  <c r="B170" i="5" a="1"/>
  <c r="B170" i="5" s="1"/>
  <c r="C170" i="5" a="1"/>
  <c r="C170" i="5" s="1"/>
  <c r="A171" i="5"/>
  <c r="E167" i="5" l="1"/>
  <c r="D168" i="5"/>
  <c r="B171" i="5" a="1"/>
  <c r="B171" i="5" s="1"/>
  <c r="A172" i="5"/>
  <c r="C171" i="5" a="1"/>
  <c r="C171" i="5" s="1"/>
  <c r="E168" i="5" l="1"/>
  <c r="D169" i="5"/>
  <c r="B172" i="5" a="1"/>
  <c r="B172" i="5" s="1"/>
  <c r="C172" i="5" a="1"/>
  <c r="C172" i="5" s="1"/>
  <c r="A173" i="5"/>
  <c r="E169" i="5" l="1"/>
  <c r="D170" i="5"/>
  <c r="B173" i="5" a="1"/>
  <c r="B173" i="5" s="1"/>
  <c r="C173" i="5" a="1"/>
  <c r="C173" i="5" s="1"/>
  <c r="A174" i="5"/>
  <c r="E170" i="5" l="1"/>
  <c r="D171" i="5"/>
  <c r="C174" i="5" a="1"/>
  <c r="C174" i="5" s="1"/>
  <c r="A175" i="5"/>
  <c r="B174" i="5" a="1"/>
  <c r="B174" i="5" s="1"/>
  <c r="E171" i="5" l="1"/>
  <c r="D172" i="5"/>
  <c r="A176" i="5"/>
  <c r="B175" i="5" a="1"/>
  <c r="B175" i="5" s="1"/>
  <c r="C175" i="5" a="1"/>
  <c r="C175" i="5" s="1"/>
  <c r="E172" i="5" l="1"/>
  <c r="D173" i="5"/>
  <c r="A177" i="5"/>
  <c r="B176" i="5" a="1"/>
  <c r="B176" i="5" s="1"/>
  <c r="C176" i="5" a="1"/>
  <c r="C176" i="5" s="1"/>
  <c r="E173" i="5" l="1"/>
  <c r="D174" i="5"/>
  <c r="C177" i="5" a="1"/>
  <c r="C177" i="5" s="1"/>
  <c r="B177" i="5" a="1"/>
  <c r="B177" i="5" s="1"/>
  <c r="A178" i="5"/>
  <c r="E174" i="5" l="1"/>
  <c r="D175" i="5"/>
  <c r="A179" i="5"/>
  <c r="C178" i="5" a="1"/>
  <c r="C178" i="5" s="1"/>
  <c r="B178" i="5" a="1"/>
  <c r="B178" i="5" s="1"/>
  <c r="E175" i="5" l="1"/>
  <c r="D176" i="5"/>
  <c r="B179" i="5" a="1"/>
  <c r="B179" i="5" s="1"/>
  <c r="C179" i="5" a="1"/>
  <c r="C179" i="5" s="1"/>
  <c r="A180" i="5"/>
  <c r="E176" i="5" l="1"/>
  <c r="D177" i="5"/>
  <c r="B180" i="5" a="1"/>
  <c r="B180" i="5" s="1"/>
  <c r="C180" i="5" a="1"/>
  <c r="C180" i="5" s="1"/>
  <c r="A181" i="5"/>
  <c r="E177" i="5" l="1"/>
  <c r="D178" i="5"/>
  <c r="B181" i="5" a="1"/>
  <c r="B181" i="5" s="1"/>
  <c r="C181" i="5" a="1"/>
  <c r="C181" i="5" s="1"/>
  <c r="A182" i="5"/>
  <c r="E178" i="5" l="1"/>
  <c r="D179" i="5"/>
  <c r="B182" i="5" a="1"/>
  <c r="B182" i="5" s="1"/>
  <c r="C182" i="5" a="1"/>
  <c r="C182" i="5" s="1"/>
  <c r="A183" i="5"/>
  <c r="E179" i="5" l="1"/>
  <c r="D180" i="5"/>
  <c r="B183" i="5" a="1"/>
  <c r="B183" i="5" s="1"/>
  <c r="C183" i="5" a="1"/>
  <c r="C183" i="5" s="1"/>
  <c r="A184" i="5"/>
  <c r="E180" i="5" l="1"/>
  <c r="D181" i="5"/>
  <c r="B184" i="5" a="1"/>
  <c r="B184" i="5" s="1"/>
  <c r="C184" i="5" a="1"/>
  <c r="C184" i="5" s="1"/>
  <c r="A185" i="5"/>
  <c r="E181" i="5" l="1"/>
  <c r="D182" i="5"/>
  <c r="B185" i="5" a="1"/>
  <c r="B185" i="5" s="1"/>
  <c r="A186" i="5"/>
  <c r="C185" i="5" a="1"/>
  <c r="C185" i="5" s="1"/>
  <c r="E182" i="5" l="1"/>
  <c r="D183" i="5"/>
  <c r="B186" i="5" a="1"/>
  <c r="B186" i="5" s="1"/>
  <c r="C186" i="5" a="1"/>
  <c r="C186" i="5" s="1"/>
  <c r="A187" i="5"/>
  <c r="E183" i="5" l="1"/>
  <c r="D184" i="5"/>
  <c r="B187" i="5" a="1"/>
  <c r="B187" i="5" s="1"/>
  <c r="C187" i="5" a="1"/>
  <c r="C187" i="5" s="1"/>
  <c r="A188" i="5"/>
  <c r="E184" i="5" l="1"/>
  <c r="D185" i="5"/>
  <c r="B188" i="5" a="1"/>
  <c r="B188" i="5" s="1"/>
  <c r="C188" i="5" a="1"/>
  <c r="C188" i="5" s="1"/>
  <c r="A189" i="5"/>
  <c r="E185" i="5" l="1"/>
  <c r="D186" i="5"/>
  <c r="A190" i="5"/>
  <c r="B189" i="5" a="1"/>
  <c r="B189" i="5" s="1"/>
  <c r="C189" i="5" a="1"/>
  <c r="C189" i="5" s="1"/>
  <c r="E186" i="5" l="1"/>
  <c r="D187" i="5"/>
  <c r="C190" i="5" a="1"/>
  <c r="C190" i="5" s="1"/>
  <c r="A191" i="5"/>
  <c r="B190" i="5" a="1"/>
  <c r="B190" i="5" s="1"/>
  <c r="E187" i="5" l="1"/>
  <c r="D188" i="5"/>
  <c r="B191" i="5" a="1"/>
  <c r="B191" i="5" s="1"/>
  <c r="C191" i="5" a="1"/>
  <c r="C191" i="5" s="1"/>
  <c r="A192" i="5"/>
  <c r="E188" i="5" l="1"/>
  <c r="D189" i="5"/>
  <c r="A193" i="5"/>
  <c r="C192" i="5" a="1"/>
  <c r="C192" i="5" s="1"/>
  <c r="B192" i="5" a="1"/>
  <c r="B192" i="5" s="1"/>
  <c r="E189" i="5" l="1"/>
  <c r="D190" i="5"/>
  <c r="B193" i="5" a="1"/>
  <c r="B193" i="5" s="1"/>
  <c r="C193" i="5" a="1"/>
  <c r="C193" i="5" s="1"/>
  <c r="A194" i="5"/>
  <c r="E190" i="5" l="1"/>
  <c r="D191" i="5"/>
  <c r="A195" i="5"/>
  <c r="B194" i="5" a="1"/>
  <c r="B194" i="5" s="1"/>
  <c r="C194" i="5" a="1"/>
  <c r="C194" i="5" s="1"/>
  <c r="E191" i="5" l="1"/>
  <c r="D192" i="5"/>
  <c r="C195" i="5" a="1"/>
  <c r="C195" i="5" s="1"/>
  <c r="A196" i="5"/>
  <c r="B195" i="5" a="1"/>
  <c r="B195" i="5" s="1"/>
  <c r="E192" i="5" l="1"/>
  <c r="D193" i="5"/>
  <c r="B196" i="5" a="1"/>
  <c r="B196" i="5" s="1"/>
  <c r="C196" i="5" a="1"/>
  <c r="C196" i="5" s="1"/>
  <c r="A197" i="5"/>
  <c r="E193" i="5" l="1"/>
  <c r="D194" i="5"/>
  <c r="B197" i="5" a="1"/>
  <c r="B197" i="5" s="1"/>
  <c r="C197" i="5" a="1"/>
  <c r="C197" i="5" s="1"/>
  <c r="A198" i="5"/>
  <c r="E194" i="5" l="1"/>
  <c r="D195" i="5"/>
  <c r="C198" i="5" a="1"/>
  <c r="C198" i="5" s="1"/>
  <c r="B198" i="5" a="1"/>
  <c r="B198" i="5" s="1"/>
  <c r="A199" i="5"/>
  <c r="E195" i="5" l="1"/>
  <c r="D196" i="5"/>
  <c r="B199" i="5" a="1"/>
  <c r="B199" i="5" s="1"/>
  <c r="A200" i="5"/>
  <c r="C199" i="5" a="1"/>
  <c r="C199" i="5" s="1"/>
  <c r="E196" i="5" l="1"/>
  <c r="D197" i="5"/>
  <c r="A201" i="5"/>
  <c r="B200" i="5" a="1"/>
  <c r="B200" i="5" s="1"/>
  <c r="C200" i="5" a="1"/>
  <c r="C200" i="5" s="1"/>
  <c r="E197" i="5" l="1"/>
  <c r="D198" i="5"/>
  <c r="B201" i="5" a="1"/>
  <c r="B201" i="5" s="1"/>
  <c r="C201" i="5" a="1"/>
  <c r="C201" i="5" s="1"/>
  <c r="A202" i="5"/>
  <c r="E198" i="5" l="1"/>
  <c r="D199" i="5"/>
  <c r="A203" i="5"/>
  <c r="B202" i="5" a="1"/>
  <c r="B202" i="5" s="1"/>
  <c r="C202" i="5" a="1"/>
  <c r="C202" i="5" s="1"/>
  <c r="E199" i="5" l="1"/>
  <c r="D200" i="5"/>
  <c r="B203" i="5" a="1"/>
  <c r="B203" i="5" s="1"/>
  <c r="C203" i="5" a="1"/>
  <c r="C203" i="5" s="1"/>
  <c r="A204" i="5"/>
  <c r="E200" i="5" l="1"/>
  <c r="D201" i="5"/>
  <c r="B204" i="5" a="1"/>
  <c r="B204" i="5" s="1"/>
  <c r="C204" i="5" a="1"/>
  <c r="C204" i="5" s="1"/>
  <c r="A205" i="5"/>
  <c r="E201" i="5" l="1"/>
  <c r="D202" i="5"/>
  <c r="B205" i="5" a="1"/>
  <c r="B205" i="5" s="1"/>
  <c r="C205" i="5" a="1"/>
  <c r="C205" i="5" s="1"/>
  <c r="A206" i="5"/>
  <c r="E202" i="5" l="1"/>
  <c r="D203" i="5"/>
  <c r="B206" i="5" a="1"/>
  <c r="B206" i="5" s="1"/>
  <c r="C206" i="5" a="1"/>
  <c r="C206" i="5" s="1"/>
  <c r="A207" i="5"/>
  <c r="E203" i="5" l="1"/>
  <c r="D204" i="5"/>
  <c r="C207" i="5" a="1"/>
  <c r="C207" i="5" s="1"/>
  <c r="A208" i="5"/>
  <c r="B207" i="5" a="1"/>
  <c r="B207" i="5" s="1"/>
  <c r="E204" i="5" l="1"/>
  <c r="D205" i="5"/>
  <c r="C208" i="5" a="1"/>
  <c r="C208" i="5" s="1"/>
  <c r="A209" i="5"/>
  <c r="B208" i="5" a="1"/>
  <c r="B208" i="5" s="1"/>
  <c r="E205" i="5" l="1"/>
  <c r="D206" i="5"/>
  <c r="A210" i="5"/>
  <c r="B209" i="5" a="1"/>
  <c r="B209" i="5" s="1"/>
  <c r="C209" i="5" a="1"/>
  <c r="C209" i="5" s="1"/>
  <c r="E206" i="5" l="1"/>
  <c r="D207" i="5"/>
  <c r="B210" i="5" a="1"/>
  <c r="B210" i="5" s="1"/>
  <c r="A211" i="5"/>
  <c r="C210" i="5" a="1"/>
  <c r="C210" i="5" s="1"/>
  <c r="E207" i="5" l="1"/>
  <c r="D208" i="5"/>
  <c r="A212" i="5"/>
  <c r="B211" i="5" a="1"/>
  <c r="B211" i="5" s="1"/>
  <c r="C211" i="5" a="1"/>
  <c r="C211" i="5" s="1"/>
  <c r="E208" i="5" l="1"/>
  <c r="D209" i="5"/>
  <c r="B212" i="5" a="1"/>
  <c r="B212" i="5" s="1"/>
  <c r="C212" i="5" a="1"/>
  <c r="C212" i="5" s="1"/>
  <c r="A213" i="5"/>
  <c r="E209" i="5" l="1"/>
  <c r="D210" i="5"/>
  <c r="C213" i="5" a="1"/>
  <c r="C213" i="5" s="1"/>
  <c r="A214" i="5"/>
  <c r="B213" i="5" a="1"/>
  <c r="B213" i="5" s="1"/>
  <c r="E210" i="5" l="1"/>
  <c r="D211" i="5"/>
  <c r="C214" i="5" a="1"/>
  <c r="C214" i="5" s="1"/>
  <c r="A215" i="5"/>
  <c r="B214" i="5" a="1"/>
  <c r="B214" i="5" s="1"/>
  <c r="E211" i="5" l="1"/>
  <c r="D212" i="5"/>
  <c r="B215" i="5" a="1"/>
  <c r="B215" i="5" s="1"/>
  <c r="A216" i="5"/>
  <c r="C215" i="5" a="1"/>
  <c r="C215" i="5" s="1"/>
  <c r="E212" i="5" l="1"/>
  <c r="D213" i="5"/>
  <c r="A217" i="5"/>
  <c r="B216" i="5" a="1"/>
  <c r="B216" i="5" s="1"/>
  <c r="C216" i="5" a="1"/>
  <c r="C216" i="5" s="1"/>
  <c r="E213" i="5" l="1"/>
  <c r="D214" i="5"/>
  <c r="B217" i="5" a="1"/>
  <c r="B217" i="5" s="1"/>
  <c r="C217" i="5" a="1"/>
  <c r="C217" i="5" s="1"/>
  <c r="A218" i="5"/>
  <c r="E214" i="5" l="1"/>
  <c r="D215" i="5"/>
  <c r="A219" i="5"/>
  <c r="B218" i="5" a="1"/>
  <c r="B218" i="5" s="1"/>
  <c r="C218" i="5" a="1"/>
  <c r="C218" i="5" s="1"/>
  <c r="E215" i="5" l="1"/>
  <c r="D216" i="5"/>
  <c r="B219" i="5" a="1"/>
  <c r="B219" i="5" s="1"/>
  <c r="C219" i="5" a="1"/>
  <c r="C219" i="5" s="1"/>
  <c r="A220" i="5"/>
  <c r="E216" i="5" l="1"/>
  <c r="D217" i="5"/>
  <c r="B220" i="5" a="1"/>
  <c r="B220" i="5" s="1"/>
  <c r="C220" i="5" a="1"/>
  <c r="C220" i="5" s="1"/>
  <c r="A221" i="5"/>
  <c r="E217" i="5" l="1"/>
  <c r="D218" i="5"/>
  <c r="B221" i="5" a="1"/>
  <c r="B221" i="5" s="1"/>
  <c r="C221" i="5" a="1"/>
  <c r="C221" i="5" s="1"/>
  <c r="A222" i="5"/>
  <c r="E218" i="5" l="1"/>
  <c r="D219" i="5"/>
  <c r="B222" i="5" a="1"/>
  <c r="B222" i="5" s="1"/>
  <c r="C222" i="5" a="1"/>
  <c r="C222" i="5" s="1"/>
  <c r="A223" i="5"/>
  <c r="E219" i="5" l="1"/>
  <c r="D220" i="5"/>
  <c r="C223" i="5" a="1"/>
  <c r="C223" i="5" s="1"/>
  <c r="A224" i="5"/>
  <c r="B223" i="5" a="1"/>
  <c r="B223" i="5" s="1"/>
  <c r="E220" i="5" l="1"/>
  <c r="D221" i="5"/>
  <c r="C224" i="5" a="1"/>
  <c r="C224" i="5" s="1"/>
  <c r="A225" i="5"/>
  <c r="B224" i="5" a="1"/>
  <c r="B224" i="5" s="1"/>
  <c r="E221" i="5" l="1"/>
  <c r="D222" i="5"/>
  <c r="A226" i="5"/>
  <c r="B225" i="5" a="1"/>
  <c r="B225" i="5" s="1"/>
  <c r="C225" i="5" a="1"/>
  <c r="C225" i="5" s="1"/>
  <c r="E222" i="5" l="1"/>
  <c r="D223" i="5"/>
  <c r="B226" i="5" a="1"/>
  <c r="B226" i="5" s="1"/>
  <c r="A227" i="5"/>
  <c r="C226" i="5" a="1"/>
  <c r="C226" i="5" s="1"/>
  <c r="E223" i="5" l="1"/>
  <c r="D224" i="5"/>
  <c r="A228" i="5"/>
  <c r="B227" i="5" a="1"/>
  <c r="B227" i="5" s="1"/>
  <c r="C227" i="5" a="1"/>
  <c r="C227" i="5" s="1"/>
  <c r="E224" i="5" l="1"/>
  <c r="D225" i="5"/>
  <c r="B228" i="5" a="1"/>
  <c r="B228" i="5" s="1"/>
  <c r="C228" i="5" a="1"/>
  <c r="C228" i="5" s="1"/>
  <c r="A229" i="5"/>
  <c r="E225" i="5" l="1"/>
  <c r="D226" i="5"/>
  <c r="C229" i="5" a="1"/>
  <c r="C229" i="5" s="1"/>
  <c r="A230" i="5"/>
  <c r="B229" i="5" a="1"/>
  <c r="B229" i="5" s="1"/>
  <c r="E226" i="5" l="1"/>
  <c r="D227" i="5"/>
  <c r="C230" i="5" a="1"/>
  <c r="C230" i="5" s="1"/>
  <c r="B230" i="5" a="1"/>
  <c r="B230" i="5" s="1"/>
  <c r="A231" i="5"/>
  <c r="E227" i="5" l="1"/>
  <c r="D228" i="5"/>
  <c r="B231" i="5" a="1"/>
  <c r="B231" i="5" s="1"/>
  <c r="A232" i="5"/>
  <c r="C231" i="5" a="1"/>
  <c r="C231" i="5" s="1"/>
  <c r="E228" i="5" l="1"/>
  <c r="D229" i="5"/>
  <c r="A233" i="5"/>
  <c r="B232" i="5" a="1"/>
  <c r="B232" i="5" s="1"/>
  <c r="C232" i="5" a="1"/>
  <c r="C232" i="5" s="1"/>
  <c r="E229" i="5" l="1"/>
  <c r="D230" i="5"/>
  <c r="B233" i="5" a="1"/>
  <c r="B233" i="5" s="1"/>
  <c r="C233" i="5" a="1"/>
  <c r="C233" i="5" s="1"/>
  <c r="A234" i="5"/>
  <c r="E230" i="5" l="1"/>
  <c r="D231" i="5"/>
  <c r="A235" i="5"/>
  <c r="B234" i="5" a="1"/>
  <c r="B234" i="5" s="1"/>
  <c r="C234" i="5" a="1"/>
  <c r="C234" i="5" s="1"/>
  <c r="E231" i="5" l="1"/>
  <c r="D232" i="5"/>
  <c r="B235" i="5" a="1"/>
  <c r="B235" i="5" s="1"/>
  <c r="C235" i="5" a="1"/>
  <c r="C235" i="5" s="1"/>
  <c r="A236" i="5"/>
  <c r="E232" i="5" l="1"/>
  <c r="D233" i="5"/>
  <c r="B236" i="5" a="1"/>
  <c r="B236" i="5" s="1"/>
  <c r="C236" i="5" a="1"/>
  <c r="C236" i="5" s="1"/>
  <c r="A237" i="5"/>
  <c r="E233" i="5" l="1"/>
  <c r="D234" i="5"/>
  <c r="B237" i="5" a="1"/>
  <c r="B237" i="5" s="1"/>
  <c r="C237" i="5" a="1"/>
  <c r="C237" i="5" s="1"/>
  <c r="A238" i="5"/>
  <c r="E234" i="5" l="1"/>
  <c r="D235" i="5"/>
  <c r="B238" i="5" a="1"/>
  <c r="B238" i="5" s="1"/>
  <c r="C238" i="5" a="1"/>
  <c r="C238" i="5" s="1"/>
  <c r="A239" i="5"/>
  <c r="E235" i="5" l="1"/>
  <c r="D236" i="5"/>
  <c r="C239" i="5" a="1"/>
  <c r="C239" i="5" s="1"/>
  <c r="A240" i="5"/>
  <c r="B239" i="5" a="1"/>
  <c r="B239" i="5" s="1"/>
  <c r="E236" i="5" l="1"/>
  <c r="D237" i="5"/>
  <c r="C240" i="5" a="1"/>
  <c r="C240" i="5" s="1"/>
  <c r="B240" i="5" a="1"/>
  <c r="B240" i="5" s="1"/>
  <c r="A241" i="5"/>
  <c r="E237" i="5" l="1"/>
  <c r="D238" i="5"/>
  <c r="A242" i="5"/>
  <c r="B241" i="5" a="1"/>
  <c r="B241" i="5" s="1"/>
  <c r="C241" i="5" a="1"/>
  <c r="C241" i="5" s="1"/>
  <c r="E238" i="5" l="1"/>
  <c r="D239" i="5"/>
  <c r="B242" i="5" a="1"/>
  <c r="B242" i="5" s="1"/>
  <c r="A243" i="5"/>
  <c r="C242" i="5" a="1"/>
  <c r="C242" i="5" s="1"/>
  <c r="E239" i="5" l="1"/>
  <c r="D240" i="5"/>
  <c r="A244" i="5"/>
  <c r="B243" i="5" a="1"/>
  <c r="B243" i="5" s="1"/>
  <c r="C243" i="5" a="1"/>
  <c r="C243" i="5" s="1"/>
  <c r="E240" i="5" l="1"/>
  <c r="D241" i="5"/>
  <c r="B244" i="5" a="1"/>
  <c r="B244" i="5" s="1"/>
  <c r="C244" i="5" a="1"/>
  <c r="C244" i="5" s="1"/>
  <c r="A245" i="5"/>
  <c r="E241" i="5" l="1"/>
  <c r="D242" i="5"/>
  <c r="C245" i="5" a="1"/>
  <c r="C245" i="5" s="1"/>
  <c r="A246" i="5"/>
  <c r="B245" i="5" a="1"/>
  <c r="B245" i="5" s="1"/>
  <c r="E242" i="5" l="1"/>
  <c r="D243" i="5"/>
  <c r="C246" i="5" a="1"/>
  <c r="C246" i="5" s="1"/>
  <c r="B246" i="5" a="1"/>
  <c r="B246" i="5" s="1"/>
  <c r="A247" i="5"/>
  <c r="E243" i="5" l="1"/>
  <c r="D244" i="5"/>
  <c r="B247" i="5" a="1"/>
  <c r="B247" i="5" s="1"/>
  <c r="A248" i="5"/>
  <c r="C247" i="5" a="1"/>
  <c r="C247" i="5" s="1"/>
  <c r="E244" i="5" l="1"/>
  <c r="D245" i="5"/>
  <c r="A249" i="5"/>
  <c r="B248" i="5" a="1"/>
  <c r="B248" i="5" s="1"/>
  <c r="C248" i="5" a="1"/>
  <c r="C248" i="5" s="1"/>
  <c r="E245" i="5" l="1"/>
  <c r="D246" i="5"/>
  <c r="B249" i="5" a="1"/>
  <c r="B249" i="5" s="1"/>
  <c r="C249" i="5" a="1"/>
  <c r="C249" i="5" s="1"/>
  <c r="A250" i="5"/>
  <c r="E246" i="5" l="1"/>
  <c r="D247" i="5"/>
  <c r="A251" i="5"/>
  <c r="B250" i="5" a="1"/>
  <c r="B250" i="5" s="1"/>
  <c r="C250" i="5" a="1"/>
  <c r="C250" i="5" s="1"/>
  <c r="E247" i="5" l="1"/>
  <c r="D248" i="5"/>
  <c r="B251" i="5" a="1"/>
  <c r="B251" i="5" s="1"/>
  <c r="C251" i="5" a="1"/>
  <c r="C251" i="5" s="1"/>
  <c r="A252" i="5"/>
  <c r="E248" i="5" l="1"/>
  <c r="D249" i="5"/>
  <c r="B252" i="5" a="1"/>
  <c r="B252" i="5" s="1"/>
  <c r="C252" i="5" a="1"/>
  <c r="C252" i="5" s="1"/>
  <c r="A253" i="5"/>
  <c r="E249" i="5" l="1"/>
  <c r="D250" i="5"/>
  <c r="B253" i="5" a="1"/>
  <c r="B253" i="5" s="1"/>
  <c r="C253" i="5" a="1"/>
  <c r="C253" i="5" s="1"/>
  <c r="A254" i="5"/>
  <c r="E250" i="5" l="1"/>
  <c r="D251" i="5"/>
  <c r="B254" i="5" a="1"/>
  <c r="B254" i="5" s="1"/>
  <c r="C254" i="5" a="1"/>
  <c r="C254" i="5" s="1"/>
  <c r="A255" i="5"/>
  <c r="E251" i="5" l="1"/>
  <c r="D252" i="5"/>
  <c r="C255" i="5" a="1"/>
  <c r="C255" i="5" s="1"/>
  <c r="A256" i="5"/>
  <c r="B255" i="5" a="1"/>
  <c r="B255" i="5" s="1"/>
  <c r="E252" i="5" l="1"/>
  <c r="D253" i="5"/>
  <c r="C256" i="5" a="1"/>
  <c r="C256" i="5" s="1"/>
  <c r="B256" i="5" a="1"/>
  <c r="B256" i="5" s="1"/>
  <c r="A257" i="5"/>
  <c r="E253" i="5" l="1"/>
  <c r="D254" i="5"/>
  <c r="A258" i="5"/>
  <c r="B257" i="5" a="1"/>
  <c r="B257" i="5" s="1"/>
  <c r="C257" i="5" a="1"/>
  <c r="C257" i="5" s="1"/>
  <c r="E254" i="5" l="1"/>
  <c r="D255" i="5"/>
  <c r="B258" i="5" a="1"/>
  <c r="B258" i="5" s="1"/>
  <c r="A259" i="5"/>
  <c r="C258" i="5" a="1"/>
  <c r="C258" i="5" s="1"/>
  <c r="E255" i="5" l="1"/>
  <c r="D256" i="5"/>
  <c r="A260" i="5"/>
  <c r="B259" i="5" a="1"/>
  <c r="B259" i="5" s="1"/>
  <c r="C259" i="5" a="1"/>
  <c r="C259" i="5" s="1"/>
  <c r="E256" i="5" l="1"/>
  <c r="D257" i="5"/>
  <c r="B260" i="5" a="1"/>
  <c r="B260" i="5" s="1"/>
  <c r="C260" i="5" a="1"/>
  <c r="C260" i="5" s="1"/>
  <c r="A261" i="5"/>
  <c r="E257" i="5" l="1"/>
  <c r="D258" i="5"/>
  <c r="C261" i="5" a="1"/>
  <c r="C261" i="5" s="1"/>
  <c r="A262" i="5"/>
  <c r="B261" i="5" a="1"/>
  <c r="B261" i="5" s="1"/>
  <c r="E258" i="5" l="1"/>
  <c r="D259" i="5"/>
  <c r="C262" i="5" a="1"/>
  <c r="C262" i="5" s="1"/>
  <c r="B262" i="5" a="1"/>
  <c r="B262" i="5" s="1"/>
  <c r="A263" i="5"/>
  <c r="E259" i="5" l="1"/>
  <c r="D260" i="5"/>
  <c r="B263" i="5" a="1"/>
  <c r="B263" i="5" s="1"/>
  <c r="C263" i="5" a="1"/>
  <c r="C263" i="5" s="1"/>
  <c r="A264" i="5"/>
  <c r="E260" i="5" l="1"/>
  <c r="D261" i="5"/>
  <c r="A265" i="5"/>
  <c r="B264" i="5" a="1"/>
  <c r="B264" i="5" s="1"/>
  <c r="C264" i="5" a="1"/>
  <c r="C264" i="5" s="1"/>
  <c r="E261" i="5" l="1"/>
  <c r="D262" i="5"/>
  <c r="B265" i="5" a="1"/>
  <c r="B265" i="5" s="1"/>
  <c r="C265" i="5" a="1"/>
  <c r="C265" i="5" s="1"/>
  <c r="A266" i="5"/>
  <c r="E262" i="5" l="1"/>
  <c r="D263" i="5"/>
  <c r="C266" i="5" a="1"/>
  <c r="C266" i="5" s="1"/>
  <c r="A267" i="5"/>
  <c r="B266" i="5" a="1"/>
  <c r="B266" i="5" s="1"/>
  <c r="E263" i="5" l="1"/>
  <c r="D264" i="5"/>
  <c r="B267" i="5" a="1"/>
  <c r="B267" i="5" s="1"/>
  <c r="A268" i="5"/>
  <c r="C267" i="5" a="1"/>
  <c r="C267" i="5" s="1"/>
  <c r="E264" i="5" l="1"/>
  <c r="D265" i="5"/>
  <c r="B268" i="5" a="1"/>
  <c r="B268" i="5" s="1"/>
  <c r="C268" i="5" a="1"/>
  <c r="C268" i="5" s="1"/>
  <c r="A269" i="5"/>
  <c r="E265" i="5" l="1"/>
  <c r="D266" i="5"/>
  <c r="B269" i="5" a="1"/>
  <c r="B269" i="5" s="1"/>
  <c r="C269" i="5" a="1"/>
  <c r="C269" i="5" s="1"/>
  <c r="A270" i="5"/>
  <c r="E266" i="5" l="1"/>
  <c r="D267" i="5"/>
  <c r="B270" i="5" a="1"/>
  <c r="B270" i="5" s="1"/>
  <c r="C270" i="5" a="1"/>
  <c r="C270" i="5" s="1"/>
  <c r="A271" i="5"/>
  <c r="E267" i="5" l="1"/>
  <c r="D268" i="5"/>
  <c r="C271" i="5" a="1"/>
  <c r="C271" i="5" s="1"/>
  <c r="A272" i="5"/>
  <c r="B271" i="5" a="1"/>
  <c r="B271" i="5" s="1"/>
  <c r="E268" i="5" l="1"/>
  <c r="D269" i="5"/>
  <c r="C272" i="5" a="1"/>
  <c r="C272" i="5" s="1"/>
  <c r="A273" i="5"/>
  <c r="B272" i="5" a="1"/>
  <c r="B272" i="5" s="1"/>
  <c r="E269" i="5" l="1"/>
  <c r="D270" i="5"/>
  <c r="A274" i="5"/>
  <c r="B273" i="5" a="1"/>
  <c r="B273" i="5" s="1"/>
  <c r="C273" i="5" a="1"/>
  <c r="C273" i="5" s="1"/>
  <c r="E270" i="5" l="1"/>
  <c r="D271" i="5"/>
  <c r="B274" i="5" a="1"/>
  <c r="B274" i="5" s="1"/>
  <c r="A275" i="5"/>
  <c r="C274" i="5" a="1"/>
  <c r="C274" i="5" s="1"/>
  <c r="E271" i="5" l="1"/>
  <c r="D272" i="5"/>
  <c r="A276" i="5"/>
  <c r="B275" i="5" a="1"/>
  <c r="B275" i="5" s="1"/>
  <c r="C275" i="5" a="1"/>
  <c r="C275" i="5" s="1"/>
  <c r="E272" i="5" l="1"/>
  <c r="D273" i="5"/>
  <c r="B276" i="5" a="1"/>
  <c r="B276" i="5" s="1"/>
  <c r="C276" i="5" a="1"/>
  <c r="C276" i="5" s="1"/>
  <c r="A277" i="5"/>
  <c r="E273" i="5" l="1"/>
  <c r="D274" i="5"/>
  <c r="B277" i="5" a="1"/>
  <c r="B277" i="5" s="1"/>
  <c r="C277" i="5" a="1"/>
  <c r="C277" i="5" s="1"/>
  <c r="A278" i="5"/>
  <c r="E274" i="5" l="1"/>
  <c r="D275" i="5"/>
  <c r="C278" i="5" a="1"/>
  <c r="C278" i="5" s="1"/>
  <c r="B278" i="5" a="1"/>
  <c r="B278" i="5" s="1"/>
  <c r="A279" i="5"/>
  <c r="E275" i="5" l="1"/>
  <c r="D276" i="5"/>
  <c r="B279" i="5" a="1"/>
  <c r="B279" i="5" s="1"/>
  <c r="C279" i="5" a="1"/>
  <c r="C279" i="5" s="1"/>
  <c r="A280" i="5"/>
  <c r="E276" i="5" l="1"/>
  <c r="D277" i="5"/>
  <c r="A281" i="5"/>
  <c r="B280" i="5" a="1"/>
  <c r="B280" i="5" s="1"/>
  <c r="C280" i="5" a="1"/>
  <c r="C280" i="5" s="1"/>
  <c r="E277" i="5" l="1"/>
  <c r="D278" i="5"/>
  <c r="B281" i="5" a="1"/>
  <c r="B281" i="5" s="1"/>
  <c r="C281" i="5" a="1"/>
  <c r="C281" i="5" s="1"/>
  <c r="A282" i="5"/>
  <c r="E278" i="5" l="1"/>
  <c r="D279" i="5"/>
  <c r="A283" i="5"/>
  <c r="B282" i="5" a="1"/>
  <c r="B282" i="5" s="1"/>
  <c r="C282" i="5" a="1"/>
  <c r="C282" i="5" s="1"/>
  <c r="E279" i="5" l="1"/>
  <c r="D280" i="5"/>
  <c r="B283" i="5" a="1"/>
  <c r="B283" i="5" s="1"/>
  <c r="C283" i="5" a="1"/>
  <c r="C283" i="5" s="1"/>
  <c r="A284" i="5"/>
  <c r="E280" i="5" l="1"/>
  <c r="D281" i="5"/>
  <c r="B284" i="5" a="1"/>
  <c r="B284" i="5" s="1"/>
  <c r="C284" i="5" a="1"/>
  <c r="C284" i="5" s="1"/>
  <c r="A285" i="5"/>
  <c r="E281" i="5" l="1"/>
  <c r="D282" i="5"/>
  <c r="B285" i="5" a="1"/>
  <c r="B285" i="5" s="1"/>
  <c r="C285" i="5" a="1"/>
  <c r="C285" i="5" s="1"/>
  <c r="A286" i="5"/>
  <c r="E282" i="5" l="1"/>
  <c r="D283" i="5"/>
  <c r="B286" i="5" a="1"/>
  <c r="B286" i="5" s="1"/>
  <c r="C286" i="5" a="1"/>
  <c r="C286" i="5" s="1"/>
  <c r="A287" i="5"/>
  <c r="E283" i="5" l="1"/>
  <c r="D284" i="5"/>
  <c r="C287" i="5" a="1"/>
  <c r="C287" i="5" s="1"/>
  <c r="A288" i="5"/>
  <c r="B287" i="5" a="1"/>
  <c r="B287" i="5" s="1"/>
  <c r="E284" i="5" l="1"/>
  <c r="D285" i="5"/>
  <c r="C288" i="5" a="1"/>
  <c r="C288" i="5" s="1"/>
  <c r="A289" i="5"/>
  <c r="B288" i="5" a="1"/>
  <c r="B288" i="5" s="1"/>
  <c r="E285" i="5" l="1"/>
  <c r="D286" i="5"/>
  <c r="A290" i="5"/>
  <c r="B289" i="5" a="1"/>
  <c r="B289" i="5" s="1"/>
  <c r="C289" i="5" a="1"/>
  <c r="C289" i="5" s="1"/>
  <c r="E286" i="5" l="1"/>
  <c r="D287" i="5"/>
  <c r="B290" i="5" a="1"/>
  <c r="B290" i="5" s="1"/>
  <c r="A291" i="5"/>
  <c r="C290" i="5" a="1"/>
  <c r="C290" i="5" s="1"/>
  <c r="E287" i="5" l="1"/>
  <c r="D288" i="5"/>
  <c r="A292" i="5"/>
  <c r="B291" i="5" a="1"/>
  <c r="B291" i="5" s="1"/>
  <c r="C291" i="5" a="1"/>
  <c r="C291" i="5" s="1"/>
  <c r="E288" i="5" l="1"/>
  <c r="D289" i="5"/>
  <c r="B292" i="5" a="1"/>
  <c r="B292" i="5" s="1"/>
  <c r="C292" i="5" a="1"/>
  <c r="C292" i="5" s="1"/>
  <c r="A293" i="5"/>
  <c r="E289" i="5" l="1"/>
  <c r="D290" i="5"/>
  <c r="B293" i="5" a="1"/>
  <c r="B293" i="5" s="1"/>
  <c r="C293" i="5" a="1"/>
  <c r="C293" i="5" s="1"/>
  <c r="A294" i="5"/>
  <c r="E290" i="5" l="1"/>
  <c r="D291" i="5"/>
  <c r="C294" i="5" a="1"/>
  <c r="C294" i="5" s="1"/>
  <c r="B294" i="5" a="1"/>
  <c r="B294" i="5" s="1"/>
  <c r="A295" i="5"/>
  <c r="E291" i="5" l="1"/>
  <c r="D292" i="5"/>
  <c r="B295" i="5" a="1"/>
  <c r="B295" i="5" s="1"/>
  <c r="C295" i="5" a="1"/>
  <c r="C295" i="5" s="1"/>
  <c r="A296" i="5"/>
  <c r="E292" i="5" l="1"/>
  <c r="D293" i="5"/>
  <c r="A297" i="5"/>
  <c r="B296" i="5" a="1"/>
  <c r="B296" i="5" s="1"/>
  <c r="C296" i="5" a="1"/>
  <c r="C296" i="5" s="1"/>
  <c r="E293" i="5" l="1"/>
  <c r="D294" i="5"/>
  <c r="B297" i="5" a="1"/>
  <c r="B297" i="5" s="1"/>
  <c r="C297" i="5" a="1"/>
  <c r="C297" i="5" s="1"/>
  <c r="A298" i="5"/>
  <c r="E294" i="5" l="1"/>
  <c r="D295" i="5"/>
  <c r="A299" i="5"/>
  <c r="B298" i="5" a="1"/>
  <c r="B298" i="5" s="1"/>
  <c r="C298" i="5" a="1"/>
  <c r="C298" i="5" s="1"/>
  <c r="E295" i="5" l="1"/>
  <c r="D296" i="5"/>
  <c r="B299" i="5" a="1"/>
  <c r="B299" i="5" s="1"/>
  <c r="C299" i="5" a="1"/>
  <c r="C299" i="5" s="1"/>
  <c r="A300" i="5"/>
  <c r="E296" i="5" l="1"/>
  <c r="D297" i="5"/>
  <c r="B300" i="5" a="1"/>
  <c r="B300" i="5" s="1"/>
  <c r="C300" i="5" a="1"/>
  <c r="C300" i="5" s="1"/>
  <c r="A301" i="5"/>
  <c r="E297" i="5" l="1"/>
  <c r="D298" i="5"/>
  <c r="B301" i="5" a="1"/>
  <c r="B301" i="5" s="1"/>
  <c r="C301" i="5" a="1"/>
  <c r="C301" i="5" s="1"/>
  <c r="A302" i="5"/>
  <c r="E298" i="5" l="1"/>
  <c r="D299" i="5"/>
  <c r="B302" i="5" a="1"/>
  <c r="B302" i="5" s="1"/>
  <c r="C302" i="5" a="1"/>
  <c r="C302" i="5" s="1"/>
  <c r="A303" i="5"/>
  <c r="E299" i="5" l="1"/>
  <c r="D300" i="5"/>
  <c r="C303" i="5" a="1"/>
  <c r="C303" i="5" s="1"/>
  <c r="A304" i="5"/>
  <c r="B303" i="5" a="1"/>
  <c r="B303" i="5" s="1"/>
  <c r="E300" i="5" l="1"/>
  <c r="D301" i="5"/>
  <c r="C304" i="5" a="1"/>
  <c r="C304" i="5" s="1"/>
  <c r="A305" i="5"/>
  <c r="B304" i="5" a="1"/>
  <c r="B304" i="5" s="1"/>
  <c r="E301" i="5" l="1"/>
  <c r="D302" i="5"/>
  <c r="A306" i="5"/>
  <c r="B305" i="5" a="1"/>
  <c r="B305" i="5" s="1"/>
  <c r="C305" i="5" a="1"/>
  <c r="C305" i="5" s="1"/>
  <c r="E302" i="5" l="1"/>
  <c r="D303" i="5"/>
  <c r="B306" i="5" a="1"/>
  <c r="B306" i="5" s="1"/>
  <c r="A307" i="5"/>
  <c r="C306" i="5" a="1"/>
  <c r="C306" i="5" s="1"/>
  <c r="E303" i="5" l="1"/>
  <c r="D304" i="5"/>
  <c r="A308" i="5"/>
  <c r="B307" i="5" a="1"/>
  <c r="B307" i="5" s="1"/>
  <c r="C307" i="5" a="1"/>
  <c r="C307" i="5" s="1"/>
  <c r="E304" i="5" l="1"/>
  <c r="D305" i="5"/>
  <c r="B308" i="5" a="1"/>
  <c r="B308" i="5" s="1"/>
  <c r="C308" i="5" a="1"/>
  <c r="C308" i="5" s="1"/>
  <c r="A309" i="5"/>
  <c r="E305" i="5" l="1"/>
  <c r="D306" i="5"/>
  <c r="B309" i="5" a="1"/>
  <c r="B309" i="5" s="1"/>
  <c r="C309" i="5" a="1"/>
  <c r="C309" i="5" s="1"/>
  <c r="A310" i="5"/>
  <c r="E306" i="5" l="1"/>
  <c r="D307" i="5"/>
  <c r="C310" i="5" a="1"/>
  <c r="C310" i="5" s="1"/>
  <c r="B310" i="5" a="1"/>
  <c r="B310" i="5" s="1"/>
  <c r="A311" i="5"/>
  <c r="E307" i="5" l="1"/>
  <c r="D308" i="5"/>
  <c r="B311" i="5" a="1"/>
  <c r="B311" i="5" s="1"/>
  <c r="C311" i="5" a="1"/>
  <c r="C311" i="5" s="1"/>
  <c r="A312" i="5"/>
  <c r="E308" i="5" l="1"/>
  <c r="D309" i="5"/>
  <c r="A313" i="5"/>
  <c r="B312" i="5" a="1"/>
  <c r="B312" i="5" s="1"/>
  <c r="C312" i="5" a="1"/>
  <c r="C312" i="5" s="1"/>
  <c r="E309" i="5" l="1"/>
  <c r="D310" i="5"/>
  <c r="B313" i="5" a="1"/>
  <c r="B313" i="5" s="1"/>
  <c r="C313" i="5" a="1"/>
  <c r="C313" i="5" s="1"/>
  <c r="A314" i="5"/>
  <c r="E310" i="5" l="1"/>
  <c r="D311" i="5"/>
  <c r="A315" i="5"/>
  <c r="B314" i="5" a="1"/>
  <c r="B314" i="5" s="1"/>
  <c r="C314" i="5" a="1"/>
  <c r="C314" i="5" s="1"/>
  <c r="E311" i="5" l="1"/>
  <c r="D312" i="5"/>
  <c r="B315" i="5" a="1"/>
  <c r="B315" i="5" s="1"/>
  <c r="C315" i="5" a="1"/>
  <c r="C315" i="5" s="1"/>
  <c r="A316" i="5"/>
  <c r="E312" i="5" l="1"/>
  <c r="D313" i="5"/>
  <c r="B316" i="5" a="1"/>
  <c r="B316" i="5" s="1"/>
  <c r="C316" i="5" a="1"/>
  <c r="C316" i="5" s="1"/>
  <c r="A317" i="5"/>
  <c r="E313" i="5" l="1"/>
  <c r="D314" i="5"/>
  <c r="B317" i="5" a="1"/>
  <c r="B317" i="5" s="1"/>
  <c r="C317" i="5" a="1"/>
  <c r="C317" i="5" s="1"/>
  <c r="A318" i="5"/>
  <c r="E314" i="5" l="1"/>
  <c r="D315" i="5"/>
  <c r="B318" i="5" a="1"/>
  <c r="B318" i="5" s="1"/>
  <c r="C318" i="5" a="1"/>
  <c r="C318" i="5" s="1"/>
  <c r="A319" i="5"/>
  <c r="E315" i="5" l="1"/>
  <c r="D316" i="5"/>
  <c r="C319" i="5" a="1"/>
  <c r="C319" i="5" s="1"/>
  <c r="A320" i="5"/>
  <c r="B319" i="5" a="1"/>
  <c r="B319" i="5" s="1"/>
  <c r="E316" i="5" l="1"/>
  <c r="D317" i="5"/>
  <c r="C320" i="5" a="1"/>
  <c r="C320" i="5" s="1"/>
  <c r="A321" i="5"/>
  <c r="B320" i="5" a="1"/>
  <c r="B320" i="5" s="1"/>
  <c r="E317" i="5" l="1"/>
  <c r="D318" i="5"/>
  <c r="A322" i="5"/>
  <c r="B321" i="5" a="1"/>
  <c r="B321" i="5" s="1"/>
  <c r="C321" i="5" a="1"/>
  <c r="C321" i="5" s="1"/>
  <c r="E318" i="5" l="1"/>
  <c r="D319" i="5"/>
  <c r="B322" i="5" a="1"/>
  <c r="B322" i="5" s="1"/>
  <c r="A323" i="5"/>
  <c r="C322" i="5" a="1"/>
  <c r="C322" i="5" s="1"/>
  <c r="E319" i="5" l="1"/>
  <c r="D320" i="5"/>
  <c r="A324" i="5"/>
  <c r="B323" i="5" a="1"/>
  <c r="B323" i="5" s="1"/>
  <c r="C323" i="5" a="1"/>
  <c r="C323" i="5" s="1"/>
  <c r="E320" i="5" l="1"/>
  <c r="D321" i="5"/>
  <c r="B324" i="5" a="1"/>
  <c r="B324" i="5" s="1"/>
  <c r="C324" i="5" a="1"/>
  <c r="C324" i="5" s="1"/>
  <c r="A325" i="5"/>
  <c r="E321" i="5" l="1"/>
  <c r="D322" i="5"/>
  <c r="B325" i="5" a="1"/>
  <c r="B325" i="5" s="1"/>
  <c r="C325" i="5" a="1"/>
  <c r="C325" i="5" s="1"/>
  <c r="A326" i="5"/>
  <c r="E322" i="5" l="1"/>
  <c r="D323" i="5"/>
  <c r="C326" i="5" a="1"/>
  <c r="C326" i="5" s="1"/>
  <c r="B326" i="5" a="1"/>
  <c r="B326" i="5" s="1"/>
  <c r="A327" i="5"/>
  <c r="E323" i="5" l="1"/>
  <c r="D324" i="5"/>
  <c r="B327" i="5" a="1"/>
  <c r="B327" i="5" s="1"/>
  <c r="C327" i="5" a="1"/>
  <c r="C327" i="5" s="1"/>
  <c r="A328" i="5"/>
  <c r="E324" i="5" l="1"/>
  <c r="D325" i="5"/>
  <c r="A329" i="5"/>
  <c r="C328" i="5" a="1"/>
  <c r="C328" i="5" s="1"/>
  <c r="B328" i="5" a="1"/>
  <c r="B328" i="5" s="1"/>
  <c r="E325" i="5" l="1"/>
  <c r="D326" i="5"/>
  <c r="B329" i="5" a="1"/>
  <c r="B329" i="5" s="1"/>
  <c r="C329" i="5" a="1"/>
  <c r="C329" i="5" s="1"/>
  <c r="A330" i="5"/>
  <c r="E326" i="5" l="1"/>
  <c r="D327" i="5"/>
  <c r="A331" i="5"/>
  <c r="B330" i="5" a="1"/>
  <c r="B330" i="5" s="1"/>
  <c r="C330" i="5" a="1"/>
  <c r="C330" i="5" s="1"/>
  <c r="E327" i="5" l="1"/>
  <c r="D328" i="5"/>
  <c r="B331" i="5" a="1"/>
  <c r="B331" i="5" s="1"/>
  <c r="C331" i="5" a="1"/>
  <c r="C331" i="5" s="1"/>
  <c r="A332" i="5"/>
  <c r="E328" i="5" l="1"/>
  <c r="D329" i="5"/>
  <c r="B332" i="5" a="1"/>
  <c r="B332" i="5" s="1"/>
  <c r="C332" i="5" a="1"/>
  <c r="C332" i="5" s="1"/>
  <c r="A333" i="5"/>
  <c r="E329" i="5" l="1"/>
  <c r="D330" i="5"/>
  <c r="B333" i="5" a="1"/>
  <c r="B333" i="5" s="1"/>
  <c r="C333" i="5" a="1"/>
  <c r="C333" i="5" s="1"/>
  <c r="A334" i="5"/>
  <c r="E330" i="5" l="1"/>
  <c r="D331" i="5"/>
  <c r="B334" i="5" a="1"/>
  <c r="B334" i="5" s="1"/>
  <c r="C334" i="5" a="1"/>
  <c r="C334" i="5" s="1"/>
  <c r="A335" i="5"/>
  <c r="E331" i="5" l="1"/>
  <c r="D332" i="5"/>
  <c r="C335" i="5" a="1"/>
  <c r="C335" i="5" s="1"/>
  <c r="A336" i="5"/>
  <c r="B335" i="5" a="1"/>
  <c r="B335" i="5" s="1"/>
  <c r="E332" i="5" l="1"/>
  <c r="D333" i="5"/>
  <c r="C336" i="5" a="1"/>
  <c r="C336" i="5" s="1"/>
  <c r="A337" i="5"/>
  <c r="B336" i="5" a="1"/>
  <c r="B336" i="5" s="1"/>
  <c r="E333" i="5" l="1"/>
  <c r="D334" i="5"/>
  <c r="A338" i="5"/>
  <c r="B337" i="5" a="1"/>
  <c r="B337" i="5" s="1"/>
  <c r="C337" i="5" a="1"/>
  <c r="C337" i="5" s="1"/>
  <c r="E334" i="5" l="1"/>
  <c r="D335" i="5"/>
  <c r="B338" i="5" a="1"/>
  <c r="B338" i="5" s="1"/>
  <c r="A339" i="5"/>
  <c r="C338" i="5" a="1"/>
  <c r="C338" i="5" s="1"/>
  <c r="E335" i="5" l="1"/>
  <c r="D336" i="5"/>
  <c r="A340" i="5"/>
  <c r="B339" i="5" a="1"/>
  <c r="B339" i="5" s="1"/>
  <c r="C339" i="5" a="1"/>
  <c r="C339" i="5" s="1"/>
  <c r="E336" i="5" l="1"/>
  <c r="D337" i="5"/>
  <c r="B340" i="5" a="1"/>
  <c r="B340" i="5" s="1"/>
  <c r="C340" i="5" a="1"/>
  <c r="C340" i="5" s="1"/>
  <c r="A341" i="5"/>
  <c r="E337" i="5" l="1"/>
  <c r="D338" i="5"/>
  <c r="B341" i="5" a="1"/>
  <c r="B341" i="5" s="1"/>
  <c r="C341" i="5" a="1"/>
  <c r="C341" i="5" s="1"/>
  <c r="A342" i="5"/>
  <c r="E338" i="5" l="1"/>
  <c r="D339" i="5"/>
  <c r="C342" i="5" a="1"/>
  <c r="C342" i="5" s="1"/>
  <c r="B342" i="5" a="1"/>
  <c r="B342" i="5" s="1"/>
  <c r="A343" i="5"/>
  <c r="E339" i="5" l="1"/>
  <c r="D340" i="5"/>
  <c r="B343" i="5" a="1"/>
  <c r="B343" i="5" s="1"/>
  <c r="C343" i="5" a="1"/>
  <c r="C343" i="5" s="1"/>
  <c r="A344" i="5"/>
  <c r="E340" i="5" l="1"/>
  <c r="D341" i="5"/>
  <c r="A345" i="5"/>
  <c r="B344" i="5" a="1"/>
  <c r="B344" i="5" s="1"/>
  <c r="C344" i="5" a="1"/>
  <c r="C344" i="5" s="1"/>
  <c r="E341" i="5" l="1"/>
  <c r="D342" i="5"/>
  <c r="B345" i="5" a="1"/>
  <c r="B345" i="5" s="1"/>
  <c r="C345" i="5" a="1"/>
  <c r="C345" i="5" s="1"/>
  <c r="A346" i="5"/>
  <c r="E342" i="5" l="1"/>
  <c r="D343" i="5"/>
  <c r="A347" i="5"/>
  <c r="B346" i="5" a="1"/>
  <c r="B346" i="5" s="1"/>
  <c r="C346" i="5" a="1"/>
  <c r="C346" i="5" s="1"/>
  <c r="E343" i="5" l="1"/>
  <c r="D344" i="5"/>
  <c r="B347" i="5" a="1"/>
  <c r="B347" i="5" s="1"/>
  <c r="C347" i="5" a="1"/>
  <c r="C347" i="5" s="1"/>
  <c r="A348" i="5"/>
  <c r="E344" i="5" l="1"/>
  <c r="D345" i="5"/>
  <c r="B348" i="5" a="1"/>
  <c r="B348" i="5" s="1"/>
  <c r="C348" i="5" a="1"/>
  <c r="C348" i="5" s="1"/>
  <c r="A349" i="5"/>
  <c r="E345" i="5" l="1"/>
  <c r="D346" i="5"/>
  <c r="B349" i="5" a="1"/>
  <c r="B349" i="5" s="1"/>
  <c r="C349" i="5" a="1"/>
  <c r="C349" i="5" s="1"/>
  <c r="A350" i="5"/>
  <c r="E346" i="5" l="1"/>
  <c r="D347" i="5"/>
  <c r="B350" i="5" a="1"/>
  <c r="B350" i="5" s="1"/>
  <c r="C350" i="5" a="1"/>
  <c r="C350" i="5" s="1"/>
  <c r="A351" i="5"/>
  <c r="E347" i="5" l="1"/>
  <c r="D348" i="5"/>
  <c r="C351" i="5" a="1"/>
  <c r="C351" i="5" s="1"/>
  <c r="A352" i="5"/>
  <c r="B351" i="5" a="1"/>
  <c r="B351" i="5" s="1"/>
  <c r="E348" i="5" l="1"/>
  <c r="D349" i="5"/>
  <c r="C352" i="5" a="1"/>
  <c r="C352" i="5" s="1"/>
  <c r="A353" i="5"/>
  <c r="B352" i="5" a="1"/>
  <c r="B352" i="5" s="1"/>
  <c r="E349" i="5" l="1"/>
  <c r="D350" i="5"/>
  <c r="A354" i="5"/>
  <c r="B353" i="5" a="1"/>
  <c r="B353" i="5" s="1"/>
  <c r="C353" i="5" a="1"/>
  <c r="C353" i="5" s="1"/>
  <c r="E350" i="5" l="1"/>
  <c r="D351" i="5"/>
  <c r="B354" i="5" a="1"/>
  <c r="B354" i="5" s="1"/>
  <c r="A355" i="5"/>
  <c r="C354" i="5" a="1"/>
  <c r="C354" i="5" s="1"/>
  <c r="E351" i="5" l="1"/>
  <c r="D352" i="5"/>
  <c r="A356" i="5"/>
  <c r="B355" i="5" a="1"/>
  <c r="B355" i="5" s="1"/>
  <c r="C355" i="5" a="1"/>
  <c r="C355" i="5" s="1"/>
  <c r="E352" i="5" l="1"/>
  <c r="D353" i="5"/>
  <c r="B356" i="5" a="1"/>
  <c r="B356" i="5" s="1"/>
  <c r="C356" i="5" a="1"/>
  <c r="C356" i="5" s="1"/>
  <c r="A357" i="5"/>
  <c r="E353" i="5" l="1"/>
  <c r="D354" i="5"/>
  <c r="B357" i="5" a="1"/>
  <c r="B357" i="5" s="1"/>
  <c r="C357" i="5" a="1"/>
  <c r="C357" i="5" s="1"/>
  <c r="A358" i="5"/>
  <c r="E354" i="5" l="1"/>
  <c r="D355" i="5"/>
  <c r="C358" i="5" a="1"/>
  <c r="C358" i="5" s="1"/>
  <c r="A359" i="5"/>
  <c r="B358" i="5" a="1"/>
  <c r="B358" i="5" s="1"/>
  <c r="E355" i="5" l="1"/>
  <c r="D356" i="5"/>
  <c r="B359" i="5" a="1"/>
  <c r="B359" i="5" s="1"/>
  <c r="C359" i="5" a="1"/>
  <c r="C359" i="5" s="1"/>
  <c r="A360" i="5"/>
  <c r="E356" i="5" l="1"/>
  <c r="D357" i="5"/>
  <c r="A361" i="5"/>
  <c r="B360" i="5" a="1"/>
  <c r="B360" i="5" s="1"/>
  <c r="C360" i="5" a="1"/>
  <c r="C360" i="5" s="1"/>
  <c r="E357" i="5" l="1"/>
  <c r="D358" i="5"/>
  <c r="B361" i="5" a="1"/>
  <c r="B361" i="5" s="1"/>
  <c r="C361" i="5" a="1"/>
  <c r="C361" i="5" s="1"/>
  <c r="A362" i="5"/>
  <c r="E358" i="5" l="1"/>
  <c r="D359" i="5"/>
  <c r="A363" i="5"/>
  <c r="B362" i="5" a="1"/>
  <c r="B362" i="5" s="1"/>
  <c r="C362" i="5" a="1"/>
  <c r="C362" i="5" s="1"/>
  <c r="E359" i="5" l="1"/>
  <c r="D360" i="5"/>
  <c r="B363" i="5" a="1"/>
  <c r="B363" i="5" s="1"/>
  <c r="C363" i="5" a="1"/>
  <c r="C363" i="5" s="1"/>
  <c r="A364" i="5"/>
  <c r="E360" i="5" l="1"/>
  <c r="D361" i="5"/>
  <c r="B364" i="5" a="1"/>
  <c r="B364" i="5" s="1"/>
  <c r="C364" i="5" a="1"/>
  <c r="C364" i="5" s="1"/>
  <c r="A365" i="5"/>
  <c r="E361" i="5" l="1"/>
  <c r="D362" i="5"/>
  <c r="B365" i="5" a="1"/>
  <c r="B365" i="5" s="1"/>
  <c r="C365" i="5" a="1"/>
  <c r="C365" i="5" s="1"/>
  <c r="A366" i="5"/>
  <c r="E362" i="5" l="1"/>
  <c r="D363" i="5"/>
  <c r="B366" i="5" a="1"/>
  <c r="B366" i="5" s="1"/>
  <c r="C366" i="5" a="1"/>
  <c r="C366" i="5" s="1"/>
  <c r="A367" i="5"/>
  <c r="E363" i="5" l="1"/>
  <c r="D364" i="5"/>
  <c r="C367" i="5" a="1"/>
  <c r="C367" i="5" s="1"/>
  <c r="A368" i="5"/>
  <c r="B367" i="5" a="1"/>
  <c r="B367" i="5" s="1"/>
  <c r="E364" i="5" l="1"/>
  <c r="D365" i="5"/>
  <c r="C368" i="5" a="1"/>
  <c r="C368" i="5" s="1"/>
  <c r="A369" i="5"/>
  <c r="B368" i="5" a="1"/>
  <c r="B368" i="5" s="1"/>
  <c r="E365" i="5" l="1"/>
  <c r="D366" i="5"/>
  <c r="A370" i="5"/>
  <c r="B369" i="5" a="1"/>
  <c r="B369" i="5" s="1"/>
  <c r="C369" i="5" a="1"/>
  <c r="C369" i="5" s="1"/>
  <c r="E366" i="5" l="1"/>
  <c r="D367" i="5"/>
  <c r="B370" i="5" a="1"/>
  <c r="B370" i="5" s="1"/>
  <c r="A371" i="5"/>
  <c r="C370" i="5" a="1"/>
  <c r="C370" i="5" s="1"/>
  <c r="E367" i="5" l="1"/>
  <c r="D368" i="5"/>
  <c r="A372" i="5"/>
  <c r="B371" i="5" a="1"/>
  <c r="B371" i="5" s="1"/>
  <c r="C371" i="5" a="1"/>
  <c r="C371" i="5" s="1"/>
  <c r="E368" i="5" l="1"/>
  <c r="D369" i="5"/>
  <c r="B372" i="5" a="1"/>
  <c r="B372" i="5" s="1"/>
  <c r="C372" i="5" a="1"/>
  <c r="C372" i="5" s="1"/>
  <c r="A373" i="5"/>
  <c r="E369" i="5" l="1"/>
  <c r="D370" i="5"/>
  <c r="C373" i="5" a="1"/>
  <c r="C373" i="5" s="1"/>
  <c r="A374" i="5"/>
  <c r="B373" i="5" a="1"/>
  <c r="B373" i="5" s="1"/>
  <c r="E370" i="5" l="1"/>
  <c r="D371" i="5"/>
  <c r="C374" i="5" a="1"/>
  <c r="C374" i="5" s="1"/>
  <c r="B374" i="5" a="1"/>
  <c r="B374" i="5" s="1"/>
  <c r="A375" i="5"/>
  <c r="E371" i="5" l="1"/>
  <c r="D372" i="5"/>
  <c r="B375" i="5" a="1"/>
  <c r="B375" i="5" s="1"/>
  <c r="A376" i="5"/>
  <c r="C375" i="5" a="1"/>
  <c r="C375" i="5" s="1"/>
  <c r="E372" i="5" l="1"/>
  <c r="D373" i="5"/>
  <c r="A377" i="5"/>
  <c r="B376" i="5" a="1"/>
  <c r="B376" i="5" s="1"/>
  <c r="C376" i="5" a="1"/>
  <c r="C376" i="5" s="1"/>
  <c r="E373" i="5" l="1"/>
  <c r="D374" i="5"/>
  <c r="B377" i="5" a="1"/>
  <c r="B377" i="5" s="1"/>
  <c r="C377" i="5" a="1"/>
  <c r="C377" i="5" s="1"/>
  <c r="A378" i="5"/>
  <c r="E374" i="5" l="1"/>
  <c r="D375" i="5"/>
  <c r="A379" i="5"/>
  <c r="B378" i="5" a="1"/>
  <c r="B378" i="5" s="1"/>
  <c r="C378" i="5" a="1"/>
  <c r="C378" i="5" s="1"/>
  <c r="E375" i="5" l="1"/>
  <c r="D376" i="5"/>
  <c r="B379" i="5" a="1"/>
  <c r="B379" i="5" s="1"/>
  <c r="C379" i="5" a="1"/>
  <c r="C379" i="5" s="1"/>
  <c r="A380" i="5"/>
  <c r="E376" i="5" l="1"/>
  <c r="D377" i="5"/>
  <c r="B380" i="5" a="1"/>
  <c r="B380" i="5" s="1"/>
  <c r="C380" i="5" a="1"/>
  <c r="C380" i="5" s="1"/>
  <c r="A381" i="5"/>
  <c r="E377" i="5" l="1"/>
  <c r="D378" i="5"/>
  <c r="B381" i="5" a="1"/>
  <c r="B381" i="5" s="1"/>
  <c r="C381" i="5" a="1"/>
  <c r="C381" i="5" s="1"/>
  <c r="A382" i="5"/>
  <c r="E378" i="5" l="1"/>
  <c r="D379" i="5"/>
  <c r="B382" i="5" a="1"/>
  <c r="B382" i="5" s="1"/>
  <c r="C382" i="5" a="1"/>
  <c r="C382" i="5" s="1"/>
  <c r="A383" i="5"/>
  <c r="E379" i="5" l="1"/>
  <c r="D380" i="5"/>
  <c r="C383" i="5" a="1"/>
  <c r="C383" i="5" s="1"/>
  <c r="A384" i="5"/>
  <c r="B383" i="5" a="1"/>
  <c r="B383" i="5" s="1"/>
  <c r="E380" i="5" l="1"/>
  <c r="D381" i="5"/>
  <c r="C384" i="5" a="1"/>
  <c r="C384" i="5" s="1"/>
  <c r="A385" i="5"/>
  <c r="B384" i="5" a="1"/>
  <c r="B384" i="5" s="1"/>
  <c r="E381" i="5" l="1"/>
  <c r="D382" i="5"/>
  <c r="A386" i="5"/>
  <c r="B385" i="5" a="1"/>
  <c r="B385" i="5" s="1"/>
  <c r="C385" i="5" a="1"/>
  <c r="C385" i="5" s="1"/>
  <c r="E382" i="5" l="1"/>
  <c r="D383" i="5"/>
  <c r="B386" i="5" a="1"/>
  <c r="B386" i="5" s="1"/>
  <c r="A387" i="5"/>
  <c r="C386" i="5" a="1"/>
  <c r="C386" i="5" s="1"/>
  <c r="E383" i="5" l="1"/>
  <c r="D384" i="5"/>
  <c r="A388" i="5"/>
  <c r="B387" i="5" a="1"/>
  <c r="B387" i="5" s="1"/>
  <c r="C387" i="5" a="1"/>
  <c r="C387" i="5" s="1"/>
  <c r="E384" i="5" l="1"/>
  <c r="D385" i="5"/>
  <c r="B388" i="5" a="1"/>
  <c r="B388" i="5" s="1"/>
  <c r="C388" i="5" a="1"/>
  <c r="C388" i="5" s="1"/>
  <c r="A389" i="5"/>
  <c r="E385" i="5" l="1"/>
  <c r="D386" i="5"/>
  <c r="C389" i="5" a="1"/>
  <c r="C389" i="5" s="1"/>
  <c r="A390" i="5"/>
  <c r="B389" i="5" a="1"/>
  <c r="B389" i="5" s="1"/>
  <c r="E386" i="5" l="1"/>
  <c r="D387" i="5"/>
  <c r="C390" i="5" a="1"/>
  <c r="C390" i="5" s="1"/>
  <c r="B390" i="5" a="1"/>
  <c r="B390" i="5" s="1"/>
  <c r="A391" i="5"/>
  <c r="E387" i="5" l="1"/>
  <c r="D388" i="5"/>
  <c r="B391" i="5" a="1"/>
  <c r="B391" i="5" s="1"/>
  <c r="A392" i="5"/>
  <c r="C391" i="5" a="1"/>
  <c r="C391" i="5" s="1"/>
  <c r="E388" i="5" l="1"/>
  <c r="D389" i="5"/>
  <c r="A393" i="5"/>
  <c r="C392" i="5" a="1"/>
  <c r="C392" i="5" s="1"/>
  <c r="B392" i="5" a="1"/>
  <c r="B392" i="5" s="1"/>
  <c r="E389" i="5" l="1"/>
  <c r="D390" i="5"/>
  <c r="B393" i="5" a="1"/>
  <c r="B393" i="5" s="1"/>
  <c r="C393" i="5" a="1"/>
  <c r="C393" i="5" s="1"/>
  <c r="A394" i="5"/>
  <c r="E390" i="5" l="1"/>
  <c r="D391" i="5"/>
  <c r="A395" i="5"/>
  <c r="B394" i="5" a="1"/>
  <c r="B394" i="5" s="1"/>
  <c r="C394" i="5" a="1"/>
  <c r="C394" i="5" s="1"/>
  <c r="E391" i="5" l="1"/>
  <c r="D392" i="5"/>
  <c r="B395" i="5" a="1"/>
  <c r="B395" i="5" s="1"/>
  <c r="C395" i="5" a="1"/>
  <c r="C395" i="5" s="1"/>
  <c r="A396" i="5"/>
  <c r="E392" i="5" l="1"/>
  <c r="D393" i="5"/>
  <c r="B396" i="5" a="1"/>
  <c r="B396" i="5" s="1"/>
  <c r="C396" i="5" a="1"/>
  <c r="C396" i="5" s="1"/>
  <c r="A397" i="5"/>
  <c r="E393" i="5" l="1"/>
  <c r="D394" i="5"/>
  <c r="B397" i="5" a="1"/>
  <c r="B397" i="5" s="1"/>
  <c r="C397" i="5" a="1"/>
  <c r="C397" i="5" s="1"/>
  <c r="A398" i="5"/>
  <c r="E394" i="5" l="1"/>
  <c r="D395" i="5"/>
  <c r="B398" i="5" a="1"/>
  <c r="B398" i="5" s="1"/>
  <c r="C398" i="5" a="1"/>
  <c r="C398" i="5" s="1"/>
  <c r="A399" i="5"/>
  <c r="E395" i="5" l="1"/>
  <c r="D396" i="5"/>
  <c r="C399" i="5" a="1"/>
  <c r="C399" i="5" s="1"/>
  <c r="A400" i="5"/>
  <c r="B399" i="5" a="1"/>
  <c r="B399" i="5" s="1"/>
  <c r="E396" i="5" l="1"/>
  <c r="D397" i="5"/>
  <c r="C400" i="5" a="1"/>
  <c r="C400" i="5" s="1"/>
  <c r="B400" i="5" a="1"/>
  <c r="B400" i="5" s="1"/>
  <c r="A401" i="5"/>
  <c r="E397" i="5" l="1"/>
  <c r="D398" i="5"/>
  <c r="A402" i="5"/>
  <c r="B401" i="5" a="1"/>
  <c r="B401" i="5" s="1"/>
  <c r="C401" i="5" a="1"/>
  <c r="C401" i="5" s="1"/>
  <c r="E398" i="5" l="1"/>
  <c r="D399" i="5"/>
  <c r="B402" i="5" a="1"/>
  <c r="B402" i="5" s="1"/>
  <c r="A403" i="5"/>
  <c r="C402" i="5" a="1"/>
  <c r="C402" i="5" s="1"/>
  <c r="E399" i="5" l="1"/>
  <c r="D400" i="5"/>
  <c r="A404" i="5"/>
  <c r="B403" i="5" a="1"/>
  <c r="B403" i="5" s="1"/>
  <c r="C403" i="5" a="1"/>
  <c r="C403" i="5" s="1"/>
  <c r="E400" i="5" l="1"/>
  <c r="D401" i="5"/>
  <c r="B404" i="5" a="1"/>
  <c r="B404" i="5" s="1"/>
  <c r="C404" i="5" a="1"/>
  <c r="C404" i="5" s="1"/>
  <c r="A405" i="5"/>
  <c r="E401" i="5" l="1"/>
  <c r="D402" i="5"/>
  <c r="C405" i="5" a="1"/>
  <c r="C405" i="5" s="1"/>
  <c r="A406" i="5"/>
  <c r="B405" i="5" a="1"/>
  <c r="B405" i="5" s="1"/>
  <c r="E402" i="5" l="1"/>
  <c r="D403" i="5"/>
  <c r="C406" i="5" a="1"/>
  <c r="C406" i="5" s="1"/>
  <c r="B406" i="5" a="1"/>
  <c r="B406" i="5" s="1"/>
  <c r="A407" i="5"/>
  <c r="E403" i="5" l="1"/>
  <c r="D404" i="5"/>
  <c r="B407" i="5" a="1"/>
  <c r="B407" i="5" s="1"/>
  <c r="A408" i="5"/>
  <c r="C407" i="5" a="1"/>
  <c r="C407" i="5" s="1"/>
  <c r="E404" i="5" l="1"/>
  <c r="D405" i="5"/>
  <c r="B408" i="5" a="1"/>
  <c r="B408" i="5" s="1"/>
  <c r="C408" i="5" a="1"/>
  <c r="C408" i="5" s="1"/>
  <c r="A409" i="5"/>
  <c r="E405" i="5" l="1"/>
  <c r="D406" i="5"/>
  <c r="B409" i="5" a="1"/>
  <c r="B409" i="5" s="1"/>
  <c r="C409" i="5" a="1"/>
  <c r="C409" i="5" s="1"/>
  <c r="A410" i="5"/>
  <c r="E406" i="5" l="1"/>
  <c r="D407" i="5"/>
  <c r="B410" i="5" a="1"/>
  <c r="B410" i="5" s="1"/>
  <c r="C410" i="5" a="1"/>
  <c r="C410" i="5" s="1"/>
  <c r="A411" i="5"/>
  <c r="E407" i="5" l="1"/>
  <c r="D408" i="5"/>
  <c r="B411" i="5" a="1"/>
  <c r="B411" i="5" s="1"/>
  <c r="C411" i="5" a="1"/>
  <c r="C411" i="5" s="1"/>
  <c r="A412" i="5"/>
  <c r="E408" i="5" l="1"/>
  <c r="D409" i="5"/>
  <c r="C412" i="5" a="1"/>
  <c r="C412" i="5" s="1"/>
  <c r="A413" i="5"/>
  <c r="B412" i="5" a="1"/>
  <c r="B412" i="5" s="1"/>
  <c r="E409" i="5" l="1"/>
  <c r="D410" i="5"/>
  <c r="C413" i="5" a="1"/>
  <c r="C413" i="5" s="1"/>
  <c r="A414" i="5"/>
  <c r="B413" i="5" a="1"/>
  <c r="B413" i="5" s="1"/>
  <c r="E410" i="5" l="1"/>
  <c r="D411" i="5"/>
  <c r="A415" i="5"/>
  <c r="B414" i="5" a="1"/>
  <c r="B414" i="5" s="1"/>
  <c r="C414" i="5" a="1"/>
  <c r="C414" i="5" s="1"/>
  <c r="E411" i="5" l="1"/>
  <c r="D412" i="5"/>
  <c r="B415" i="5" a="1"/>
  <c r="B415" i="5" s="1"/>
  <c r="A416" i="5"/>
  <c r="C415" i="5" a="1"/>
  <c r="C415" i="5" s="1"/>
  <c r="E412" i="5" l="1"/>
  <c r="D413" i="5"/>
  <c r="A417" i="5"/>
  <c r="B416" i="5" a="1"/>
  <c r="B416" i="5" s="1"/>
  <c r="C416" i="5" a="1"/>
  <c r="C416" i="5" s="1"/>
  <c r="E413" i="5" l="1"/>
  <c r="D414" i="5"/>
  <c r="B417" i="5" a="1"/>
  <c r="B417" i="5" s="1"/>
  <c r="C417" i="5" a="1"/>
  <c r="C417" i="5" s="1"/>
  <c r="A418" i="5"/>
  <c r="E414" i="5" l="1"/>
  <c r="D415" i="5"/>
  <c r="B418" i="5" a="1"/>
  <c r="B418" i="5" s="1"/>
  <c r="C418" i="5" a="1"/>
  <c r="C418" i="5" s="1"/>
  <c r="A419" i="5"/>
  <c r="E415" i="5" l="1"/>
  <c r="D416" i="5"/>
  <c r="C419" i="5" a="1"/>
  <c r="C419" i="5" s="1"/>
  <c r="B419" i="5" a="1"/>
  <c r="B419" i="5" s="1"/>
  <c r="A420" i="5"/>
  <c r="E416" i="5" l="1"/>
  <c r="D417" i="5"/>
  <c r="B420" i="5" a="1"/>
  <c r="B420" i="5" s="1"/>
  <c r="C420" i="5" a="1"/>
  <c r="C420" i="5" s="1"/>
  <c r="A421" i="5"/>
  <c r="E417" i="5" l="1"/>
  <c r="D418" i="5"/>
  <c r="A422" i="5"/>
  <c r="C421" i="5" a="1"/>
  <c r="C421" i="5" s="1"/>
  <c r="B421" i="5" a="1"/>
  <c r="B421" i="5" s="1"/>
  <c r="E418" i="5" l="1"/>
  <c r="D419" i="5"/>
  <c r="B422" i="5" a="1"/>
  <c r="B422" i="5" s="1"/>
  <c r="C422" i="5" a="1"/>
  <c r="C422" i="5" s="1"/>
  <c r="A423" i="5"/>
  <c r="E419" i="5" l="1"/>
  <c r="D420" i="5"/>
  <c r="A424" i="5"/>
  <c r="B423" i="5" a="1"/>
  <c r="B423" i="5" s="1"/>
  <c r="C423" i="5" a="1"/>
  <c r="C423" i="5" s="1"/>
  <c r="E420" i="5" l="1"/>
  <c r="D421" i="5"/>
  <c r="B424" i="5" a="1"/>
  <c r="B424" i="5" s="1"/>
  <c r="C424" i="5" a="1"/>
  <c r="C424" i="5" s="1"/>
  <c r="A425" i="5"/>
  <c r="E421" i="5" l="1"/>
  <c r="D422" i="5"/>
  <c r="B425" i="5" a="1"/>
  <c r="B425" i="5" s="1"/>
  <c r="C425" i="5" a="1"/>
  <c r="C425" i="5" s="1"/>
  <c r="A426" i="5"/>
  <c r="E422" i="5" l="1"/>
  <c r="D423" i="5"/>
  <c r="B426" i="5" a="1"/>
  <c r="B426" i="5" s="1"/>
  <c r="C426" i="5" a="1"/>
  <c r="C426" i="5" s="1"/>
  <c r="A427" i="5"/>
  <c r="E423" i="5" l="1"/>
  <c r="D424" i="5"/>
  <c r="B427" i="5" a="1"/>
  <c r="B427" i="5" s="1"/>
  <c r="C427" i="5" a="1"/>
  <c r="C427" i="5" s="1"/>
  <c r="A428" i="5"/>
  <c r="E424" i="5" l="1"/>
  <c r="D425" i="5"/>
  <c r="C428" i="5" a="1"/>
  <c r="C428" i="5" s="1"/>
  <c r="A429" i="5"/>
  <c r="B428" i="5" a="1"/>
  <c r="B428" i="5" s="1"/>
  <c r="E425" i="5" l="1"/>
  <c r="D426" i="5"/>
  <c r="C429" i="5" a="1"/>
  <c r="C429" i="5" s="1"/>
  <c r="A430" i="5"/>
  <c r="B429" i="5" a="1"/>
  <c r="B429" i="5" s="1"/>
  <c r="E426" i="5" l="1"/>
  <c r="D427" i="5"/>
  <c r="A431" i="5"/>
  <c r="B430" i="5" a="1"/>
  <c r="B430" i="5" s="1"/>
  <c r="C430" i="5" a="1"/>
  <c r="C430" i="5" s="1"/>
  <c r="E427" i="5" l="1"/>
  <c r="D428" i="5"/>
  <c r="B431" i="5" a="1"/>
  <c r="B431" i="5" s="1"/>
  <c r="A432" i="5"/>
  <c r="C431" i="5" a="1"/>
  <c r="C431" i="5" s="1"/>
  <c r="E428" i="5" l="1"/>
  <c r="D429" i="5"/>
  <c r="A433" i="5"/>
  <c r="B432" i="5" a="1"/>
  <c r="B432" i="5" s="1"/>
  <c r="C432" i="5" a="1"/>
  <c r="C432" i="5" s="1"/>
  <c r="E429" i="5" l="1"/>
  <c r="D430" i="5"/>
  <c r="B433" i="5" a="1"/>
  <c r="B433" i="5" s="1"/>
  <c r="C433" i="5" a="1"/>
  <c r="C433" i="5" s="1"/>
  <c r="A434" i="5"/>
  <c r="E430" i="5" l="1"/>
  <c r="D431" i="5"/>
  <c r="B434" i="5" a="1"/>
  <c r="B434" i="5" s="1"/>
  <c r="C434" i="5" a="1"/>
  <c r="C434" i="5" s="1"/>
  <c r="A435" i="5"/>
  <c r="E431" i="5" l="1"/>
  <c r="D432" i="5"/>
  <c r="C435" i="5" a="1"/>
  <c r="C435" i="5" s="1"/>
  <c r="B435" i="5" a="1"/>
  <c r="B435" i="5" s="1"/>
  <c r="A436" i="5"/>
  <c r="E432" i="5" l="1"/>
  <c r="D433" i="5"/>
  <c r="B436" i="5" a="1"/>
  <c r="B436" i="5" s="1"/>
  <c r="C436" i="5" a="1"/>
  <c r="C436" i="5" s="1"/>
  <c r="A437" i="5"/>
  <c r="E433" i="5" l="1"/>
  <c r="D434" i="5"/>
  <c r="A438" i="5"/>
  <c r="C437" i="5" a="1"/>
  <c r="C437" i="5" s="1"/>
  <c r="B437" i="5" a="1"/>
  <c r="B437" i="5" s="1"/>
  <c r="E434" i="5" l="1"/>
  <c r="D435" i="5"/>
  <c r="B438" i="5" a="1"/>
  <c r="B438" i="5" s="1"/>
  <c r="C438" i="5" a="1"/>
  <c r="C438" i="5" s="1"/>
  <c r="A439" i="5"/>
  <c r="E435" i="5" l="1"/>
  <c r="D436" i="5"/>
  <c r="A440" i="5"/>
  <c r="B439" i="5" a="1"/>
  <c r="B439" i="5" s="1"/>
  <c r="C439" i="5" a="1"/>
  <c r="C439" i="5" s="1"/>
  <c r="E436" i="5" l="1"/>
  <c r="D437" i="5"/>
  <c r="B440" i="5" a="1"/>
  <c r="B440" i="5" s="1"/>
  <c r="C440" i="5" a="1"/>
  <c r="C440" i="5" s="1"/>
  <c r="A441" i="5"/>
  <c r="E437" i="5" l="1"/>
  <c r="D438" i="5"/>
  <c r="B441" i="5" a="1"/>
  <c r="B441" i="5" s="1"/>
  <c r="C441" i="5" a="1"/>
  <c r="C441" i="5" s="1"/>
  <c r="A442" i="5"/>
  <c r="E438" i="5" l="1"/>
  <c r="D439" i="5"/>
  <c r="B442" i="5" a="1"/>
  <c r="B442" i="5" s="1"/>
  <c r="C442" i="5" a="1"/>
  <c r="C442" i="5" s="1"/>
  <c r="A443" i="5"/>
  <c r="E439" i="5" l="1"/>
  <c r="D440" i="5"/>
  <c r="B443" i="5" a="1"/>
  <c r="B443" i="5" s="1"/>
  <c r="C443" i="5" a="1"/>
  <c r="C443" i="5" s="1"/>
  <c r="A444" i="5"/>
  <c r="E440" i="5" l="1"/>
  <c r="D441" i="5"/>
  <c r="C444" i="5" a="1"/>
  <c r="C444" i="5" s="1"/>
  <c r="A445" i="5"/>
  <c r="B444" i="5" a="1"/>
  <c r="B444" i="5" s="1"/>
  <c r="E441" i="5" l="1"/>
  <c r="D442" i="5"/>
  <c r="C445" i="5" a="1"/>
  <c r="C445" i="5" s="1"/>
  <c r="A446" i="5"/>
  <c r="B445" i="5" a="1"/>
  <c r="B445" i="5" s="1"/>
  <c r="E442" i="5" l="1"/>
  <c r="D443" i="5"/>
  <c r="A447" i="5"/>
  <c r="B446" i="5" a="1"/>
  <c r="B446" i="5" s="1"/>
  <c r="C446" i="5" a="1"/>
  <c r="C446" i="5" s="1"/>
  <c r="E443" i="5" l="1"/>
  <c r="D444" i="5"/>
  <c r="B447" i="5" a="1"/>
  <c r="B447" i="5" s="1"/>
  <c r="A448" i="5"/>
  <c r="C447" i="5" a="1"/>
  <c r="C447" i="5" s="1"/>
  <c r="E444" i="5" l="1"/>
  <c r="D445" i="5"/>
  <c r="A449" i="5"/>
  <c r="B448" i="5" a="1"/>
  <c r="B448" i="5" s="1"/>
  <c r="C448" i="5" a="1"/>
  <c r="C448" i="5" s="1"/>
  <c r="E445" i="5" l="1"/>
  <c r="D446" i="5"/>
  <c r="B449" i="5" a="1"/>
  <c r="B449" i="5" s="1"/>
  <c r="C449" i="5" a="1"/>
  <c r="C449" i="5" s="1"/>
  <c r="A450" i="5"/>
  <c r="E446" i="5" l="1"/>
  <c r="D447" i="5"/>
  <c r="B450" i="5" a="1"/>
  <c r="B450" i="5" s="1"/>
  <c r="C450" i="5" a="1"/>
  <c r="C450" i="5" s="1"/>
  <c r="A451" i="5"/>
  <c r="E447" i="5" l="1"/>
  <c r="D448" i="5"/>
  <c r="C451" i="5" a="1"/>
  <c r="C451" i="5" s="1"/>
  <c r="B451" i="5" a="1"/>
  <c r="B451" i="5" s="1"/>
  <c r="A452" i="5"/>
  <c r="E448" i="5" l="1"/>
  <c r="D449" i="5"/>
  <c r="B452" i="5" a="1"/>
  <c r="B452" i="5" s="1"/>
  <c r="C452" i="5" a="1"/>
  <c r="C452" i="5" s="1"/>
  <c r="A453" i="5"/>
  <c r="E449" i="5" l="1"/>
  <c r="D450" i="5"/>
  <c r="A454" i="5"/>
  <c r="C453" i="5" a="1"/>
  <c r="C453" i="5" s="1"/>
  <c r="B453" i="5" a="1"/>
  <c r="B453" i="5" s="1"/>
  <c r="E450" i="5" l="1"/>
  <c r="D451" i="5"/>
  <c r="B454" i="5" a="1"/>
  <c r="B454" i="5" s="1"/>
  <c r="C454" i="5" a="1"/>
  <c r="C454" i="5" s="1"/>
  <c r="A455" i="5"/>
  <c r="E451" i="5" l="1"/>
  <c r="D452" i="5"/>
  <c r="A456" i="5"/>
  <c r="B455" i="5" a="1"/>
  <c r="B455" i="5" s="1"/>
  <c r="C455" i="5" a="1"/>
  <c r="C455" i="5" s="1"/>
  <c r="E452" i="5" l="1"/>
  <c r="D453" i="5"/>
  <c r="B456" i="5" a="1"/>
  <c r="B456" i="5" s="1"/>
  <c r="C456" i="5" a="1"/>
  <c r="C456" i="5" s="1"/>
  <c r="A457" i="5"/>
  <c r="E453" i="5" l="1"/>
  <c r="D454" i="5"/>
  <c r="B457" i="5" a="1"/>
  <c r="B457" i="5" s="1"/>
  <c r="C457" i="5" a="1"/>
  <c r="C457" i="5" s="1"/>
  <c r="A458" i="5"/>
  <c r="E454" i="5" l="1"/>
  <c r="D455" i="5"/>
  <c r="B458" i="5" a="1"/>
  <c r="B458" i="5" s="1"/>
  <c r="C458" i="5" a="1"/>
  <c r="C458" i="5" s="1"/>
  <c r="A459" i="5"/>
  <c r="E455" i="5" l="1"/>
  <c r="D456" i="5"/>
  <c r="B459" i="5" a="1"/>
  <c r="B459" i="5" s="1"/>
  <c r="C459" i="5" a="1"/>
  <c r="C459" i="5" s="1"/>
  <c r="A460" i="5"/>
  <c r="E456" i="5" l="1"/>
  <c r="D457" i="5"/>
  <c r="C460" i="5" a="1"/>
  <c r="C460" i="5" s="1"/>
  <c r="A461" i="5"/>
  <c r="B460" i="5" a="1"/>
  <c r="B460" i="5" s="1"/>
  <c r="E457" i="5" l="1"/>
  <c r="D458" i="5"/>
  <c r="C461" i="5" a="1"/>
  <c r="C461" i="5" s="1"/>
  <c r="A462" i="5"/>
  <c r="B461" i="5" a="1"/>
  <c r="B461" i="5" s="1"/>
  <c r="E458" i="5" l="1"/>
  <c r="D459" i="5"/>
  <c r="A463" i="5"/>
  <c r="B462" i="5" a="1"/>
  <c r="B462" i="5" s="1"/>
  <c r="C462" i="5" a="1"/>
  <c r="C462" i="5" s="1"/>
  <c r="E459" i="5" l="1"/>
  <c r="D460" i="5"/>
  <c r="B463" i="5" a="1"/>
  <c r="B463" i="5" s="1"/>
  <c r="A464" i="5"/>
  <c r="C463" i="5" a="1"/>
  <c r="C463" i="5" s="1"/>
  <c r="E460" i="5" l="1"/>
  <c r="D461" i="5"/>
  <c r="A465" i="5"/>
  <c r="B464" i="5" a="1"/>
  <c r="B464" i="5" s="1"/>
  <c r="C464" i="5" a="1"/>
  <c r="C464" i="5" s="1"/>
  <c r="E461" i="5" l="1"/>
  <c r="D462" i="5"/>
  <c r="B465" i="5" a="1"/>
  <c r="B465" i="5" s="1"/>
  <c r="C465" i="5" a="1"/>
  <c r="C465" i="5" s="1"/>
  <c r="A466" i="5"/>
  <c r="E462" i="5" l="1"/>
  <c r="D463" i="5"/>
  <c r="B466" i="5" a="1"/>
  <c r="B466" i="5" s="1"/>
  <c r="C466" i="5" a="1"/>
  <c r="C466" i="5" s="1"/>
  <c r="A467" i="5"/>
  <c r="E463" i="5" l="1"/>
  <c r="D464" i="5"/>
  <c r="C467" i="5" a="1"/>
  <c r="C467" i="5" s="1"/>
  <c r="B467" i="5" a="1"/>
  <c r="B467" i="5" s="1"/>
  <c r="A468" i="5"/>
  <c r="E464" i="5" l="1"/>
  <c r="D465" i="5"/>
  <c r="B468" i="5" a="1"/>
  <c r="B468" i="5" s="1"/>
  <c r="C468" i="5" a="1"/>
  <c r="C468" i="5" s="1"/>
  <c r="A469" i="5"/>
  <c r="E465" i="5" l="1"/>
  <c r="D466" i="5"/>
  <c r="A470" i="5"/>
  <c r="C469" i="5" a="1"/>
  <c r="C469" i="5" s="1"/>
  <c r="B469" i="5" a="1"/>
  <c r="B469" i="5" s="1"/>
  <c r="E466" i="5" l="1"/>
  <c r="D467" i="5"/>
  <c r="B470" i="5" a="1"/>
  <c r="B470" i="5" s="1"/>
  <c r="C470" i="5" a="1"/>
  <c r="C470" i="5" s="1"/>
  <c r="A471" i="5"/>
  <c r="E467" i="5" l="1"/>
  <c r="D468" i="5"/>
  <c r="A472" i="5"/>
  <c r="B471" i="5" a="1"/>
  <c r="B471" i="5" s="1"/>
  <c r="C471" i="5" a="1"/>
  <c r="C471" i="5" s="1"/>
  <c r="E468" i="5" l="1"/>
  <c r="D469" i="5"/>
  <c r="B472" i="5" a="1"/>
  <c r="B472" i="5" s="1"/>
  <c r="C472" i="5" a="1"/>
  <c r="C472" i="5" s="1"/>
  <c r="A473" i="5"/>
  <c r="E469" i="5" l="1"/>
  <c r="D470" i="5"/>
  <c r="B473" i="5" a="1"/>
  <c r="B473" i="5" s="1"/>
  <c r="C473" i="5" a="1"/>
  <c r="C473" i="5" s="1"/>
  <c r="A474" i="5"/>
  <c r="E470" i="5" l="1"/>
  <c r="D471" i="5"/>
  <c r="B474" i="5" a="1"/>
  <c r="B474" i="5" s="1"/>
  <c r="C474" i="5" a="1"/>
  <c r="C474" i="5" s="1"/>
  <c r="A475" i="5"/>
  <c r="E471" i="5" l="1"/>
  <c r="D472" i="5"/>
  <c r="B475" i="5" a="1"/>
  <c r="B475" i="5" s="1"/>
  <c r="C475" i="5" a="1"/>
  <c r="C475" i="5" s="1"/>
  <c r="A476" i="5"/>
  <c r="E472" i="5" l="1"/>
  <c r="D473" i="5"/>
  <c r="C476" i="5" a="1"/>
  <c r="C476" i="5" s="1"/>
  <c r="A477" i="5"/>
  <c r="B476" i="5" a="1"/>
  <c r="B476" i="5" s="1"/>
  <c r="E473" i="5" l="1"/>
  <c r="D474" i="5"/>
  <c r="C477" i="5" a="1"/>
  <c r="C477" i="5" s="1"/>
  <c r="A478" i="5"/>
  <c r="B477" i="5" a="1"/>
  <c r="B477" i="5" s="1"/>
  <c r="E474" i="5" l="1"/>
  <c r="D475" i="5"/>
  <c r="A479" i="5"/>
  <c r="B478" i="5" a="1"/>
  <c r="B478" i="5" s="1"/>
  <c r="C478" i="5" a="1"/>
  <c r="C478" i="5" s="1"/>
  <c r="E475" i="5" l="1"/>
  <c r="D476" i="5"/>
  <c r="B479" i="5" a="1"/>
  <c r="B479" i="5" s="1"/>
  <c r="A480" i="5"/>
  <c r="C479" i="5" a="1"/>
  <c r="C479" i="5" s="1"/>
  <c r="E476" i="5" l="1"/>
  <c r="D477" i="5"/>
  <c r="A481" i="5"/>
  <c r="B480" i="5" a="1"/>
  <c r="B480" i="5" s="1"/>
  <c r="C480" i="5" a="1"/>
  <c r="C480" i="5" s="1"/>
  <c r="E477" i="5" l="1"/>
  <c r="D478" i="5"/>
  <c r="B481" i="5" a="1"/>
  <c r="B481" i="5" s="1"/>
  <c r="C481" i="5" a="1"/>
  <c r="C481" i="5" s="1"/>
  <c r="A482" i="5"/>
  <c r="E478" i="5" l="1"/>
  <c r="D479" i="5"/>
  <c r="B482" i="5" a="1"/>
  <c r="B482" i="5" s="1"/>
  <c r="C482" i="5" a="1"/>
  <c r="C482" i="5" s="1"/>
  <c r="A483" i="5"/>
  <c r="E479" i="5" l="1"/>
  <c r="D480" i="5"/>
  <c r="C483" i="5" a="1"/>
  <c r="C483" i="5" s="1"/>
  <c r="B483" i="5" a="1"/>
  <c r="B483" i="5" s="1"/>
  <c r="A484" i="5"/>
  <c r="E480" i="5" l="1"/>
  <c r="D481" i="5"/>
  <c r="B484" i="5" a="1"/>
  <c r="B484" i="5" s="1"/>
  <c r="C484" i="5" a="1"/>
  <c r="C484" i="5" s="1"/>
  <c r="A485" i="5"/>
  <c r="E481" i="5" l="1"/>
  <c r="D482" i="5"/>
  <c r="A486" i="5"/>
  <c r="C485" i="5" a="1"/>
  <c r="C485" i="5" s="1"/>
  <c r="B485" i="5" a="1"/>
  <c r="B485" i="5" s="1"/>
  <c r="E482" i="5" l="1"/>
  <c r="D483" i="5"/>
  <c r="B486" i="5" a="1"/>
  <c r="B486" i="5" s="1"/>
  <c r="C486" i="5" a="1"/>
  <c r="C486" i="5" s="1"/>
  <c r="A487" i="5"/>
  <c r="E483" i="5" l="1"/>
  <c r="D484" i="5"/>
  <c r="A488" i="5"/>
  <c r="B487" i="5" a="1"/>
  <c r="B487" i="5" s="1"/>
  <c r="C487" i="5" a="1"/>
  <c r="C487" i="5" s="1"/>
  <c r="E484" i="5" l="1"/>
  <c r="D485" i="5"/>
  <c r="B488" i="5" a="1"/>
  <c r="B488" i="5" s="1"/>
  <c r="C488" i="5" a="1"/>
  <c r="C488" i="5" s="1"/>
  <c r="A489" i="5"/>
  <c r="E485" i="5" l="1"/>
  <c r="D486" i="5"/>
  <c r="B489" i="5" a="1"/>
  <c r="B489" i="5" s="1"/>
  <c r="C489" i="5" a="1"/>
  <c r="C489" i="5" s="1"/>
  <c r="A490" i="5"/>
  <c r="E486" i="5" l="1"/>
  <c r="D487" i="5"/>
  <c r="B490" i="5" a="1"/>
  <c r="B490" i="5" s="1"/>
  <c r="C490" i="5" a="1"/>
  <c r="C490" i="5" s="1"/>
  <c r="A491" i="5"/>
  <c r="E487" i="5" l="1"/>
  <c r="D488" i="5"/>
  <c r="B491" i="5" a="1"/>
  <c r="B491" i="5" s="1"/>
  <c r="C491" i="5" a="1"/>
  <c r="C491" i="5" s="1"/>
  <c r="A492" i="5"/>
  <c r="E488" i="5" l="1"/>
  <c r="D489" i="5"/>
  <c r="C492" i="5" a="1"/>
  <c r="C492" i="5" s="1"/>
  <c r="A493" i="5"/>
  <c r="B492" i="5" a="1"/>
  <c r="B492" i="5" s="1"/>
  <c r="E489" i="5" l="1"/>
  <c r="D490" i="5"/>
  <c r="C493" i="5" a="1"/>
  <c r="C493" i="5" s="1"/>
  <c r="A494" i="5"/>
  <c r="B493" i="5" a="1"/>
  <c r="B493" i="5" s="1"/>
  <c r="E490" i="5" l="1"/>
  <c r="D491" i="5"/>
  <c r="A495" i="5"/>
  <c r="B494" i="5" a="1"/>
  <c r="B494" i="5" s="1"/>
  <c r="C494" i="5" a="1"/>
  <c r="C494" i="5" s="1"/>
  <c r="E491" i="5" l="1"/>
  <c r="D492" i="5"/>
  <c r="B495" i="5" a="1"/>
  <c r="B495" i="5" s="1"/>
  <c r="A496" i="5"/>
  <c r="C495" i="5" a="1"/>
  <c r="C495" i="5" s="1"/>
  <c r="E492" i="5" l="1"/>
  <c r="D493" i="5"/>
  <c r="A497" i="5"/>
  <c r="B496" i="5" a="1"/>
  <c r="B496" i="5" s="1"/>
  <c r="C496" i="5" a="1"/>
  <c r="C496" i="5" s="1"/>
  <c r="E493" i="5" l="1"/>
  <c r="D494" i="5"/>
  <c r="B497" i="5" a="1"/>
  <c r="B497" i="5" s="1"/>
  <c r="C497" i="5" a="1"/>
  <c r="C497" i="5" s="1"/>
  <c r="A498" i="5"/>
  <c r="E494" i="5" l="1"/>
  <c r="D495" i="5"/>
  <c r="B498" i="5" a="1"/>
  <c r="B498" i="5" s="1"/>
  <c r="C498" i="5" a="1"/>
  <c r="C498" i="5" s="1"/>
  <c r="A499" i="5"/>
  <c r="E495" i="5" l="1"/>
  <c r="D496" i="5"/>
  <c r="C499" i="5" a="1"/>
  <c r="C499" i="5" s="1"/>
  <c r="B499" i="5" a="1"/>
  <c r="B499" i="5" s="1"/>
  <c r="A500" i="5"/>
  <c r="E496" i="5" l="1"/>
  <c r="D497" i="5"/>
  <c r="B500" i="5" a="1"/>
  <c r="B500" i="5" s="1"/>
  <c r="C500" i="5" a="1"/>
  <c r="C500" i="5" s="1"/>
  <c r="A501" i="5"/>
  <c r="E497" i="5" l="1"/>
  <c r="D498" i="5"/>
  <c r="A502" i="5"/>
  <c r="C501" i="5" a="1"/>
  <c r="C501" i="5" s="1"/>
  <c r="B501" i="5" a="1"/>
  <c r="B501" i="5" s="1"/>
  <c r="E498" i="5" l="1"/>
  <c r="D499" i="5"/>
  <c r="B502" i="5" a="1"/>
  <c r="B502" i="5" s="1"/>
  <c r="C502" i="5" a="1"/>
  <c r="C502" i="5" s="1"/>
  <c r="A503" i="5"/>
  <c r="E499" i="5" l="1"/>
  <c r="D500" i="5"/>
  <c r="A504" i="5"/>
  <c r="B503" i="5" a="1"/>
  <c r="B503" i="5" s="1"/>
  <c r="C503" i="5" a="1"/>
  <c r="C503" i="5" s="1"/>
  <c r="E500" i="5" l="1"/>
  <c r="D501" i="5"/>
  <c r="B504" i="5" a="1"/>
  <c r="B504" i="5" s="1"/>
  <c r="C504" i="5" a="1"/>
  <c r="C504" i="5" s="1"/>
  <c r="A505" i="5"/>
  <c r="E501" i="5" l="1"/>
  <c r="D502" i="5"/>
  <c r="B505" i="5" a="1"/>
  <c r="B505" i="5" s="1"/>
  <c r="C505" i="5" a="1"/>
  <c r="C505" i="5" s="1"/>
  <c r="A506" i="5"/>
  <c r="E502" i="5" l="1"/>
  <c r="D503" i="5"/>
  <c r="B506" i="5" a="1"/>
  <c r="B506" i="5" s="1"/>
  <c r="C506" i="5" a="1"/>
  <c r="C506" i="5" s="1"/>
  <c r="A507" i="5"/>
  <c r="E503" i="5" l="1"/>
  <c r="D504" i="5"/>
  <c r="B507" i="5" a="1"/>
  <c r="B507" i="5" s="1"/>
  <c r="C507" i="5" a="1"/>
  <c r="C507" i="5" s="1"/>
  <c r="A508" i="5"/>
  <c r="E504" i="5" l="1"/>
  <c r="D505" i="5"/>
  <c r="C508" i="5" a="1"/>
  <c r="C508" i="5" s="1"/>
  <c r="A509" i="5"/>
  <c r="B508" i="5" a="1"/>
  <c r="B508" i="5" s="1"/>
  <c r="E505" i="5" l="1"/>
  <c r="D506" i="5"/>
  <c r="C509" i="5" a="1"/>
  <c r="C509" i="5" s="1"/>
  <c r="A510" i="5"/>
  <c r="B509" i="5" a="1"/>
  <c r="B509" i="5" s="1"/>
  <c r="E506" i="5" l="1"/>
  <c r="D507" i="5"/>
  <c r="A511" i="5"/>
  <c r="B510" i="5" a="1"/>
  <c r="B510" i="5" s="1"/>
  <c r="C510" i="5" a="1"/>
  <c r="C510" i="5" s="1"/>
  <c r="E507" i="5" l="1"/>
  <c r="D508" i="5"/>
  <c r="B511" i="5" a="1"/>
  <c r="B511" i="5" s="1"/>
  <c r="A512" i="5"/>
  <c r="C511" i="5" a="1"/>
  <c r="C511" i="5" s="1"/>
  <c r="E508" i="5" l="1"/>
  <c r="D509" i="5"/>
  <c r="A513" i="5"/>
  <c r="B512" i="5" a="1"/>
  <c r="B512" i="5" s="1"/>
  <c r="C512" i="5" a="1"/>
  <c r="C512" i="5" s="1"/>
  <c r="E509" i="5" l="1"/>
  <c r="D510" i="5"/>
  <c r="B513" i="5" a="1"/>
  <c r="B513" i="5" s="1"/>
  <c r="C513" i="5" a="1"/>
  <c r="C513" i="5" s="1"/>
  <c r="A514" i="5"/>
  <c r="E510" i="5" l="1"/>
  <c r="D511" i="5"/>
  <c r="B514" i="5" a="1"/>
  <c r="B514" i="5" s="1"/>
  <c r="C514" i="5" a="1"/>
  <c r="C514" i="5" s="1"/>
  <c r="A515" i="5"/>
  <c r="E511" i="5" l="1"/>
  <c r="D512" i="5"/>
  <c r="C515" i="5" a="1"/>
  <c r="C515" i="5" s="1"/>
  <c r="B515" i="5" a="1"/>
  <c r="B515" i="5" s="1"/>
  <c r="A516" i="5"/>
  <c r="E512" i="5" l="1"/>
  <c r="D513" i="5"/>
  <c r="B516" i="5" a="1"/>
  <c r="B516" i="5" s="1"/>
  <c r="C516" i="5" a="1"/>
  <c r="C516" i="5" s="1"/>
  <c r="A517" i="5"/>
  <c r="E513" i="5" l="1"/>
  <c r="D514" i="5"/>
  <c r="A518" i="5"/>
  <c r="C517" i="5" a="1"/>
  <c r="C517" i="5" s="1"/>
  <c r="B517" i="5" a="1"/>
  <c r="B517" i="5" s="1"/>
  <c r="E514" i="5" l="1"/>
  <c r="D515" i="5"/>
  <c r="B518" i="5" a="1"/>
  <c r="B518" i="5" s="1"/>
  <c r="C518" i="5" a="1"/>
  <c r="C518" i="5" s="1"/>
  <c r="A519" i="5"/>
  <c r="E515" i="5" l="1"/>
  <c r="D516" i="5"/>
  <c r="A520" i="5"/>
  <c r="B519" i="5" a="1"/>
  <c r="B519" i="5" s="1"/>
  <c r="C519" i="5" a="1"/>
  <c r="C519" i="5" s="1"/>
  <c r="E516" i="5" l="1"/>
  <c r="D517" i="5"/>
  <c r="B520" i="5" a="1"/>
  <c r="B520" i="5" s="1"/>
  <c r="C520" i="5" a="1"/>
  <c r="C520" i="5" s="1"/>
  <c r="A521" i="5"/>
  <c r="E517" i="5" l="1"/>
  <c r="D518" i="5"/>
  <c r="B521" i="5" a="1"/>
  <c r="B521" i="5" s="1"/>
  <c r="C521" i="5" a="1"/>
  <c r="C521" i="5" s="1"/>
  <c r="A522" i="5"/>
  <c r="E518" i="5" l="1"/>
  <c r="D519" i="5"/>
  <c r="B522" i="5" a="1"/>
  <c r="B522" i="5" s="1"/>
  <c r="C522" i="5" a="1"/>
  <c r="C522" i="5" s="1"/>
  <c r="A523" i="5"/>
  <c r="E519" i="5" l="1"/>
  <c r="D520" i="5"/>
  <c r="B523" i="5" a="1"/>
  <c r="B523" i="5" s="1"/>
  <c r="C523" i="5" a="1"/>
  <c r="C523" i="5" s="1"/>
  <c r="A524" i="5"/>
  <c r="E520" i="5" l="1"/>
  <c r="D521" i="5"/>
  <c r="C524" i="5" a="1"/>
  <c r="C524" i="5" s="1"/>
  <c r="A525" i="5"/>
  <c r="B524" i="5" a="1"/>
  <c r="B524" i="5" s="1"/>
  <c r="E521" i="5" l="1"/>
  <c r="D522" i="5"/>
  <c r="C525" i="5" a="1"/>
  <c r="C525" i="5" s="1"/>
  <c r="A526" i="5"/>
  <c r="B525" i="5" a="1"/>
  <c r="B525" i="5" s="1"/>
  <c r="E522" i="5" l="1"/>
  <c r="D523" i="5"/>
  <c r="A527" i="5"/>
  <c r="B526" i="5" a="1"/>
  <c r="B526" i="5" s="1"/>
  <c r="C526" i="5" a="1"/>
  <c r="C526" i="5" s="1"/>
  <c r="E523" i="5" l="1"/>
  <c r="D524" i="5"/>
  <c r="B527" i="5" a="1"/>
  <c r="B527" i="5" s="1"/>
  <c r="A528" i="5"/>
  <c r="C527" i="5" a="1"/>
  <c r="C527" i="5" s="1"/>
  <c r="E524" i="5" l="1"/>
  <c r="D525" i="5"/>
  <c r="A529" i="5"/>
  <c r="B528" i="5" a="1"/>
  <c r="B528" i="5" s="1"/>
  <c r="C528" i="5" a="1"/>
  <c r="C528" i="5" s="1"/>
  <c r="E525" i="5" l="1"/>
  <c r="D526" i="5"/>
  <c r="B529" i="5" a="1"/>
  <c r="B529" i="5" s="1"/>
  <c r="C529" i="5" a="1"/>
  <c r="C529" i="5" s="1"/>
  <c r="A530" i="5"/>
  <c r="E526" i="5" l="1"/>
  <c r="D527" i="5"/>
  <c r="B530" i="5" a="1"/>
  <c r="B530" i="5" s="1"/>
  <c r="C530" i="5" a="1"/>
  <c r="C530" i="5" s="1"/>
  <c r="A531" i="5"/>
  <c r="E527" i="5" l="1"/>
  <c r="D528" i="5"/>
  <c r="C531" i="5" a="1"/>
  <c r="C531" i="5" s="1"/>
  <c r="B531" i="5" a="1"/>
  <c r="B531" i="5" s="1"/>
  <c r="A532" i="5"/>
  <c r="E528" i="5" l="1"/>
  <c r="D529" i="5"/>
  <c r="B532" i="5" a="1"/>
  <c r="B532" i="5" s="1"/>
  <c r="C532" i="5" a="1"/>
  <c r="C532" i="5" s="1"/>
  <c r="A533" i="5"/>
  <c r="E529" i="5" l="1"/>
  <c r="D530" i="5"/>
  <c r="A534" i="5"/>
  <c r="C533" i="5" a="1"/>
  <c r="C533" i="5" s="1"/>
  <c r="B533" i="5" a="1"/>
  <c r="B533" i="5" s="1"/>
  <c r="E530" i="5" l="1"/>
  <c r="D531" i="5"/>
  <c r="B534" i="5" a="1"/>
  <c r="B534" i="5" s="1"/>
  <c r="C534" i="5" a="1"/>
  <c r="C534" i="5" s="1"/>
  <c r="A535" i="5"/>
  <c r="E531" i="5" l="1"/>
  <c r="D532" i="5"/>
  <c r="A536" i="5"/>
  <c r="B535" i="5" a="1"/>
  <c r="B535" i="5" s="1"/>
  <c r="C535" i="5" a="1"/>
  <c r="C535" i="5" s="1"/>
  <c r="E532" i="5" l="1"/>
  <c r="D533" i="5"/>
  <c r="B536" i="5" a="1"/>
  <c r="B536" i="5" s="1"/>
  <c r="C536" i="5" a="1"/>
  <c r="C536" i="5" s="1"/>
  <c r="A537" i="5"/>
  <c r="E533" i="5" l="1"/>
  <c r="D534" i="5"/>
  <c r="B537" i="5" a="1"/>
  <c r="B537" i="5" s="1"/>
  <c r="C537" i="5" a="1"/>
  <c r="C537" i="5" s="1"/>
  <c r="A538" i="5"/>
  <c r="E534" i="5" l="1"/>
  <c r="D535" i="5"/>
  <c r="B538" i="5" a="1"/>
  <c r="B538" i="5" s="1"/>
  <c r="C538" i="5" a="1"/>
  <c r="C538" i="5" s="1"/>
  <c r="A539" i="5"/>
  <c r="E535" i="5" l="1"/>
  <c r="D536" i="5"/>
  <c r="C539" i="5" a="1"/>
  <c r="C539" i="5" s="1"/>
  <c r="A540" i="5"/>
  <c r="B539" i="5" a="1"/>
  <c r="B539" i="5" s="1"/>
  <c r="E536" i="5" l="1"/>
  <c r="D537" i="5"/>
  <c r="C540" i="5" a="1"/>
  <c r="C540" i="5" s="1"/>
  <c r="A541" i="5"/>
  <c r="B540" i="5" a="1"/>
  <c r="B540" i="5" s="1"/>
  <c r="E537" i="5" l="1"/>
  <c r="D538" i="5"/>
  <c r="A542" i="5"/>
  <c r="C541" i="5" a="1"/>
  <c r="C541" i="5" s="1"/>
  <c r="B541" i="5" a="1"/>
  <c r="B541" i="5" s="1"/>
  <c r="E538" i="5" l="1"/>
  <c r="D539" i="5"/>
  <c r="A543" i="5"/>
  <c r="B542" i="5" a="1"/>
  <c r="B542" i="5" s="1"/>
  <c r="C542" i="5" a="1"/>
  <c r="C542" i="5" s="1"/>
  <c r="E539" i="5" l="1"/>
  <c r="D540" i="5"/>
  <c r="B543" i="5" a="1"/>
  <c r="B543" i="5" s="1"/>
  <c r="A544" i="5"/>
  <c r="C543" i="5" a="1"/>
  <c r="C543" i="5" s="1"/>
  <c r="E540" i="5" l="1"/>
  <c r="D541" i="5"/>
  <c r="A545" i="5"/>
  <c r="B544" i="5" a="1"/>
  <c r="B544" i="5" s="1"/>
  <c r="C544" i="5" a="1"/>
  <c r="C544" i="5" s="1"/>
  <c r="E541" i="5" l="1"/>
  <c r="D542" i="5"/>
  <c r="B545" i="5" a="1"/>
  <c r="B545" i="5" s="1"/>
  <c r="C545" i="5" a="1"/>
  <c r="C545" i="5" s="1"/>
  <c r="A546" i="5"/>
  <c r="E542" i="5" l="1"/>
  <c r="D543" i="5"/>
  <c r="B546" i="5" a="1"/>
  <c r="B546" i="5" s="1"/>
  <c r="C546" i="5" a="1"/>
  <c r="C546" i="5" s="1"/>
  <c r="A547" i="5"/>
  <c r="E543" i="5" l="1"/>
  <c r="D544" i="5"/>
  <c r="C547" i="5" a="1"/>
  <c r="C547" i="5" s="1"/>
  <c r="B547" i="5" a="1"/>
  <c r="B547" i="5" s="1"/>
  <c r="A548" i="5"/>
  <c r="E544" i="5" l="1"/>
  <c r="D545" i="5"/>
  <c r="B548" i="5" a="1"/>
  <c r="B548" i="5" s="1"/>
  <c r="C548" i="5" a="1"/>
  <c r="C548" i="5" s="1"/>
  <c r="A549" i="5"/>
  <c r="E545" i="5" l="1"/>
  <c r="D546" i="5"/>
  <c r="A550" i="5"/>
  <c r="C549" i="5" a="1"/>
  <c r="C549" i="5" s="1"/>
  <c r="B549" i="5" a="1"/>
  <c r="B549" i="5" s="1"/>
  <c r="E546" i="5" l="1"/>
  <c r="D547" i="5"/>
  <c r="B550" i="5" a="1"/>
  <c r="B550" i="5" s="1"/>
  <c r="C550" i="5" a="1"/>
  <c r="C550" i="5" s="1"/>
  <c r="A551" i="5"/>
  <c r="E547" i="5" l="1"/>
  <c r="D548" i="5"/>
  <c r="A552" i="5"/>
  <c r="B551" i="5" a="1"/>
  <c r="B551" i="5" s="1"/>
  <c r="C551" i="5" a="1"/>
  <c r="C551" i="5" s="1"/>
  <c r="E548" i="5" l="1"/>
  <c r="D549" i="5"/>
  <c r="B552" i="5" a="1"/>
  <c r="B552" i="5" s="1"/>
  <c r="C552" i="5" a="1"/>
  <c r="C552" i="5" s="1"/>
  <c r="A553" i="5"/>
  <c r="E549" i="5" l="1"/>
  <c r="D550" i="5"/>
  <c r="B553" i="5" a="1"/>
  <c r="B553" i="5" s="1"/>
  <c r="C553" i="5" a="1"/>
  <c r="C553" i="5" s="1"/>
  <c r="A554" i="5"/>
  <c r="E550" i="5" l="1"/>
  <c r="D551" i="5"/>
  <c r="B554" i="5" a="1"/>
  <c r="B554" i="5" s="1"/>
  <c r="C554" i="5" a="1"/>
  <c r="C554" i="5" s="1"/>
  <c r="A555" i="5"/>
  <c r="E551" i="5" l="1"/>
  <c r="D552" i="5"/>
  <c r="C555" i="5" a="1"/>
  <c r="C555" i="5" s="1"/>
  <c r="B555" i="5" a="1"/>
  <c r="B555" i="5" s="1"/>
  <c r="A556" i="5"/>
  <c r="E552" i="5" l="1"/>
  <c r="D553" i="5"/>
  <c r="C556" i="5" a="1"/>
  <c r="C556" i="5" s="1"/>
  <c r="A557" i="5"/>
  <c r="B556" i="5" a="1"/>
  <c r="B556" i="5" s="1"/>
  <c r="E553" i="5" l="1"/>
  <c r="D554" i="5"/>
  <c r="B557" i="5" a="1"/>
  <c r="B557" i="5" s="1"/>
  <c r="C557" i="5" a="1"/>
  <c r="C557" i="5" s="1"/>
  <c r="A558" i="5"/>
  <c r="E554" i="5" l="1"/>
  <c r="D555" i="5"/>
  <c r="A559" i="5"/>
  <c r="B558" i="5" a="1"/>
  <c r="B558" i="5" s="1"/>
  <c r="C558" i="5" a="1"/>
  <c r="C558" i="5" s="1"/>
  <c r="E555" i="5" l="1"/>
  <c r="D556" i="5"/>
  <c r="B559" i="5" a="1"/>
  <c r="B559" i="5" s="1"/>
  <c r="C559" i="5" a="1"/>
  <c r="C559" i="5" s="1"/>
  <c r="A560" i="5"/>
  <c r="E556" i="5" l="1"/>
  <c r="D557" i="5"/>
  <c r="B560" i="5" a="1"/>
  <c r="B560" i="5" s="1"/>
  <c r="C560" i="5" a="1"/>
  <c r="C560" i="5" s="1"/>
  <c r="A561" i="5"/>
  <c r="E557" i="5" l="1"/>
  <c r="D558" i="5"/>
  <c r="B561" i="5" a="1"/>
  <c r="B561" i="5" s="1"/>
  <c r="A562" i="5"/>
  <c r="C561" i="5" a="1"/>
  <c r="C561" i="5" s="1"/>
  <c r="E558" i="5" l="1"/>
  <c r="D559" i="5"/>
  <c r="A563" i="5"/>
  <c r="C562" i="5" a="1"/>
  <c r="C562" i="5" s="1"/>
  <c r="B562" i="5" a="1"/>
  <c r="B562" i="5" s="1"/>
  <c r="E559" i="5" l="1"/>
  <c r="D560" i="5"/>
  <c r="C563" i="5" a="1"/>
  <c r="C563" i="5" s="1"/>
  <c r="B563" i="5" a="1"/>
  <c r="B563" i="5" s="1"/>
  <c r="A564" i="5"/>
  <c r="E560" i="5" l="1"/>
  <c r="D561" i="5"/>
  <c r="A565" i="5"/>
  <c r="B564" i="5" a="1"/>
  <c r="B564" i="5" s="1"/>
  <c r="C564" i="5" a="1"/>
  <c r="C564" i="5" s="1"/>
  <c r="E561" i="5" l="1"/>
  <c r="D562" i="5"/>
  <c r="A566" i="5"/>
  <c r="B565" i="5" a="1"/>
  <c r="B565" i="5" s="1"/>
  <c r="C565" i="5" a="1"/>
  <c r="C565" i="5" s="1"/>
  <c r="E562" i="5" l="1"/>
  <c r="D563" i="5"/>
  <c r="B566" i="5" a="1"/>
  <c r="B566" i="5" s="1"/>
  <c r="C566" i="5" a="1"/>
  <c r="C566" i="5" s="1"/>
  <c r="A567" i="5"/>
  <c r="E563" i="5" l="1"/>
  <c r="D564" i="5"/>
  <c r="B567" i="5" a="1"/>
  <c r="B567" i="5" s="1"/>
  <c r="A568" i="5"/>
  <c r="C567" i="5" a="1"/>
  <c r="C567" i="5" s="1"/>
  <c r="E564" i="5" l="1"/>
  <c r="D565" i="5"/>
  <c r="B568" i="5" a="1"/>
  <c r="B568" i="5" s="1"/>
  <c r="C568" i="5" a="1"/>
  <c r="C568" i="5" s="1"/>
  <c r="A569" i="5"/>
  <c r="E565" i="5" l="1"/>
  <c r="D566" i="5"/>
  <c r="C569" i="5" a="1"/>
  <c r="C569" i="5" s="1"/>
  <c r="B569" i="5" a="1"/>
  <c r="B569" i="5" s="1"/>
  <c r="A570" i="5"/>
  <c r="E566" i="5" l="1"/>
  <c r="D567" i="5"/>
  <c r="C570" i="5" a="1"/>
  <c r="C570" i="5" s="1"/>
  <c r="A571" i="5"/>
  <c r="B570" i="5" a="1"/>
  <c r="B570" i="5" s="1"/>
  <c r="E567" i="5" l="1"/>
  <c r="D568" i="5"/>
  <c r="B571" i="5" a="1"/>
  <c r="B571" i="5" s="1"/>
  <c r="C571" i="5" a="1"/>
  <c r="C571" i="5" s="1"/>
  <c r="A572" i="5"/>
  <c r="E568" i="5" l="1"/>
  <c r="D569" i="5"/>
  <c r="B572" i="5" a="1"/>
  <c r="B572" i="5" s="1"/>
  <c r="A573" i="5"/>
  <c r="C572" i="5" a="1"/>
  <c r="C572" i="5" s="1"/>
  <c r="E569" i="5" l="1"/>
  <c r="D570" i="5"/>
  <c r="A574" i="5"/>
  <c r="C573" i="5" a="1"/>
  <c r="C573" i="5" s="1"/>
  <c r="B573" i="5" a="1"/>
  <c r="B573" i="5" s="1"/>
  <c r="E570" i="5" l="1"/>
  <c r="D571" i="5"/>
  <c r="C574" i="5" a="1"/>
  <c r="C574" i="5" s="1"/>
  <c r="A575" i="5"/>
  <c r="B574" i="5" a="1"/>
  <c r="B574" i="5" s="1"/>
  <c r="E571" i="5" l="1"/>
  <c r="D572" i="5"/>
  <c r="B575" i="5" a="1"/>
  <c r="B575" i="5" s="1"/>
  <c r="A576" i="5"/>
  <c r="C575" i="5" a="1"/>
  <c r="C575" i="5" s="1"/>
  <c r="E572" i="5" l="1"/>
  <c r="D573" i="5"/>
  <c r="C576" i="5" a="1"/>
  <c r="C576" i="5" s="1"/>
  <c r="A577" i="5"/>
  <c r="B576" i="5" a="1"/>
  <c r="B576" i="5" s="1"/>
  <c r="E573" i="5" l="1"/>
  <c r="D574" i="5"/>
  <c r="C577" i="5" a="1"/>
  <c r="C577" i="5" s="1"/>
  <c r="A578" i="5"/>
  <c r="B577" i="5" a="1"/>
  <c r="B577" i="5" s="1"/>
  <c r="E574" i="5" l="1"/>
  <c r="D575" i="5"/>
  <c r="A579" i="5"/>
  <c r="B578" i="5" a="1"/>
  <c r="B578" i="5" s="1"/>
  <c r="C578" i="5" a="1"/>
  <c r="C578" i="5" s="1"/>
  <c r="E575" i="5" l="1"/>
  <c r="D576" i="5"/>
  <c r="B579" i="5" a="1"/>
  <c r="B579" i="5" s="1"/>
  <c r="C579" i="5" a="1"/>
  <c r="C579" i="5" s="1"/>
  <c r="A580" i="5"/>
  <c r="E576" i="5" l="1"/>
  <c r="D577" i="5"/>
  <c r="C580" i="5" a="1"/>
  <c r="C580" i="5" s="1"/>
  <c r="A581" i="5"/>
  <c r="B580" i="5" a="1"/>
  <c r="B580" i="5" s="1"/>
  <c r="E577" i="5" l="1"/>
  <c r="D578" i="5"/>
  <c r="A582" i="5"/>
  <c r="B581" i="5" a="1"/>
  <c r="B581" i="5" s="1"/>
  <c r="C581" i="5" a="1"/>
  <c r="C581" i="5" s="1"/>
  <c r="E578" i="5" l="1"/>
  <c r="D579" i="5"/>
  <c r="B582" i="5" a="1"/>
  <c r="B582" i="5" s="1"/>
  <c r="C582" i="5" a="1"/>
  <c r="C582" i="5" s="1"/>
  <c r="A583" i="5"/>
  <c r="E579" i="5" l="1"/>
  <c r="D580" i="5"/>
  <c r="B583" i="5" a="1"/>
  <c r="B583" i="5" s="1"/>
  <c r="C583" i="5" a="1"/>
  <c r="C583" i="5" s="1"/>
  <c r="A584" i="5"/>
  <c r="E580" i="5" l="1"/>
  <c r="D581" i="5"/>
  <c r="B584" i="5" a="1"/>
  <c r="B584" i="5" s="1"/>
  <c r="C584" i="5" a="1"/>
  <c r="C584" i="5" s="1"/>
  <c r="A585" i="5"/>
  <c r="E581" i="5" l="1"/>
  <c r="D582" i="5"/>
  <c r="C585" i="5" a="1"/>
  <c r="C585" i="5" s="1"/>
  <c r="B585" i="5" a="1"/>
  <c r="B585" i="5" s="1"/>
  <c r="A586" i="5"/>
  <c r="E582" i="5" l="1"/>
  <c r="D583" i="5"/>
  <c r="C586" i="5" a="1"/>
  <c r="C586" i="5" s="1"/>
  <c r="B586" i="5" a="1"/>
  <c r="B586" i="5" s="1"/>
  <c r="A587" i="5"/>
  <c r="E583" i="5" l="1"/>
  <c r="D584" i="5"/>
  <c r="B587" i="5" a="1"/>
  <c r="B587" i="5" s="1"/>
  <c r="C587" i="5" a="1"/>
  <c r="C587" i="5" s="1"/>
  <c r="A588" i="5"/>
  <c r="E584" i="5" l="1"/>
  <c r="D585" i="5"/>
  <c r="B588" i="5" a="1"/>
  <c r="B588" i="5" s="1"/>
  <c r="A589" i="5"/>
  <c r="C588" i="5" a="1"/>
  <c r="C588" i="5" s="1"/>
  <c r="E585" i="5" l="1"/>
  <c r="D586" i="5"/>
  <c r="A590" i="5"/>
  <c r="C589" i="5" a="1"/>
  <c r="C589" i="5" s="1"/>
  <c r="B589" i="5" a="1"/>
  <c r="B589" i="5" s="1"/>
  <c r="E586" i="5" l="1"/>
  <c r="D587" i="5"/>
  <c r="C590" i="5" a="1"/>
  <c r="C590" i="5" s="1"/>
  <c r="A591" i="5"/>
  <c r="B590" i="5" a="1"/>
  <c r="B590" i="5" s="1"/>
  <c r="E587" i="5" l="1"/>
  <c r="D588" i="5"/>
  <c r="B591" i="5" a="1"/>
  <c r="B591" i="5" s="1"/>
  <c r="A592" i="5"/>
  <c r="C591" i="5" a="1"/>
  <c r="C591" i="5" s="1"/>
  <c r="E588" i="5" l="1"/>
  <c r="D589" i="5"/>
  <c r="B592" i="5" a="1"/>
  <c r="B592" i="5" s="1"/>
  <c r="A593" i="5"/>
  <c r="C592" i="5" a="1"/>
  <c r="C592" i="5" s="1"/>
  <c r="E589" i="5" l="1"/>
  <c r="D590" i="5"/>
  <c r="C593" i="5" a="1"/>
  <c r="C593" i="5" s="1"/>
  <c r="A594" i="5"/>
  <c r="B593" i="5" a="1"/>
  <c r="B593" i="5" s="1"/>
  <c r="E590" i="5" l="1"/>
  <c r="D591" i="5"/>
  <c r="A595" i="5"/>
  <c r="B594" i="5" a="1"/>
  <c r="B594" i="5" s="1"/>
  <c r="C594" i="5" a="1"/>
  <c r="C594" i="5" s="1"/>
  <c r="E591" i="5" l="1"/>
  <c r="D592" i="5"/>
  <c r="C595" i="5" a="1"/>
  <c r="C595" i="5" s="1"/>
  <c r="A596" i="5"/>
  <c r="B595" i="5" a="1"/>
  <c r="B595" i="5" s="1"/>
  <c r="E592" i="5" l="1"/>
  <c r="D593" i="5"/>
  <c r="B596" i="5" a="1"/>
  <c r="B596" i="5" s="1"/>
  <c r="A597" i="5"/>
  <c r="C596" i="5" a="1"/>
  <c r="C596" i="5" s="1"/>
  <c r="E593" i="5" l="1"/>
  <c r="D594" i="5"/>
  <c r="A598" i="5"/>
  <c r="B597" i="5" a="1"/>
  <c r="B597" i="5" s="1"/>
  <c r="C597" i="5" a="1"/>
  <c r="C597" i="5" s="1"/>
  <c r="E594" i="5" l="1"/>
  <c r="D595" i="5"/>
  <c r="B598" i="5" a="1"/>
  <c r="B598" i="5" s="1"/>
  <c r="C598" i="5" a="1"/>
  <c r="C598" i="5" s="1"/>
  <c r="A599" i="5"/>
  <c r="E595" i="5" l="1"/>
  <c r="D596" i="5"/>
  <c r="B599" i="5" a="1"/>
  <c r="B599" i="5" s="1"/>
  <c r="C599" i="5" a="1"/>
  <c r="C599" i="5" s="1"/>
  <c r="A600" i="5"/>
  <c r="E596" i="5" l="1"/>
  <c r="D597" i="5"/>
  <c r="B600" i="5" a="1"/>
  <c r="B600" i="5" s="1"/>
  <c r="C600" i="5" a="1"/>
  <c r="C600" i="5" s="1"/>
  <c r="A601" i="5"/>
  <c r="E597" i="5" l="1"/>
  <c r="D598" i="5"/>
  <c r="C601" i="5" a="1"/>
  <c r="C601" i="5" s="1"/>
  <c r="B601" i="5" a="1"/>
  <c r="B601" i="5" s="1"/>
  <c r="A602" i="5"/>
  <c r="E598" i="5" l="1"/>
  <c r="D599" i="5"/>
  <c r="C602" i="5" a="1"/>
  <c r="C602" i="5" s="1"/>
  <c r="B602" i="5" a="1"/>
  <c r="B602" i="5" s="1"/>
  <c r="A603" i="5"/>
  <c r="E599" i="5" l="1"/>
  <c r="D600" i="5"/>
  <c r="B603" i="5" a="1"/>
  <c r="B603" i="5" s="1"/>
  <c r="C603" i="5" a="1"/>
  <c r="C603" i="5" s="1"/>
  <c r="A604" i="5"/>
  <c r="E600" i="5" l="1"/>
  <c r="D601" i="5"/>
  <c r="B604" i="5" a="1"/>
  <c r="B604" i="5" s="1"/>
  <c r="A605" i="5"/>
  <c r="C604" i="5" a="1"/>
  <c r="C604" i="5" s="1"/>
  <c r="E601" i="5" l="1"/>
  <c r="D602" i="5"/>
  <c r="A606" i="5"/>
  <c r="C605" i="5" a="1"/>
  <c r="C605" i="5" s="1"/>
  <c r="B605" i="5" a="1"/>
  <c r="B605" i="5" s="1"/>
  <c r="E602" i="5" l="1"/>
  <c r="D603" i="5"/>
  <c r="C606" i="5" a="1"/>
  <c r="C606" i="5" s="1"/>
  <c r="A607" i="5"/>
  <c r="B606" i="5" a="1"/>
  <c r="B606" i="5" s="1"/>
  <c r="E603" i="5" l="1"/>
  <c r="D604" i="5"/>
  <c r="B607" i="5" a="1"/>
  <c r="B607" i="5" s="1"/>
  <c r="A608" i="5"/>
  <c r="C607" i="5" a="1"/>
  <c r="C607" i="5" s="1"/>
  <c r="E604" i="5" l="1"/>
  <c r="D605" i="5"/>
  <c r="B608" i="5" a="1"/>
  <c r="B608" i="5" s="1"/>
  <c r="C608" i="5" a="1"/>
  <c r="C608" i="5" s="1"/>
  <c r="A609" i="5"/>
  <c r="E605" i="5" l="1"/>
  <c r="D606" i="5"/>
  <c r="C609" i="5" a="1"/>
  <c r="C609" i="5" s="1"/>
  <c r="A610" i="5"/>
  <c r="B609" i="5" a="1"/>
  <c r="B609" i="5" s="1"/>
  <c r="E606" i="5" l="1"/>
  <c r="D607" i="5"/>
  <c r="A611" i="5"/>
  <c r="B610" i="5" a="1"/>
  <c r="B610" i="5" s="1"/>
  <c r="C610" i="5" a="1"/>
  <c r="C610" i="5" s="1"/>
  <c r="E607" i="5" l="1"/>
  <c r="D608" i="5"/>
  <c r="C611" i="5" a="1"/>
  <c r="C611" i="5" s="1"/>
  <c r="A612" i="5"/>
  <c r="B611" i="5" a="1"/>
  <c r="B611" i="5" s="1"/>
  <c r="E608" i="5" l="1"/>
  <c r="D609" i="5"/>
  <c r="B612" i="5" a="1"/>
  <c r="B612" i="5" s="1"/>
  <c r="C612" i="5" a="1"/>
  <c r="C612" i="5" s="1"/>
  <c r="A613" i="5"/>
  <c r="E609" i="5" l="1"/>
  <c r="D610" i="5"/>
  <c r="A614" i="5"/>
  <c r="B613" i="5" a="1"/>
  <c r="B613" i="5" s="1"/>
  <c r="C613" i="5" a="1"/>
  <c r="C613" i="5" s="1"/>
  <c r="E610" i="5" l="1"/>
  <c r="D611" i="5"/>
  <c r="B614" i="5" a="1"/>
  <c r="B614" i="5" s="1"/>
  <c r="C614" i="5" a="1"/>
  <c r="C614" i="5" s="1"/>
  <c r="A615" i="5"/>
  <c r="E611" i="5" l="1"/>
  <c r="D612" i="5"/>
  <c r="B615" i="5" a="1"/>
  <c r="B615" i="5" s="1"/>
  <c r="A616" i="5"/>
  <c r="C615" i="5" a="1"/>
  <c r="C615" i="5" s="1"/>
  <c r="E612" i="5" l="1"/>
  <c r="D613" i="5"/>
  <c r="B616" i="5" a="1"/>
  <c r="B616" i="5" s="1"/>
  <c r="C616" i="5" a="1"/>
  <c r="C616" i="5" s="1"/>
  <c r="A617" i="5"/>
  <c r="E613" i="5" l="1"/>
  <c r="D614" i="5"/>
  <c r="C617" i="5" a="1"/>
  <c r="C617" i="5" s="1"/>
  <c r="B617" i="5" a="1"/>
  <c r="B617" i="5" s="1"/>
  <c r="A618" i="5"/>
  <c r="E614" i="5" l="1"/>
  <c r="D615" i="5"/>
  <c r="C618" i="5" a="1"/>
  <c r="C618" i="5" s="1"/>
  <c r="B618" i="5" a="1"/>
  <c r="B618" i="5" s="1"/>
  <c r="A619" i="5"/>
  <c r="E615" i="5" l="1"/>
  <c r="D616" i="5"/>
  <c r="B619" i="5" a="1"/>
  <c r="B619" i="5" s="1"/>
  <c r="C619" i="5" a="1"/>
  <c r="C619" i="5" s="1"/>
  <c r="A620" i="5"/>
  <c r="E616" i="5" l="1"/>
  <c r="D617" i="5"/>
  <c r="B620" i="5" a="1"/>
  <c r="B620" i="5" s="1"/>
  <c r="A621" i="5"/>
  <c r="C620" i="5" a="1"/>
  <c r="C620" i="5" s="1"/>
  <c r="E617" i="5" l="1"/>
  <c r="D618" i="5"/>
  <c r="A622" i="5"/>
  <c r="C621" i="5" a="1"/>
  <c r="C621" i="5" s="1"/>
  <c r="B621" i="5" a="1"/>
  <c r="B621" i="5" s="1"/>
  <c r="E618" i="5" l="1"/>
  <c r="D619" i="5"/>
  <c r="C622" i="5" a="1"/>
  <c r="C622" i="5" s="1"/>
  <c r="A623" i="5"/>
  <c r="B622" i="5" a="1"/>
  <c r="B622" i="5" s="1"/>
  <c r="E619" i="5" l="1"/>
  <c r="D620" i="5"/>
  <c r="B623" i="5" a="1"/>
  <c r="B623" i="5" s="1"/>
  <c r="A624" i="5"/>
  <c r="C623" i="5" a="1"/>
  <c r="C623" i="5" s="1"/>
  <c r="E620" i="5" l="1"/>
  <c r="D621" i="5"/>
  <c r="B624" i="5" a="1"/>
  <c r="B624" i="5" s="1"/>
  <c r="C624" i="5" a="1"/>
  <c r="C624" i="5" s="1"/>
  <c r="A625" i="5"/>
  <c r="E621" i="5" l="1"/>
  <c r="D622" i="5"/>
  <c r="C625" i="5" a="1"/>
  <c r="C625" i="5" s="1"/>
  <c r="A626" i="5"/>
  <c r="B625" i="5" a="1"/>
  <c r="B625" i="5" s="1"/>
  <c r="E622" i="5" l="1"/>
  <c r="D623" i="5"/>
  <c r="A627" i="5"/>
  <c r="B626" i="5" a="1"/>
  <c r="B626" i="5" s="1"/>
  <c r="C626" i="5" a="1"/>
  <c r="C626" i="5" s="1"/>
  <c r="E623" i="5" l="1"/>
  <c r="D624" i="5"/>
  <c r="A628" i="5"/>
  <c r="C627" i="5" a="1"/>
  <c r="C627" i="5" s="1"/>
  <c r="B627" i="5" a="1"/>
  <c r="B627" i="5" s="1"/>
  <c r="E624" i="5" l="1"/>
  <c r="D625" i="5"/>
  <c r="B628" i="5" a="1"/>
  <c r="B628" i="5" s="1"/>
  <c r="C628" i="5" a="1"/>
  <c r="C628" i="5" s="1"/>
  <c r="A629" i="5"/>
  <c r="E625" i="5" l="1"/>
  <c r="D626" i="5"/>
  <c r="A630" i="5"/>
  <c r="B629" i="5" a="1"/>
  <c r="B629" i="5" s="1"/>
  <c r="C629" i="5" a="1"/>
  <c r="C629" i="5" s="1"/>
  <c r="E626" i="5" l="1"/>
  <c r="D627" i="5"/>
  <c r="B630" i="5" a="1"/>
  <c r="B630" i="5" s="1"/>
  <c r="C630" i="5" a="1"/>
  <c r="C630" i="5" s="1"/>
  <c r="A631" i="5"/>
  <c r="E627" i="5" l="1"/>
  <c r="D628" i="5"/>
  <c r="B631" i="5" a="1"/>
  <c r="B631" i="5" s="1"/>
  <c r="A632" i="5"/>
  <c r="C631" i="5" a="1"/>
  <c r="C631" i="5" s="1"/>
  <c r="E628" i="5" l="1"/>
  <c r="D629" i="5"/>
  <c r="B632" i="5" a="1"/>
  <c r="B632" i="5" s="1"/>
  <c r="C632" i="5" a="1"/>
  <c r="C632" i="5" s="1"/>
  <c r="A633" i="5"/>
  <c r="E629" i="5" l="1"/>
  <c r="D630" i="5"/>
  <c r="C633" i="5" a="1"/>
  <c r="C633" i="5" s="1"/>
  <c r="B633" i="5" a="1"/>
  <c r="B633" i="5" s="1"/>
  <c r="A634" i="5"/>
  <c r="E630" i="5" l="1"/>
  <c r="D631" i="5"/>
  <c r="C634" i="5" a="1"/>
  <c r="C634" i="5" s="1"/>
  <c r="B634" i="5" a="1"/>
  <c r="B634" i="5" s="1"/>
  <c r="A635" i="5"/>
  <c r="E631" i="5" l="1"/>
  <c r="D632" i="5"/>
  <c r="B635" i="5" a="1"/>
  <c r="B635" i="5" s="1"/>
  <c r="C635" i="5" a="1"/>
  <c r="C635" i="5" s="1"/>
  <c r="A636" i="5"/>
  <c r="E632" i="5" l="1"/>
  <c r="D633" i="5"/>
  <c r="B636" i="5" a="1"/>
  <c r="B636" i="5" s="1"/>
  <c r="A637" i="5"/>
  <c r="C636" i="5" a="1"/>
  <c r="C636" i="5" s="1"/>
  <c r="E633" i="5" l="1"/>
  <c r="D634" i="5"/>
  <c r="A638" i="5"/>
  <c r="C637" i="5" a="1"/>
  <c r="C637" i="5" s="1"/>
  <c r="B637" i="5" a="1"/>
  <c r="B637" i="5" s="1"/>
  <c r="E634" i="5" l="1"/>
  <c r="D635" i="5"/>
  <c r="C638" i="5" a="1"/>
  <c r="C638" i="5" s="1"/>
  <c r="A639" i="5"/>
  <c r="B638" i="5" a="1"/>
  <c r="B638" i="5" s="1"/>
  <c r="E635" i="5" l="1"/>
  <c r="D636" i="5"/>
  <c r="B639" i="5" a="1"/>
  <c r="B639" i="5" s="1"/>
  <c r="A640" i="5"/>
  <c r="C639" i="5" a="1"/>
  <c r="C639" i="5" s="1"/>
  <c r="E636" i="5" l="1"/>
  <c r="D637" i="5"/>
  <c r="B640" i="5" a="1"/>
  <c r="B640" i="5" s="1"/>
  <c r="C640" i="5" a="1"/>
  <c r="C640" i="5" s="1"/>
  <c r="A641" i="5"/>
  <c r="E637" i="5" l="1"/>
  <c r="D638" i="5"/>
  <c r="C641" i="5" a="1"/>
  <c r="C641" i="5" s="1"/>
  <c r="A642" i="5"/>
  <c r="B641" i="5" a="1"/>
  <c r="B641" i="5" s="1"/>
  <c r="E638" i="5" l="1"/>
  <c r="D639" i="5"/>
  <c r="A643" i="5"/>
  <c r="B642" i="5" a="1"/>
  <c r="B642" i="5" s="1"/>
  <c r="C642" i="5" a="1"/>
  <c r="C642" i="5" s="1"/>
  <c r="E639" i="5" l="1"/>
  <c r="D640" i="5"/>
  <c r="B643" i="5" a="1"/>
  <c r="B643" i="5" s="1"/>
  <c r="C643" i="5" a="1"/>
  <c r="C643" i="5" s="1"/>
  <c r="A644" i="5"/>
  <c r="E640" i="5" l="1"/>
  <c r="D641" i="5"/>
  <c r="B644" i="5" a="1"/>
  <c r="B644" i="5" s="1"/>
  <c r="C644" i="5" a="1"/>
  <c r="C644" i="5" s="1"/>
  <c r="A645" i="5"/>
  <c r="E641" i="5" l="1"/>
  <c r="D642" i="5"/>
  <c r="A646" i="5"/>
  <c r="C645" i="5" a="1"/>
  <c r="C645" i="5" s="1"/>
  <c r="B645" i="5" a="1"/>
  <c r="B645" i="5" s="1"/>
  <c r="E642" i="5" l="1"/>
  <c r="D643" i="5"/>
  <c r="B646" i="5" a="1"/>
  <c r="B646" i="5" s="1"/>
  <c r="C646" i="5" a="1"/>
  <c r="C646" i="5" s="1"/>
  <c r="A647" i="5"/>
  <c r="E643" i="5" l="1"/>
  <c r="D644" i="5"/>
  <c r="B647" i="5" a="1"/>
  <c r="B647" i="5" s="1"/>
  <c r="A648" i="5"/>
  <c r="C647" i="5" a="1"/>
  <c r="C647" i="5" s="1"/>
  <c r="E644" i="5" l="1"/>
  <c r="D645" i="5"/>
  <c r="B648" i="5" a="1"/>
  <c r="B648" i="5" s="1"/>
  <c r="C648" i="5" a="1"/>
  <c r="C648" i="5" s="1"/>
  <c r="A649" i="5"/>
  <c r="E645" i="5" l="1"/>
  <c r="D646" i="5"/>
  <c r="C649" i="5" a="1"/>
  <c r="C649" i="5" s="1"/>
  <c r="B649" i="5" a="1"/>
  <c r="B649" i="5" s="1"/>
  <c r="A650" i="5"/>
  <c r="E646" i="5" l="1"/>
  <c r="D647" i="5"/>
  <c r="C650" i="5" a="1"/>
  <c r="C650" i="5" s="1"/>
  <c r="B650" i="5" a="1"/>
  <c r="B650" i="5" s="1"/>
  <c r="A651" i="5"/>
  <c r="E647" i="5" l="1"/>
  <c r="D648" i="5"/>
  <c r="B651" i="5" a="1"/>
  <c r="B651" i="5" s="1"/>
  <c r="C651" i="5" a="1"/>
  <c r="C651" i="5" s="1"/>
  <c r="A652" i="5"/>
  <c r="E648" i="5" l="1"/>
  <c r="D649" i="5"/>
  <c r="B652" i="5" a="1"/>
  <c r="B652" i="5" s="1"/>
  <c r="A653" i="5"/>
  <c r="C652" i="5" a="1"/>
  <c r="C652" i="5" s="1"/>
  <c r="E649" i="5" l="1"/>
  <c r="D650" i="5"/>
  <c r="A654" i="5"/>
  <c r="C653" i="5" a="1"/>
  <c r="C653" i="5" s="1"/>
  <c r="B653" i="5" a="1"/>
  <c r="B653" i="5" s="1"/>
  <c r="E650" i="5" l="1"/>
  <c r="D651" i="5"/>
  <c r="C654" i="5" a="1"/>
  <c r="C654" i="5" s="1"/>
  <c r="A655" i="5"/>
  <c r="B654" i="5" a="1"/>
  <c r="B654" i="5" s="1"/>
  <c r="E651" i="5" l="1"/>
  <c r="D652" i="5"/>
  <c r="B655" i="5" a="1"/>
  <c r="B655" i="5" s="1"/>
  <c r="A656" i="5"/>
  <c r="C655" i="5" a="1"/>
  <c r="C655" i="5" s="1"/>
  <c r="E652" i="5" l="1"/>
  <c r="D653" i="5"/>
  <c r="C656" i="5" a="1"/>
  <c r="C656" i="5" s="1"/>
  <c r="A657" i="5"/>
  <c r="B656" i="5" a="1"/>
  <c r="B656" i="5" s="1"/>
  <c r="E653" i="5" l="1"/>
  <c r="D654" i="5"/>
  <c r="C657" i="5" a="1"/>
  <c r="C657" i="5" s="1"/>
  <c r="A658" i="5"/>
  <c r="B657" i="5" a="1"/>
  <c r="B657" i="5" s="1"/>
  <c r="E654" i="5" l="1"/>
  <c r="D655" i="5"/>
  <c r="A659" i="5"/>
  <c r="B658" i="5" a="1"/>
  <c r="B658" i="5" s="1"/>
  <c r="C658" i="5" a="1"/>
  <c r="C658" i="5" s="1"/>
  <c r="E655" i="5" l="1"/>
  <c r="D656" i="5"/>
  <c r="B659" i="5" a="1"/>
  <c r="B659" i="5" s="1"/>
  <c r="A660" i="5"/>
  <c r="C659" i="5" a="1"/>
  <c r="C659" i="5" s="1"/>
  <c r="E656" i="5" l="1"/>
  <c r="D657" i="5"/>
  <c r="C660" i="5" a="1"/>
  <c r="C660" i="5" s="1"/>
  <c r="A661" i="5"/>
  <c r="B660" i="5" a="1"/>
  <c r="B660" i="5" s="1"/>
  <c r="E657" i="5" l="1"/>
  <c r="D658" i="5"/>
  <c r="A662" i="5"/>
  <c r="B661" i="5" a="1"/>
  <c r="B661" i="5" s="1"/>
  <c r="C661" i="5" a="1"/>
  <c r="C661" i="5" s="1"/>
  <c r="E658" i="5" l="1"/>
  <c r="D659" i="5"/>
  <c r="B662" i="5" a="1"/>
  <c r="B662" i="5" s="1"/>
  <c r="C662" i="5" a="1"/>
  <c r="C662" i="5" s="1"/>
  <c r="A663" i="5"/>
  <c r="E659" i="5" l="1"/>
  <c r="D660" i="5"/>
  <c r="B663" i="5" a="1"/>
  <c r="B663" i="5" s="1"/>
  <c r="C663" i="5" a="1"/>
  <c r="C663" i="5" s="1"/>
  <c r="A664" i="5"/>
  <c r="E660" i="5" l="1"/>
  <c r="D661" i="5"/>
  <c r="B664" i="5" a="1"/>
  <c r="B664" i="5" s="1"/>
  <c r="C664" i="5" a="1"/>
  <c r="C664" i="5" s="1"/>
  <c r="A665" i="5"/>
  <c r="E661" i="5" l="1"/>
  <c r="D662" i="5"/>
  <c r="C665" i="5" a="1"/>
  <c r="C665" i="5" s="1"/>
  <c r="B665" i="5" a="1"/>
  <c r="B665" i="5" s="1"/>
  <c r="A666" i="5"/>
  <c r="E662" i="5" l="1"/>
  <c r="D663" i="5"/>
  <c r="C666" i="5" a="1"/>
  <c r="C666" i="5" s="1"/>
  <c r="B666" i="5" a="1"/>
  <c r="B666" i="5" s="1"/>
  <c r="A667" i="5"/>
  <c r="E663" i="5" l="1"/>
  <c r="D664" i="5"/>
  <c r="B667" i="5" a="1"/>
  <c r="B667" i="5" s="1"/>
  <c r="C667" i="5" a="1"/>
  <c r="C667" i="5" s="1"/>
  <c r="A668" i="5"/>
  <c r="E664" i="5" l="1"/>
  <c r="D665" i="5"/>
  <c r="B668" i="5" a="1"/>
  <c r="B668" i="5" s="1"/>
  <c r="A669" i="5"/>
  <c r="C668" i="5" a="1"/>
  <c r="C668" i="5" s="1"/>
  <c r="E665" i="5" l="1"/>
  <c r="D666" i="5"/>
  <c r="A670" i="5"/>
  <c r="C669" i="5" a="1"/>
  <c r="C669" i="5" s="1"/>
  <c r="B669" i="5" a="1"/>
  <c r="B669" i="5" s="1"/>
  <c r="E666" i="5" l="1"/>
  <c r="D667" i="5"/>
  <c r="C670" i="5" a="1"/>
  <c r="C670" i="5" s="1"/>
  <c r="A671" i="5"/>
  <c r="B670" i="5" a="1"/>
  <c r="B670" i="5" s="1"/>
  <c r="E667" i="5" l="1"/>
  <c r="D668" i="5"/>
  <c r="B671" i="5" a="1"/>
  <c r="B671" i="5" s="1"/>
  <c r="A672" i="5"/>
  <c r="C671" i="5" a="1"/>
  <c r="C671" i="5" s="1"/>
  <c r="E668" i="5" l="1"/>
  <c r="D669" i="5"/>
  <c r="A673" i="5"/>
  <c r="B672" i="5" a="1"/>
  <c r="B672" i="5" s="1"/>
  <c r="C672" i="5" a="1"/>
  <c r="C672" i="5" s="1"/>
  <c r="E669" i="5" l="1"/>
  <c r="D670" i="5"/>
  <c r="C673" i="5" a="1"/>
  <c r="C673" i="5" s="1"/>
  <c r="A674" i="5"/>
  <c r="B673" i="5" a="1"/>
  <c r="B673" i="5" s="1"/>
  <c r="E670" i="5" l="1"/>
  <c r="D671" i="5"/>
  <c r="A675" i="5"/>
  <c r="B674" i="5" a="1"/>
  <c r="B674" i="5" s="1"/>
  <c r="C674" i="5" a="1"/>
  <c r="C674" i="5" s="1"/>
  <c r="E671" i="5" l="1"/>
  <c r="D672" i="5"/>
  <c r="B675" i="5" a="1"/>
  <c r="B675" i="5" s="1"/>
  <c r="C675" i="5" a="1"/>
  <c r="C675" i="5" s="1"/>
  <c r="A676" i="5"/>
  <c r="E672" i="5" l="1"/>
  <c r="D673" i="5"/>
  <c r="A677" i="5"/>
  <c r="B676" i="5" a="1"/>
  <c r="B676" i="5" s="1"/>
  <c r="C676" i="5" a="1"/>
  <c r="C676" i="5" s="1"/>
  <c r="E673" i="5" l="1"/>
  <c r="D674" i="5"/>
  <c r="A678" i="5"/>
  <c r="B677" i="5" a="1"/>
  <c r="B677" i="5" s="1"/>
  <c r="C677" i="5" a="1"/>
  <c r="C677" i="5" s="1"/>
  <c r="E674" i="5" l="1"/>
  <c r="D675" i="5"/>
  <c r="B678" i="5" a="1"/>
  <c r="B678" i="5" s="1"/>
  <c r="C678" i="5" a="1"/>
  <c r="C678" i="5" s="1"/>
  <c r="A679" i="5"/>
  <c r="E675" i="5" l="1"/>
  <c r="D676" i="5"/>
  <c r="B679" i="5" a="1"/>
  <c r="B679" i="5" s="1"/>
  <c r="C679" i="5" a="1"/>
  <c r="C679" i="5" s="1"/>
  <c r="A680" i="5"/>
  <c r="E676" i="5" l="1"/>
  <c r="D677" i="5"/>
  <c r="B680" i="5" a="1"/>
  <c r="B680" i="5" s="1"/>
  <c r="C680" i="5" a="1"/>
  <c r="C680" i="5" s="1"/>
  <c r="A681" i="5"/>
  <c r="E677" i="5" l="1"/>
  <c r="D678" i="5"/>
  <c r="C681" i="5" a="1"/>
  <c r="C681" i="5" s="1"/>
  <c r="B681" i="5" a="1"/>
  <c r="B681" i="5" s="1"/>
  <c r="A682" i="5"/>
  <c r="E678" i="5" l="1"/>
  <c r="D679" i="5"/>
  <c r="C682" i="5" a="1"/>
  <c r="C682" i="5" s="1"/>
  <c r="B682" i="5" a="1"/>
  <c r="B682" i="5" s="1"/>
  <c r="A683" i="5"/>
  <c r="E679" i="5" l="1"/>
  <c r="D680" i="5"/>
  <c r="B683" i="5" a="1"/>
  <c r="B683" i="5" s="1"/>
  <c r="C683" i="5" a="1"/>
  <c r="C683" i="5" s="1"/>
  <c r="A684" i="5"/>
  <c r="E680" i="5" l="1"/>
  <c r="D681" i="5"/>
  <c r="B684" i="5" a="1"/>
  <c r="B684" i="5" s="1"/>
  <c r="A685" i="5"/>
  <c r="C684" i="5" a="1"/>
  <c r="C684" i="5" s="1"/>
  <c r="E681" i="5" l="1"/>
  <c r="D682" i="5"/>
  <c r="A686" i="5"/>
  <c r="C685" i="5" a="1"/>
  <c r="C685" i="5" s="1"/>
  <c r="B685" i="5" a="1"/>
  <c r="B685" i="5" s="1"/>
  <c r="E682" i="5" l="1"/>
  <c r="D683" i="5"/>
  <c r="C686" i="5" a="1"/>
  <c r="C686" i="5" s="1"/>
  <c r="A687" i="5"/>
  <c r="B686" i="5" a="1"/>
  <c r="B686" i="5" s="1"/>
  <c r="E683" i="5" l="1"/>
  <c r="D684" i="5"/>
  <c r="B687" i="5" a="1"/>
  <c r="B687" i="5" s="1"/>
  <c r="A688" i="5"/>
  <c r="C687" i="5" a="1"/>
  <c r="C687" i="5" s="1"/>
  <c r="E684" i="5" l="1"/>
  <c r="D685" i="5"/>
  <c r="A689" i="5"/>
  <c r="C688" i="5" a="1"/>
  <c r="C688" i="5" s="1"/>
  <c r="B688" i="5" a="1"/>
  <c r="B688" i="5" s="1"/>
  <c r="E685" i="5" l="1"/>
  <c r="D686" i="5"/>
  <c r="C689" i="5" a="1"/>
  <c r="C689" i="5" s="1"/>
  <c r="A690" i="5"/>
  <c r="B689" i="5" a="1"/>
  <c r="B689" i="5" s="1"/>
  <c r="E686" i="5" l="1"/>
  <c r="D687" i="5"/>
  <c r="A691" i="5"/>
  <c r="B690" i="5" a="1"/>
  <c r="B690" i="5" s="1"/>
  <c r="C690" i="5" a="1"/>
  <c r="C690" i="5" s="1"/>
  <c r="E687" i="5" l="1"/>
  <c r="D688" i="5"/>
  <c r="B691" i="5" a="1"/>
  <c r="B691" i="5" s="1"/>
  <c r="C691" i="5" a="1"/>
  <c r="C691" i="5" s="1"/>
  <c r="A692" i="5"/>
  <c r="E688" i="5" l="1"/>
  <c r="D689" i="5"/>
  <c r="A693" i="5"/>
  <c r="C692" i="5" a="1"/>
  <c r="C692" i="5" s="1"/>
  <c r="B692" i="5" a="1"/>
  <c r="B692" i="5" s="1"/>
  <c r="E689" i="5" l="1"/>
  <c r="D690" i="5"/>
  <c r="A694" i="5"/>
  <c r="B693" i="5" a="1"/>
  <c r="B693" i="5" s="1"/>
  <c r="C693" i="5" a="1"/>
  <c r="C693" i="5" s="1"/>
  <c r="E690" i="5" l="1"/>
  <c r="D691" i="5"/>
  <c r="B694" i="5" a="1"/>
  <c r="B694" i="5" s="1"/>
  <c r="C694" i="5" a="1"/>
  <c r="C694" i="5" s="1"/>
  <c r="A695" i="5"/>
  <c r="E691" i="5" l="1"/>
  <c r="D692" i="5"/>
  <c r="B695" i="5" a="1"/>
  <c r="B695" i="5" s="1"/>
  <c r="C695" i="5" a="1"/>
  <c r="C695" i="5" s="1"/>
  <c r="A696" i="5"/>
  <c r="E692" i="5" l="1"/>
  <c r="D693" i="5"/>
  <c r="B696" i="5" a="1"/>
  <c r="B696" i="5" s="1"/>
  <c r="A697" i="5"/>
  <c r="C696" i="5" a="1"/>
  <c r="C696" i="5" s="1"/>
  <c r="E693" i="5" l="1"/>
  <c r="D694" i="5"/>
  <c r="C697" i="5" a="1"/>
  <c r="C697" i="5" s="1"/>
  <c r="B697" i="5" a="1"/>
  <c r="B697" i="5" s="1"/>
  <c r="A698" i="5"/>
  <c r="E694" i="5" l="1"/>
  <c r="D695" i="5"/>
  <c r="C698" i="5" a="1"/>
  <c r="C698" i="5" s="1"/>
  <c r="B698" i="5" a="1"/>
  <c r="B698" i="5" s="1"/>
  <c r="A699" i="5"/>
  <c r="E695" i="5" l="1"/>
  <c r="D696" i="5"/>
  <c r="B699" i="5" a="1"/>
  <c r="B699" i="5" s="1"/>
  <c r="C699" i="5" a="1"/>
  <c r="C699" i="5" s="1"/>
  <c r="A700" i="5"/>
  <c r="E696" i="5" l="1"/>
  <c r="D697" i="5"/>
  <c r="B700" i="5" a="1"/>
  <c r="B700" i="5" s="1"/>
  <c r="C700" i="5" a="1"/>
  <c r="C700" i="5" s="1"/>
  <c r="A701" i="5"/>
  <c r="E697" i="5" l="1"/>
  <c r="D698" i="5"/>
  <c r="C701" i="5" a="1"/>
  <c r="C701" i="5" s="1"/>
  <c r="A702" i="5"/>
  <c r="B701" i="5" a="1"/>
  <c r="B701" i="5" s="1"/>
  <c r="E698" i="5" l="1"/>
  <c r="D699" i="5"/>
  <c r="C702" i="5" a="1"/>
  <c r="C702" i="5" s="1"/>
  <c r="A703" i="5"/>
  <c r="B702" i="5" a="1"/>
  <c r="B702" i="5" s="1"/>
  <c r="E699" i="5" l="1"/>
  <c r="D700" i="5"/>
  <c r="B703" i="5" a="1"/>
  <c r="B703" i="5" s="1"/>
  <c r="A704" i="5"/>
  <c r="C703" i="5" a="1"/>
  <c r="C703" i="5" s="1"/>
  <c r="E700" i="5" l="1"/>
  <c r="D701" i="5"/>
  <c r="B704" i="5" a="1"/>
  <c r="B704" i="5" s="1"/>
  <c r="A705" i="5"/>
  <c r="C704" i="5" a="1"/>
  <c r="C704" i="5" s="1"/>
  <c r="E701" i="5" l="1"/>
  <c r="D702" i="5"/>
  <c r="B705" i="5" a="1"/>
  <c r="B705" i="5" s="1"/>
  <c r="C705" i="5" a="1"/>
  <c r="C705" i="5" s="1"/>
  <c r="A706" i="5"/>
  <c r="E702" i="5" l="1"/>
  <c r="D703" i="5"/>
  <c r="A707" i="5"/>
  <c r="C706" i="5" a="1"/>
  <c r="C706" i="5" s="1"/>
  <c r="B706" i="5" a="1"/>
  <c r="B706" i="5" s="1"/>
  <c r="E703" i="5" l="1"/>
  <c r="D704" i="5"/>
  <c r="C707" i="5" a="1"/>
  <c r="C707" i="5" s="1"/>
  <c r="A708" i="5"/>
  <c r="B707" i="5" a="1"/>
  <c r="B707" i="5" s="1"/>
  <c r="E704" i="5" l="1"/>
  <c r="D705" i="5"/>
  <c r="A709" i="5"/>
  <c r="B708" i="5" a="1"/>
  <c r="B708" i="5" s="1"/>
  <c r="C708" i="5" a="1"/>
  <c r="C708" i="5" s="1"/>
  <c r="E705" i="5" l="1"/>
  <c r="D706" i="5"/>
  <c r="B709" i="5" a="1"/>
  <c r="B709" i="5" s="1"/>
  <c r="C709" i="5" a="1"/>
  <c r="C709" i="5" s="1"/>
  <c r="A710" i="5"/>
  <c r="E706" i="5" l="1"/>
  <c r="D707" i="5"/>
  <c r="B710" i="5" a="1"/>
  <c r="B710" i="5" s="1"/>
  <c r="C710" i="5" a="1"/>
  <c r="C710" i="5" s="1"/>
  <c r="A711" i="5"/>
  <c r="E707" i="5" l="1"/>
  <c r="D708" i="5"/>
  <c r="A712" i="5"/>
  <c r="C711" i="5" a="1"/>
  <c r="C711" i="5" s="1"/>
  <c r="B711" i="5" a="1"/>
  <c r="B711" i="5" s="1"/>
  <c r="E708" i="5" l="1"/>
  <c r="D709" i="5"/>
  <c r="B712" i="5" a="1"/>
  <c r="B712" i="5" s="1"/>
  <c r="A713" i="5"/>
  <c r="C712" i="5" a="1"/>
  <c r="C712" i="5" s="1"/>
  <c r="E709" i="5" l="1"/>
  <c r="D710" i="5"/>
  <c r="B713" i="5" a="1"/>
  <c r="B713" i="5" s="1"/>
  <c r="C713" i="5" a="1"/>
  <c r="C713" i="5" s="1"/>
  <c r="A714" i="5"/>
  <c r="E710" i="5" l="1"/>
  <c r="D711" i="5"/>
  <c r="C714" i="5" a="1"/>
  <c r="C714" i="5" s="1"/>
  <c r="B714" i="5" a="1"/>
  <c r="B714" i="5" s="1"/>
  <c r="A715" i="5"/>
  <c r="E711" i="5" l="1"/>
  <c r="D712" i="5"/>
  <c r="B715" i="5" a="1"/>
  <c r="B715" i="5" s="1"/>
  <c r="C715" i="5" a="1"/>
  <c r="C715" i="5" s="1"/>
  <c r="A716" i="5"/>
  <c r="E712" i="5" l="1"/>
  <c r="D713" i="5"/>
  <c r="B716" i="5" a="1"/>
  <c r="B716" i="5" s="1"/>
  <c r="A717" i="5"/>
  <c r="C716" i="5" a="1"/>
  <c r="C716" i="5" s="1"/>
  <c r="E713" i="5" l="1"/>
  <c r="D714" i="5"/>
  <c r="B717" i="5" a="1"/>
  <c r="B717" i="5" s="1"/>
  <c r="C717" i="5" a="1"/>
  <c r="C717" i="5" s="1"/>
  <c r="A718" i="5"/>
  <c r="E714" i="5" l="1"/>
  <c r="D715" i="5"/>
  <c r="C718" i="5" a="1"/>
  <c r="C718" i="5" s="1"/>
  <c r="A719" i="5"/>
  <c r="B718" i="5" a="1"/>
  <c r="B718" i="5" s="1"/>
  <c r="E715" i="5" l="1"/>
  <c r="D716" i="5"/>
  <c r="A720" i="5"/>
  <c r="B719" i="5" a="1"/>
  <c r="B719" i="5" s="1"/>
  <c r="C719" i="5" a="1"/>
  <c r="C719" i="5" s="1"/>
  <c r="E716" i="5" l="1"/>
  <c r="D717" i="5"/>
  <c r="C720" i="5" a="1"/>
  <c r="C720" i="5" s="1"/>
  <c r="A721" i="5"/>
  <c r="B720" i="5" a="1"/>
  <c r="B720" i="5" s="1"/>
  <c r="E717" i="5" l="1"/>
  <c r="D718" i="5"/>
  <c r="B721" i="5" a="1"/>
  <c r="B721" i="5" s="1"/>
  <c r="C721" i="5" a="1"/>
  <c r="C721" i="5" s="1"/>
  <c r="A722" i="5"/>
  <c r="E718" i="5" l="1"/>
  <c r="D719" i="5"/>
  <c r="A723" i="5"/>
  <c r="B722" i="5" a="1"/>
  <c r="B722" i="5" s="1"/>
  <c r="C722" i="5" a="1"/>
  <c r="C722" i="5" s="1"/>
  <c r="E719" i="5" l="1"/>
  <c r="D720" i="5"/>
  <c r="B723" i="5" a="1"/>
  <c r="B723" i="5" s="1"/>
  <c r="C723" i="5" a="1"/>
  <c r="C723" i="5" s="1"/>
  <c r="A724" i="5"/>
  <c r="E720" i="5" l="1"/>
  <c r="D721" i="5"/>
  <c r="A725" i="5"/>
  <c r="B724" i="5" a="1"/>
  <c r="B724" i="5" s="1"/>
  <c r="C724" i="5" a="1"/>
  <c r="C724" i="5" s="1"/>
  <c r="E721" i="5" l="1"/>
  <c r="D722" i="5"/>
  <c r="B725" i="5" a="1"/>
  <c r="B725" i="5" s="1"/>
  <c r="A726" i="5"/>
  <c r="C725" i="5" a="1"/>
  <c r="C725" i="5" s="1"/>
  <c r="E722" i="5" l="1"/>
  <c r="D723" i="5"/>
  <c r="B726" i="5" a="1"/>
  <c r="B726" i="5" s="1"/>
  <c r="C726" i="5" a="1"/>
  <c r="C726" i="5" s="1"/>
  <c r="A727" i="5"/>
  <c r="E723" i="5" l="1"/>
  <c r="D724" i="5"/>
  <c r="C727" i="5" a="1"/>
  <c r="C727" i="5" s="1"/>
  <c r="B727" i="5" a="1"/>
  <c r="B727" i="5" s="1"/>
  <c r="A728" i="5"/>
  <c r="E724" i="5" l="1"/>
  <c r="D725" i="5"/>
  <c r="B728" i="5" a="1"/>
  <c r="B728" i="5" s="1"/>
  <c r="C728" i="5" a="1"/>
  <c r="C728" i="5" s="1"/>
  <c r="A729" i="5"/>
  <c r="E725" i="5" l="1"/>
  <c r="D726" i="5"/>
  <c r="A730" i="5"/>
  <c r="B729" i="5" a="1"/>
  <c r="B729" i="5" s="1"/>
  <c r="C729" i="5" a="1"/>
  <c r="C729" i="5" s="1"/>
  <c r="E726" i="5" l="1"/>
  <c r="D727" i="5"/>
  <c r="B730" i="5" a="1"/>
  <c r="B730" i="5" s="1"/>
  <c r="A731" i="5"/>
  <c r="C730" i="5" a="1"/>
  <c r="C730" i="5" s="1"/>
  <c r="E727" i="5" l="1"/>
  <c r="D728" i="5"/>
  <c r="B731" i="5" a="1"/>
  <c r="B731" i="5" s="1"/>
  <c r="C731" i="5" a="1"/>
  <c r="C731" i="5" s="1"/>
  <c r="A732" i="5"/>
  <c r="E728" i="5" l="1"/>
  <c r="D729" i="5"/>
  <c r="B732" i="5" a="1"/>
  <c r="B732" i="5" s="1"/>
  <c r="C732" i="5" a="1"/>
  <c r="C732" i="5" s="1"/>
  <c r="A733" i="5"/>
  <c r="E729" i="5" l="1"/>
  <c r="D730" i="5"/>
  <c r="B733" i="5" a="1"/>
  <c r="B733" i="5" s="1"/>
  <c r="C733" i="5" a="1"/>
  <c r="C733" i="5" s="1"/>
  <c r="A734" i="5"/>
  <c r="E730" i="5" l="1"/>
  <c r="D731" i="5"/>
  <c r="C734" i="5" a="1"/>
  <c r="C734" i="5" s="1"/>
  <c r="B734" i="5" a="1"/>
  <c r="B734" i="5" s="1"/>
  <c r="A735" i="5"/>
  <c r="E731" i="5" l="1"/>
  <c r="D732" i="5"/>
  <c r="B735" i="5" a="1"/>
  <c r="B735" i="5" s="1"/>
  <c r="C735" i="5" a="1"/>
  <c r="C735" i="5" s="1"/>
  <c r="A736" i="5"/>
  <c r="E732" i="5" l="1"/>
  <c r="D733" i="5"/>
  <c r="A737" i="5"/>
  <c r="B736" i="5" a="1"/>
  <c r="B736" i="5" s="1"/>
  <c r="C736" i="5" a="1"/>
  <c r="C736" i="5" s="1"/>
  <c r="E733" i="5" l="1"/>
  <c r="D734" i="5"/>
  <c r="B737" i="5" a="1"/>
  <c r="B737" i="5" s="1"/>
  <c r="C737" i="5" a="1"/>
  <c r="C737" i="5" s="1"/>
  <c r="A738" i="5"/>
  <c r="E734" i="5" l="1"/>
  <c r="D735" i="5"/>
  <c r="A739" i="5"/>
  <c r="B738" i="5" a="1"/>
  <c r="B738" i="5" s="1"/>
  <c r="C738" i="5" a="1"/>
  <c r="C738" i="5" s="1"/>
  <c r="E735" i="5" l="1"/>
  <c r="D736" i="5"/>
  <c r="B739" i="5" a="1"/>
  <c r="B739" i="5" s="1"/>
  <c r="C739" i="5" a="1"/>
  <c r="C739" i="5" s="1"/>
  <c r="A740" i="5"/>
  <c r="E736" i="5" l="1"/>
  <c r="D737" i="5"/>
  <c r="B740" i="5" a="1"/>
  <c r="B740" i="5" s="1"/>
  <c r="C740" i="5" a="1"/>
  <c r="C740" i="5" s="1"/>
  <c r="A741" i="5"/>
  <c r="E737" i="5" l="1"/>
  <c r="D738" i="5"/>
  <c r="C741" i="5" a="1"/>
  <c r="C741" i="5" s="1"/>
  <c r="A742" i="5"/>
  <c r="B741" i="5" a="1"/>
  <c r="B741" i="5" s="1"/>
  <c r="E738" i="5" l="1"/>
  <c r="D739" i="5"/>
  <c r="B742" i="5" a="1"/>
  <c r="B742" i="5" s="1"/>
  <c r="C742" i="5" a="1"/>
  <c r="C742" i="5" s="1"/>
  <c r="A743" i="5"/>
  <c r="E739" i="5" l="1"/>
  <c r="D740" i="5"/>
  <c r="A744" i="5"/>
  <c r="B743" i="5" a="1"/>
  <c r="B743" i="5" s="1"/>
  <c r="C743" i="5" a="1"/>
  <c r="C743" i="5" s="1"/>
  <c r="E740" i="5" l="1"/>
  <c r="D741" i="5"/>
  <c r="C744" i="5" a="1"/>
  <c r="C744" i="5" s="1"/>
  <c r="A745" i="5"/>
  <c r="B744" i="5" a="1"/>
  <c r="B744" i="5" s="1"/>
  <c r="E741" i="5" l="1"/>
  <c r="D742" i="5"/>
  <c r="A746" i="5"/>
  <c r="B745" i="5" a="1"/>
  <c r="B745" i="5" s="1"/>
  <c r="C745" i="5" a="1"/>
  <c r="C745" i="5" s="1"/>
  <c r="E742" i="5" l="1"/>
  <c r="D743" i="5"/>
  <c r="B746" i="5" a="1"/>
  <c r="B746" i="5" s="1"/>
  <c r="A747" i="5"/>
  <c r="C746" i="5" a="1"/>
  <c r="C746" i="5" s="1"/>
  <c r="E743" i="5" l="1"/>
  <c r="D744" i="5"/>
  <c r="B747" i="5" a="1"/>
  <c r="B747" i="5" s="1"/>
  <c r="C747" i="5" a="1"/>
  <c r="C747" i="5" s="1"/>
  <c r="A748" i="5"/>
  <c r="E744" i="5" l="1"/>
  <c r="D745" i="5"/>
  <c r="B748" i="5" a="1"/>
  <c r="B748" i="5" s="1"/>
  <c r="C748" i="5" a="1"/>
  <c r="C748" i="5" s="1"/>
  <c r="A749" i="5"/>
  <c r="E745" i="5" l="1"/>
  <c r="D746" i="5"/>
  <c r="B749" i="5" a="1"/>
  <c r="B749" i="5" s="1"/>
  <c r="C749" i="5" a="1"/>
  <c r="C749" i="5" s="1"/>
  <c r="A750" i="5"/>
  <c r="E746" i="5" l="1"/>
  <c r="D747" i="5"/>
  <c r="C750" i="5" a="1"/>
  <c r="C750" i="5" s="1"/>
  <c r="B750" i="5" a="1"/>
  <c r="B750" i="5" s="1"/>
  <c r="A751" i="5"/>
  <c r="E747" i="5" l="1"/>
  <c r="D748" i="5"/>
  <c r="B751" i="5" a="1"/>
  <c r="B751" i="5" s="1"/>
  <c r="C751" i="5" a="1"/>
  <c r="C751" i="5" s="1"/>
  <c r="A752" i="5"/>
  <c r="E748" i="5" l="1"/>
  <c r="D749" i="5"/>
  <c r="A753" i="5"/>
  <c r="B752" i="5" a="1"/>
  <c r="B752" i="5" s="1"/>
  <c r="C752" i="5" a="1"/>
  <c r="C752" i="5" s="1"/>
  <c r="E749" i="5" l="1"/>
  <c r="D750" i="5"/>
  <c r="B753" i="5" a="1"/>
  <c r="B753" i="5" s="1"/>
  <c r="C753" i="5" a="1"/>
  <c r="C753" i="5" s="1"/>
  <c r="A754" i="5"/>
  <c r="E750" i="5" l="1"/>
  <c r="D751" i="5"/>
  <c r="A755" i="5"/>
  <c r="B754" i="5" a="1"/>
  <c r="B754" i="5" s="1"/>
  <c r="C754" i="5" a="1"/>
  <c r="C754" i="5" s="1"/>
  <c r="E751" i="5" l="1"/>
  <c r="D752" i="5"/>
  <c r="B755" i="5" a="1"/>
  <c r="B755" i="5" s="1"/>
  <c r="C755" i="5" a="1"/>
  <c r="C755" i="5" s="1"/>
  <c r="A756" i="5"/>
  <c r="E752" i="5" l="1"/>
  <c r="D753" i="5"/>
  <c r="B756" i="5" a="1"/>
  <c r="B756" i="5" s="1"/>
  <c r="C756" i="5" a="1"/>
  <c r="C756" i="5" s="1"/>
  <c r="A757" i="5"/>
  <c r="E753" i="5" l="1"/>
  <c r="D754" i="5"/>
  <c r="C757" i="5" a="1"/>
  <c r="C757" i="5" s="1"/>
  <c r="A758" i="5"/>
  <c r="B757" i="5" a="1"/>
  <c r="B757" i="5" s="1"/>
  <c r="E754" i="5" l="1"/>
  <c r="D755" i="5"/>
  <c r="B758" i="5" a="1"/>
  <c r="B758" i="5" s="1"/>
  <c r="C758" i="5" a="1"/>
  <c r="C758" i="5" s="1"/>
  <c r="A759" i="5"/>
  <c r="E755" i="5" l="1"/>
  <c r="D756" i="5"/>
  <c r="A760" i="5"/>
  <c r="B759" i="5" a="1"/>
  <c r="B759" i="5" s="1"/>
  <c r="C759" i="5" a="1"/>
  <c r="C759" i="5" s="1"/>
  <c r="E756" i="5" l="1"/>
  <c r="D757" i="5"/>
  <c r="C760" i="5" a="1"/>
  <c r="C760" i="5" s="1"/>
  <c r="A761" i="5"/>
  <c r="B760" i="5" a="1"/>
  <c r="B760" i="5" s="1"/>
  <c r="E757" i="5" l="1"/>
  <c r="D758" i="5"/>
  <c r="A762" i="5"/>
  <c r="B761" i="5" a="1"/>
  <c r="B761" i="5" s="1"/>
  <c r="C761" i="5" a="1"/>
  <c r="C761" i="5" s="1"/>
  <c r="E758" i="5" l="1"/>
  <c r="D759" i="5"/>
  <c r="B762" i="5" a="1"/>
  <c r="B762" i="5" s="1"/>
  <c r="A763" i="5"/>
  <c r="C762" i="5" a="1"/>
  <c r="C762" i="5" s="1"/>
  <c r="E759" i="5" l="1"/>
  <c r="D760" i="5"/>
  <c r="B763" i="5" a="1"/>
  <c r="B763" i="5" s="1"/>
  <c r="C763" i="5" a="1"/>
  <c r="C763" i="5" s="1"/>
  <c r="A764" i="5"/>
  <c r="E760" i="5" l="1"/>
  <c r="D761" i="5"/>
  <c r="B764" i="5" a="1"/>
  <c r="B764" i="5" s="1"/>
  <c r="C764" i="5" a="1"/>
  <c r="C764" i="5" s="1"/>
  <c r="A765" i="5"/>
  <c r="E761" i="5" l="1"/>
  <c r="D762" i="5"/>
  <c r="B765" i="5" a="1"/>
  <c r="B765" i="5" s="1"/>
  <c r="C765" i="5" a="1"/>
  <c r="C765" i="5" s="1"/>
  <c r="A766" i="5"/>
  <c r="E762" i="5" l="1"/>
  <c r="D763" i="5"/>
  <c r="C766" i="5" a="1"/>
  <c r="C766" i="5" s="1"/>
  <c r="B766" i="5" a="1"/>
  <c r="B766" i="5" s="1"/>
  <c r="A767" i="5"/>
  <c r="E763" i="5" l="1"/>
  <c r="D764" i="5"/>
  <c r="B767" i="5" a="1"/>
  <c r="B767" i="5" s="1"/>
  <c r="C767" i="5" a="1"/>
  <c r="C767" i="5" s="1"/>
  <c r="A768" i="5"/>
  <c r="E764" i="5" l="1"/>
  <c r="D765" i="5"/>
  <c r="A769" i="5"/>
  <c r="B768" i="5" a="1"/>
  <c r="B768" i="5" s="1"/>
  <c r="C768" i="5" a="1"/>
  <c r="C768" i="5" s="1"/>
  <c r="E765" i="5" l="1"/>
  <c r="D766" i="5"/>
  <c r="B769" i="5" a="1"/>
  <c r="B769" i="5" s="1"/>
  <c r="C769" i="5" a="1"/>
  <c r="C769" i="5" s="1"/>
  <c r="A770" i="5"/>
  <c r="E766" i="5" l="1"/>
  <c r="D767" i="5"/>
  <c r="A771" i="5"/>
  <c r="B770" i="5" a="1"/>
  <c r="B770" i="5" s="1"/>
  <c r="C770" i="5" a="1"/>
  <c r="C770" i="5" s="1"/>
  <c r="E767" i="5" l="1"/>
  <c r="D768" i="5"/>
  <c r="B771" i="5" a="1"/>
  <c r="B771" i="5" s="1"/>
  <c r="C771" i="5" a="1"/>
  <c r="C771" i="5" s="1"/>
  <c r="A772" i="5"/>
  <c r="E768" i="5" l="1"/>
  <c r="D769" i="5"/>
  <c r="B772" i="5" a="1"/>
  <c r="B772" i="5" s="1"/>
  <c r="C772" i="5" a="1"/>
  <c r="C772" i="5" s="1"/>
  <c r="A773" i="5"/>
  <c r="E769" i="5" l="1"/>
  <c r="D770" i="5"/>
  <c r="C773" i="5" a="1"/>
  <c r="C773" i="5" s="1"/>
  <c r="A774" i="5"/>
  <c r="B773" i="5" a="1"/>
  <c r="B773" i="5" s="1"/>
  <c r="E770" i="5" l="1"/>
  <c r="D771" i="5"/>
  <c r="B774" i="5" a="1"/>
  <c r="B774" i="5" s="1"/>
  <c r="C774" i="5" a="1"/>
  <c r="C774" i="5" s="1"/>
  <c r="A775" i="5"/>
  <c r="E771" i="5" l="1"/>
  <c r="D772" i="5"/>
  <c r="A776" i="5"/>
  <c r="B775" i="5" a="1"/>
  <c r="B775" i="5" s="1"/>
  <c r="C775" i="5" a="1"/>
  <c r="C775" i="5" s="1"/>
  <c r="E772" i="5" l="1"/>
  <c r="D773" i="5"/>
  <c r="C776" i="5" a="1"/>
  <c r="C776" i="5" s="1"/>
  <c r="A777" i="5"/>
  <c r="B776" i="5" a="1"/>
  <c r="B776" i="5" s="1"/>
  <c r="E773" i="5" l="1"/>
  <c r="D774" i="5"/>
  <c r="A778" i="5"/>
  <c r="B777" i="5" a="1"/>
  <c r="B777" i="5" s="1"/>
  <c r="C777" i="5" a="1"/>
  <c r="C777" i="5" s="1"/>
  <c r="E774" i="5" l="1"/>
  <c r="D775" i="5"/>
  <c r="B778" i="5" a="1"/>
  <c r="B778" i="5" s="1"/>
  <c r="C778" i="5" a="1"/>
  <c r="C778" i="5" s="1"/>
  <c r="A779" i="5"/>
  <c r="E775" i="5" l="1"/>
  <c r="D776" i="5"/>
  <c r="B779" i="5" a="1"/>
  <c r="B779" i="5" s="1"/>
  <c r="C779" i="5" a="1"/>
  <c r="C779" i="5" s="1"/>
  <c r="A780" i="5"/>
  <c r="E776" i="5" l="1"/>
  <c r="D777" i="5"/>
  <c r="B780" i="5" a="1"/>
  <c r="B780" i="5" s="1"/>
  <c r="C780" i="5" a="1"/>
  <c r="C780" i="5" s="1"/>
  <c r="A781" i="5"/>
  <c r="E777" i="5" l="1"/>
  <c r="D778" i="5"/>
  <c r="B781" i="5" a="1"/>
  <c r="B781" i="5" s="1"/>
  <c r="C781" i="5" a="1"/>
  <c r="C781" i="5" s="1"/>
  <c r="A782" i="5"/>
  <c r="E778" i="5" l="1"/>
  <c r="D779" i="5"/>
  <c r="C782" i="5" a="1"/>
  <c r="C782" i="5" s="1"/>
  <c r="B782" i="5" a="1"/>
  <c r="B782" i="5" s="1"/>
  <c r="A783" i="5"/>
  <c r="E779" i="5" l="1"/>
  <c r="D780" i="5"/>
  <c r="B783" i="5" a="1"/>
  <c r="B783" i="5" s="1"/>
  <c r="C783" i="5" a="1"/>
  <c r="C783" i="5" s="1"/>
  <c r="A784" i="5"/>
  <c r="E780" i="5" l="1"/>
  <c r="D781" i="5"/>
  <c r="A785" i="5"/>
  <c r="B784" i="5" a="1"/>
  <c r="B784" i="5" s="1"/>
  <c r="C784" i="5" a="1"/>
  <c r="C784" i="5" s="1"/>
  <c r="E781" i="5" l="1"/>
  <c r="D782" i="5"/>
  <c r="B785" i="5" a="1"/>
  <c r="B785" i="5" s="1"/>
  <c r="C785" i="5" a="1"/>
  <c r="C785" i="5" s="1"/>
  <c r="A786" i="5"/>
  <c r="E782" i="5" l="1"/>
  <c r="D783" i="5"/>
  <c r="A787" i="5"/>
  <c r="B786" i="5" a="1"/>
  <c r="B786" i="5" s="1"/>
  <c r="C786" i="5" a="1"/>
  <c r="C786" i="5" s="1"/>
  <c r="E783" i="5" l="1"/>
  <c r="D784" i="5"/>
  <c r="B787" i="5" a="1"/>
  <c r="B787" i="5" s="1"/>
  <c r="C787" i="5" a="1"/>
  <c r="C787" i="5" s="1"/>
  <c r="A788" i="5"/>
  <c r="E784" i="5" l="1"/>
  <c r="D785" i="5"/>
  <c r="C788" i="5" a="1"/>
  <c r="C788" i="5" s="1"/>
  <c r="A789" i="5"/>
  <c r="B788" i="5" a="1"/>
  <c r="B788" i="5" s="1"/>
  <c r="E785" i="5" l="1"/>
  <c r="D786" i="5"/>
  <c r="C789" i="5" a="1"/>
  <c r="C789" i="5" s="1"/>
  <c r="A790" i="5"/>
  <c r="B789" i="5" a="1"/>
  <c r="B789" i="5" s="1"/>
  <c r="E786" i="5" l="1"/>
  <c r="D787" i="5"/>
  <c r="B790" i="5" a="1"/>
  <c r="B790" i="5" s="1"/>
  <c r="A791" i="5"/>
  <c r="C790" i="5" a="1"/>
  <c r="C790" i="5" s="1"/>
  <c r="E787" i="5" l="1"/>
  <c r="D788" i="5"/>
  <c r="A792" i="5"/>
  <c r="B791" i="5" a="1"/>
  <c r="B791" i="5" s="1"/>
  <c r="C791" i="5" a="1"/>
  <c r="C791" i="5" s="1"/>
  <c r="E788" i="5" l="1"/>
  <c r="D789" i="5"/>
  <c r="C792" i="5" a="1"/>
  <c r="C792" i="5" s="1"/>
  <c r="A793" i="5"/>
  <c r="B792" i="5" a="1"/>
  <c r="B792" i="5" s="1"/>
  <c r="E789" i="5" l="1"/>
  <c r="D790" i="5"/>
  <c r="A794" i="5"/>
  <c r="B793" i="5" a="1"/>
  <c r="B793" i="5" s="1"/>
  <c r="C793" i="5" a="1"/>
  <c r="C793" i="5" s="1"/>
  <c r="E790" i="5" l="1"/>
  <c r="D791" i="5"/>
  <c r="B794" i="5" a="1"/>
  <c r="B794" i="5" s="1"/>
  <c r="C794" i="5" a="1"/>
  <c r="C794" i="5" s="1"/>
  <c r="A795" i="5"/>
  <c r="E791" i="5" l="1"/>
  <c r="D792" i="5"/>
  <c r="B795" i="5" a="1"/>
  <c r="B795" i="5" s="1"/>
  <c r="C795" i="5" a="1"/>
  <c r="C795" i="5" s="1"/>
  <c r="A796" i="5"/>
  <c r="E792" i="5" l="1"/>
  <c r="D793" i="5"/>
  <c r="B796" i="5" a="1"/>
  <c r="B796" i="5" s="1"/>
  <c r="C796" i="5" a="1"/>
  <c r="C796" i="5" s="1"/>
  <c r="A797" i="5"/>
  <c r="E793" i="5" l="1"/>
  <c r="D794" i="5"/>
  <c r="B797" i="5" a="1"/>
  <c r="B797" i="5" s="1"/>
  <c r="C797" i="5" a="1"/>
  <c r="C797" i="5" s="1"/>
  <c r="A798" i="5"/>
  <c r="E794" i="5" l="1"/>
  <c r="D795" i="5"/>
  <c r="C798" i="5" a="1"/>
  <c r="C798" i="5" s="1"/>
  <c r="B798" i="5" a="1"/>
  <c r="B798" i="5" s="1"/>
  <c r="A799" i="5"/>
  <c r="E795" i="5" l="1"/>
  <c r="D796" i="5"/>
  <c r="B799" i="5" a="1"/>
  <c r="B799" i="5" s="1"/>
  <c r="C799" i="5" a="1"/>
  <c r="C799" i="5" s="1"/>
  <c r="A800" i="5"/>
  <c r="E796" i="5" l="1"/>
  <c r="D797" i="5"/>
  <c r="A801" i="5"/>
  <c r="B800" i="5" a="1"/>
  <c r="B800" i="5" s="1"/>
  <c r="C800" i="5" a="1"/>
  <c r="C800" i="5" s="1"/>
  <c r="E797" i="5" l="1"/>
  <c r="D798" i="5"/>
  <c r="B801" i="5" a="1"/>
  <c r="B801" i="5" s="1"/>
  <c r="C801" i="5" a="1"/>
  <c r="C801" i="5" s="1"/>
  <c r="A802" i="5"/>
  <c r="E798" i="5" l="1"/>
  <c r="D799" i="5"/>
  <c r="A803" i="5"/>
  <c r="B802" i="5" a="1"/>
  <c r="B802" i="5" s="1"/>
  <c r="C802" i="5" a="1"/>
  <c r="C802" i="5" s="1"/>
  <c r="E799" i="5" l="1"/>
  <c r="D800" i="5"/>
  <c r="B803" i="5" a="1"/>
  <c r="B803" i="5" s="1"/>
  <c r="C803" i="5" a="1"/>
  <c r="C803" i="5" s="1"/>
  <c r="A804" i="5"/>
  <c r="E800" i="5" l="1"/>
  <c r="D801" i="5"/>
  <c r="C804" i="5" a="1"/>
  <c r="C804" i="5" s="1"/>
  <c r="A805" i="5"/>
  <c r="B804" i="5" a="1"/>
  <c r="B804" i="5" s="1"/>
  <c r="E801" i="5" l="1"/>
  <c r="D802" i="5"/>
  <c r="C805" i="5" a="1"/>
  <c r="C805" i="5" s="1"/>
  <c r="A806" i="5"/>
  <c r="B805" i="5" a="1"/>
  <c r="B805" i="5" s="1"/>
  <c r="E802" i="5" l="1"/>
  <c r="D803" i="5"/>
  <c r="B806" i="5" a="1"/>
  <c r="B806" i="5" s="1"/>
  <c r="A807" i="5"/>
  <c r="C806" i="5" a="1"/>
  <c r="C806" i="5" s="1"/>
  <c r="E803" i="5" l="1"/>
  <c r="D804" i="5"/>
  <c r="A808" i="5"/>
  <c r="B807" i="5" a="1"/>
  <c r="B807" i="5" s="1"/>
  <c r="C807" i="5" a="1"/>
  <c r="C807" i="5" s="1"/>
  <c r="E804" i="5" l="1"/>
  <c r="D805" i="5"/>
  <c r="C808" i="5" a="1"/>
  <c r="C808" i="5" s="1"/>
  <c r="A809" i="5"/>
  <c r="B808" i="5" a="1"/>
  <c r="B808" i="5" s="1"/>
  <c r="E805" i="5" l="1"/>
  <c r="D806" i="5"/>
  <c r="A810" i="5"/>
  <c r="B809" i="5" a="1"/>
  <c r="B809" i="5" s="1"/>
  <c r="C809" i="5" a="1"/>
  <c r="C809" i="5" s="1"/>
  <c r="E806" i="5" l="1"/>
  <c r="D807" i="5"/>
  <c r="B810" i="5" a="1"/>
  <c r="B810" i="5" s="1"/>
  <c r="C810" i="5" a="1"/>
  <c r="C810" i="5" s="1"/>
  <c r="A811" i="5"/>
  <c r="E807" i="5" l="1"/>
  <c r="D808" i="5"/>
  <c r="B811" i="5" a="1"/>
  <c r="B811" i="5" s="1"/>
  <c r="C811" i="5" a="1"/>
  <c r="C811" i="5" s="1"/>
  <c r="A812" i="5"/>
  <c r="E808" i="5" l="1"/>
  <c r="D809" i="5"/>
  <c r="B812" i="5" a="1"/>
  <c r="B812" i="5" s="1"/>
  <c r="C812" i="5" a="1"/>
  <c r="C812" i="5" s="1"/>
  <c r="A813" i="5"/>
  <c r="E809" i="5" l="1"/>
  <c r="D810" i="5"/>
  <c r="B813" i="5" a="1"/>
  <c r="B813" i="5" s="1"/>
  <c r="C813" i="5" a="1"/>
  <c r="C813" i="5" s="1"/>
  <c r="A814" i="5"/>
  <c r="E810" i="5" l="1"/>
  <c r="D811" i="5"/>
  <c r="C814" i="5" a="1"/>
  <c r="C814" i="5" s="1"/>
  <c r="B814" i="5" a="1"/>
  <c r="B814" i="5" s="1"/>
  <c r="A815" i="5"/>
  <c r="E811" i="5" l="1"/>
  <c r="D812" i="5"/>
  <c r="B815" i="5" a="1"/>
  <c r="B815" i="5" s="1"/>
  <c r="C815" i="5" a="1"/>
  <c r="C815" i="5" s="1"/>
  <c r="A816" i="5"/>
  <c r="E812" i="5" l="1"/>
  <c r="D813" i="5"/>
  <c r="A817" i="5"/>
  <c r="C816" i="5" a="1"/>
  <c r="C816" i="5" s="1"/>
  <c r="B816" i="5" a="1"/>
  <c r="B816" i="5" s="1"/>
  <c r="E813" i="5" l="1"/>
  <c r="D814" i="5"/>
  <c r="C817" i="5" a="1"/>
  <c r="C817" i="5" s="1"/>
  <c r="A818" i="5"/>
  <c r="B817" i="5" a="1"/>
  <c r="B817" i="5" s="1"/>
  <c r="E814" i="5" l="1"/>
  <c r="D815" i="5"/>
  <c r="A819" i="5"/>
  <c r="B818" i="5" a="1"/>
  <c r="B818" i="5" s="1"/>
  <c r="C818" i="5" a="1"/>
  <c r="C818" i="5" s="1"/>
  <c r="E815" i="5" l="1"/>
  <c r="D816" i="5"/>
  <c r="B819" i="5" a="1"/>
  <c r="B819" i="5" s="1"/>
  <c r="A820" i="5"/>
  <c r="C819" i="5" a="1"/>
  <c r="C819" i="5" s="1"/>
  <c r="E816" i="5" l="1"/>
  <c r="D817" i="5"/>
  <c r="B820" i="5" a="1"/>
  <c r="B820" i="5" s="1"/>
  <c r="C820" i="5" a="1"/>
  <c r="C820" i="5" s="1"/>
  <c r="A821" i="5"/>
  <c r="E817" i="5" l="1"/>
  <c r="D818" i="5"/>
  <c r="B821" i="5" a="1"/>
  <c r="B821" i="5" s="1"/>
  <c r="C821" i="5" a="1"/>
  <c r="C821" i="5" s="1"/>
  <c r="A822" i="5"/>
  <c r="E818" i="5" l="1"/>
  <c r="D819" i="5"/>
  <c r="B822" i="5" a="1"/>
  <c r="B822" i="5" s="1"/>
  <c r="C822" i="5" a="1"/>
  <c r="C822" i="5" s="1"/>
  <c r="A823" i="5"/>
  <c r="E819" i="5" l="1"/>
  <c r="D820" i="5"/>
  <c r="C823" i="5" a="1"/>
  <c r="C823" i="5" s="1"/>
  <c r="B823" i="5" a="1"/>
  <c r="B823" i="5" s="1"/>
  <c r="A824" i="5"/>
  <c r="E820" i="5" l="1"/>
  <c r="D821" i="5"/>
  <c r="B824" i="5" a="1"/>
  <c r="B824" i="5" s="1"/>
  <c r="C824" i="5" a="1"/>
  <c r="C824" i="5" s="1"/>
  <c r="A825" i="5"/>
  <c r="E821" i="5" l="1"/>
  <c r="D822" i="5"/>
  <c r="A826" i="5"/>
  <c r="B825" i="5" a="1"/>
  <c r="B825" i="5" s="1"/>
  <c r="C825" i="5" a="1"/>
  <c r="C825" i="5" s="1"/>
  <c r="E822" i="5" l="1"/>
  <c r="D823" i="5"/>
  <c r="B826" i="5" a="1"/>
  <c r="B826" i="5" s="1"/>
  <c r="C826" i="5" a="1"/>
  <c r="C826" i="5" s="1"/>
  <c r="A827" i="5"/>
  <c r="E823" i="5" l="1"/>
  <c r="D824" i="5"/>
  <c r="A828" i="5"/>
  <c r="B827" i="5" a="1"/>
  <c r="B827" i="5" s="1"/>
  <c r="C827" i="5" a="1"/>
  <c r="C827" i="5" s="1"/>
  <c r="E824" i="5" l="1"/>
  <c r="D825" i="5"/>
  <c r="B828" i="5" a="1"/>
  <c r="B828" i="5" s="1"/>
  <c r="C828" i="5" a="1"/>
  <c r="C828" i="5" s="1"/>
  <c r="A829" i="5"/>
  <c r="E825" i="5" l="1"/>
  <c r="D826" i="5"/>
  <c r="B829" i="5" a="1"/>
  <c r="B829" i="5" s="1"/>
  <c r="C829" i="5" a="1"/>
  <c r="C829" i="5" s="1"/>
  <c r="A830" i="5"/>
  <c r="E826" i="5" l="1"/>
  <c r="D827" i="5"/>
  <c r="C830" i="5" a="1"/>
  <c r="C830" i="5" s="1"/>
  <c r="A831" i="5"/>
  <c r="B830" i="5" a="1"/>
  <c r="B830" i="5" s="1"/>
  <c r="E827" i="5" l="1"/>
  <c r="D828" i="5"/>
  <c r="B831" i="5" a="1"/>
  <c r="B831" i="5" s="1"/>
  <c r="C831" i="5" a="1"/>
  <c r="C831" i="5" s="1"/>
  <c r="A832" i="5"/>
  <c r="E828" i="5" l="1"/>
  <c r="D829" i="5"/>
  <c r="A833" i="5"/>
  <c r="C832" i="5" a="1"/>
  <c r="C832" i="5" s="1"/>
  <c r="B832" i="5" a="1"/>
  <c r="B832" i="5" s="1"/>
  <c r="E829" i="5" l="1"/>
  <c r="D830" i="5"/>
  <c r="C833" i="5" a="1"/>
  <c r="C833" i="5" s="1"/>
  <c r="A834" i="5"/>
  <c r="B833" i="5" a="1"/>
  <c r="B833" i="5" s="1"/>
  <c r="E830" i="5" l="1"/>
  <c r="D831" i="5"/>
  <c r="A835" i="5"/>
  <c r="B834" i="5" a="1"/>
  <c r="B834" i="5" s="1"/>
  <c r="C834" i="5" a="1"/>
  <c r="C834" i="5" s="1"/>
  <c r="E831" i="5" l="1"/>
  <c r="D832" i="5"/>
  <c r="B835" i="5" a="1"/>
  <c r="B835" i="5" s="1"/>
  <c r="A836" i="5"/>
  <c r="C835" i="5" a="1"/>
  <c r="C835" i="5" s="1"/>
  <c r="E832" i="5" l="1"/>
  <c r="D833" i="5"/>
  <c r="B836" i="5" a="1"/>
  <c r="B836" i="5" s="1"/>
  <c r="C836" i="5" a="1"/>
  <c r="C836" i="5" s="1"/>
  <c r="A837" i="5"/>
  <c r="E833" i="5" l="1"/>
  <c r="D834" i="5"/>
  <c r="B837" i="5" a="1"/>
  <c r="B837" i="5" s="1"/>
  <c r="C837" i="5" a="1"/>
  <c r="C837" i="5" s="1"/>
  <c r="A838" i="5"/>
  <c r="E834" i="5" l="1"/>
  <c r="D835" i="5"/>
  <c r="B838" i="5" a="1"/>
  <c r="B838" i="5" s="1"/>
  <c r="C838" i="5" a="1"/>
  <c r="C838" i="5" s="1"/>
  <c r="A839" i="5"/>
  <c r="E835" i="5" l="1"/>
  <c r="D836" i="5"/>
  <c r="C839" i="5" a="1"/>
  <c r="C839" i="5" s="1"/>
  <c r="B839" i="5" a="1"/>
  <c r="B839" i="5" s="1"/>
  <c r="A840" i="5"/>
  <c r="E836" i="5" l="1"/>
  <c r="D837" i="5"/>
  <c r="B840" i="5" a="1"/>
  <c r="B840" i="5" s="1"/>
  <c r="C840" i="5" a="1"/>
  <c r="C840" i="5" s="1"/>
  <c r="A841" i="5"/>
  <c r="E837" i="5" l="1"/>
  <c r="D838" i="5"/>
  <c r="A842" i="5"/>
  <c r="B841" i="5" a="1"/>
  <c r="B841" i="5" s="1"/>
  <c r="C841" i="5" a="1"/>
  <c r="C841" i="5" s="1"/>
  <c r="E838" i="5" l="1"/>
  <c r="D839" i="5"/>
  <c r="B842" i="5" a="1"/>
  <c r="B842" i="5" s="1"/>
  <c r="C842" i="5" a="1"/>
  <c r="C842" i="5" s="1"/>
  <c r="A843" i="5"/>
  <c r="E839" i="5" l="1"/>
  <c r="D840" i="5"/>
  <c r="A844" i="5"/>
  <c r="B843" i="5" a="1"/>
  <c r="B843" i="5" s="1"/>
  <c r="C843" i="5" a="1"/>
  <c r="C843" i="5" s="1"/>
  <c r="E840" i="5" l="1"/>
  <c r="D841" i="5"/>
  <c r="B844" i="5" a="1"/>
  <c r="B844" i="5" s="1"/>
  <c r="C844" i="5" a="1"/>
  <c r="C844" i="5" s="1"/>
  <c r="A845" i="5"/>
  <c r="E841" i="5" l="1"/>
  <c r="D842" i="5"/>
  <c r="B845" i="5" a="1"/>
  <c r="B845" i="5" s="1"/>
  <c r="C845" i="5" a="1"/>
  <c r="C845" i="5" s="1"/>
  <c r="A846" i="5"/>
  <c r="E842" i="5" l="1"/>
  <c r="D843" i="5"/>
  <c r="C846" i="5" a="1"/>
  <c r="C846" i="5" s="1"/>
  <c r="A847" i="5"/>
  <c r="B846" i="5" a="1"/>
  <c r="B846" i="5" s="1"/>
  <c r="E843" i="5" l="1"/>
  <c r="D844" i="5"/>
  <c r="B847" i="5" a="1"/>
  <c r="B847" i="5" s="1"/>
  <c r="C847" i="5" a="1"/>
  <c r="C847" i="5" s="1"/>
  <c r="A848" i="5"/>
  <c r="E844" i="5" l="1"/>
  <c r="D845" i="5"/>
  <c r="A849" i="5"/>
  <c r="C848" i="5" a="1"/>
  <c r="C848" i="5" s="1"/>
  <c r="B848" i="5" a="1"/>
  <c r="B848" i="5" s="1"/>
  <c r="E845" i="5" l="1"/>
  <c r="D846" i="5"/>
  <c r="C849" i="5" a="1"/>
  <c r="C849" i="5" s="1"/>
  <c r="A850" i="5"/>
  <c r="B849" i="5" a="1"/>
  <c r="B849" i="5" s="1"/>
  <c r="E846" i="5" l="1"/>
  <c r="D847" i="5"/>
  <c r="A851" i="5"/>
  <c r="B850" i="5" a="1"/>
  <c r="B850" i="5" s="1"/>
  <c r="C850" i="5" a="1"/>
  <c r="C850" i="5" s="1"/>
  <c r="E847" i="5" l="1"/>
  <c r="D848" i="5"/>
  <c r="B851" i="5" a="1"/>
  <c r="B851" i="5" s="1"/>
  <c r="A852" i="5"/>
  <c r="C851" i="5" a="1"/>
  <c r="C851" i="5" s="1"/>
  <c r="E848" i="5" l="1"/>
  <c r="D849" i="5"/>
  <c r="B852" i="5" a="1"/>
  <c r="B852" i="5" s="1"/>
  <c r="C852" i="5" a="1"/>
  <c r="C852" i="5" s="1"/>
  <c r="A853" i="5"/>
  <c r="E849" i="5" l="1"/>
  <c r="D850" i="5"/>
  <c r="B853" i="5" a="1"/>
  <c r="B853" i="5" s="1"/>
  <c r="C853" i="5" a="1"/>
  <c r="C853" i="5" s="1"/>
  <c r="A854" i="5"/>
  <c r="E850" i="5" l="1"/>
  <c r="D851" i="5"/>
  <c r="B854" i="5" a="1"/>
  <c r="B854" i="5" s="1"/>
  <c r="C854" i="5" a="1"/>
  <c r="C854" i="5" s="1"/>
  <c r="A855" i="5"/>
  <c r="E851" i="5" l="1"/>
  <c r="D852" i="5"/>
  <c r="C855" i="5" a="1"/>
  <c r="C855" i="5" s="1"/>
  <c r="B855" i="5" a="1"/>
  <c r="B855" i="5" s="1"/>
  <c r="A856" i="5"/>
  <c r="E852" i="5" l="1"/>
  <c r="D853" i="5"/>
  <c r="B856" i="5" a="1"/>
  <c r="B856" i="5" s="1"/>
  <c r="C856" i="5" a="1"/>
  <c r="C856" i="5" s="1"/>
  <c r="A857" i="5"/>
  <c r="E853" i="5" l="1"/>
  <c r="D854" i="5"/>
  <c r="A858" i="5"/>
  <c r="B857" i="5" a="1"/>
  <c r="B857" i="5" s="1"/>
  <c r="C857" i="5" a="1"/>
  <c r="C857" i="5" s="1"/>
  <c r="E854" i="5" l="1"/>
  <c r="D855" i="5"/>
  <c r="B858" i="5" a="1"/>
  <c r="B858" i="5" s="1"/>
  <c r="C858" i="5" a="1"/>
  <c r="C858" i="5" s="1"/>
  <c r="A859" i="5"/>
  <c r="E855" i="5" l="1"/>
  <c r="D856" i="5"/>
  <c r="A860" i="5"/>
  <c r="B859" i="5" a="1"/>
  <c r="B859" i="5" s="1"/>
  <c r="C859" i="5" a="1"/>
  <c r="C859" i="5" s="1"/>
  <c r="E856" i="5" l="1"/>
  <c r="D857" i="5"/>
  <c r="B860" i="5" a="1"/>
  <c r="B860" i="5" s="1"/>
  <c r="C860" i="5" a="1"/>
  <c r="C860" i="5" s="1"/>
  <c r="A861" i="5"/>
  <c r="E857" i="5" l="1"/>
  <c r="D858" i="5"/>
  <c r="B861" i="5" a="1"/>
  <c r="B861" i="5" s="1"/>
  <c r="C861" i="5" a="1"/>
  <c r="C861" i="5" s="1"/>
  <c r="A862" i="5"/>
  <c r="E858" i="5" l="1"/>
  <c r="D859" i="5"/>
  <c r="C862" i="5" a="1"/>
  <c r="C862" i="5" s="1"/>
  <c r="A863" i="5"/>
  <c r="B862" i="5" a="1"/>
  <c r="B862" i="5" s="1"/>
  <c r="E859" i="5" l="1"/>
  <c r="D860" i="5"/>
  <c r="B863" i="5" a="1"/>
  <c r="B863" i="5" s="1"/>
  <c r="C863" i="5" a="1"/>
  <c r="C863" i="5" s="1"/>
  <c r="A864" i="5"/>
  <c r="E860" i="5" l="1"/>
  <c r="D861" i="5"/>
  <c r="A865" i="5"/>
  <c r="C864" i="5" a="1"/>
  <c r="C864" i="5" s="1"/>
  <c r="B864" i="5" a="1"/>
  <c r="B864" i="5" s="1"/>
  <c r="E861" i="5" l="1"/>
  <c r="D862" i="5"/>
  <c r="C865" i="5" a="1"/>
  <c r="C865" i="5" s="1"/>
  <c r="A866" i="5"/>
  <c r="B865" i="5" a="1"/>
  <c r="B865" i="5" s="1"/>
  <c r="E862" i="5" l="1"/>
  <c r="D863" i="5"/>
  <c r="A867" i="5"/>
  <c r="B866" i="5" a="1"/>
  <c r="B866" i="5" s="1"/>
  <c r="C866" i="5" a="1"/>
  <c r="C866" i="5" s="1"/>
  <c r="E863" i="5" l="1"/>
  <c r="D864" i="5"/>
  <c r="B867" i="5" a="1"/>
  <c r="B867" i="5" s="1"/>
  <c r="A868" i="5"/>
  <c r="C867" i="5" a="1"/>
  <c r="C867" i="5" s="1"/>
  <c r="E864" i="5" l="1"/>
  <c r="D865" i="5"/>
  <c r="B868" i="5" a="1"/>
  <c r="B868" i="5" s="1"/>
  <c r="C868" i="5" a="1"/>
  <c r="C868" i="5" s="1"/>
  <c r="A869" i="5"/>
  <c r="E865" i="5" l="1"/>
  <c r="D866" i="5"/>
  <c r="B869" i="5" a="1"/>
  <c r="B869" i="5" s="1"/>
  <c r="C869" i="5" a="1"/>
  <c r="C869" i="5" s="1"/>
  <c r="A870" i="5"/>
  <c r="E866" i="5" l="1"/>
  <c r="D867" i="5"/>
  <c r="B870" i="5" a="1"/>
  <c r="B870" i="5" s="1"/>
  <c r="C870" i="5" a="1"/>
  <c r="C870" i="5" s="1"/>
  <c r="A871" i="5"/>
  <c r="E867" i="5" l="1"/>
  <c r="D868" i="5"/>
  <c r="C871" i="5" a="1"/>
  <c r="C871" i="5" s="1"/>
  <c r="B871" i="5" a="1"/>
  <c r="B871" i="5" s="1"/>
  <c r="A872" i="5"/>
  <c r="E868" i="5" l="1"/>
  <c r="D869" i="5"/>
  <c r="B872" i="5" a="1"/>
  <c r="B872" i="5" s="1"/>
  <c r="C872" i="5" a="1"/>
  <c r="C872" i="5" s="1"/>
  <c r="A873" i="5"/>
  <c r="E869" i="5" l="1"/>
  <c r="D870" i="5"/>
  <c r="A874" i="5"/>
  <c r="B873" i="5" a="1"/>
  <c r="B873" i="5" s="1"/>
  <c r="C873" i="5" a="1"/>
  <c r="C873" i="5" s="1"/>
  <c r="E870" i="5" l="1"/>
  <c r="D871" i="5"/>
  <c r="B874" i="5" a="1"/>
  <c r="B874" i="5" s="1"/>
  <c r="C874" i="5" a="1"/>
  <c r="C874" i="5" s="1"/>
  <c r="A875" i="5"/>
  <c r="E871" i="5" l="1"/>
  <c r="D872" i="5"/>
  <c r="A876" i="5"/>
  <c r="B875" i="5" a="1"/>
  <c r="B875" i="5" s="1"/>
  <c r="C875" i="5" a="1"/>
  <c r="C875" i="5" s="1"/>
  <c r="E872" i="5" l="1"/>
  <c r="D873" i="5"/>
  <c r="B876" i="5" a="1"/>
  <c r="B876" i="5" s="1"/>
  <c r="C876" i="5" a="1"/>
  <c r="C876" i="5" s="1"/>
  <c r="A877" i="5"/>
  <c r="E873" i="5" l="1"/>
  <c r="D874" i="5"/>
  <c r="B877" i="5" a="1"/>
  <c r="B877" i="5" s="1"/>
  <c r="C877" i="5" a="1"/>
  <c r="C877" i="5" s="1"/>
  <c r="A878" i="5"/>
  <c r="E874" i="5" l="1"/>
  <c r="D875" i="5"/>
  <c r="C878" i="5" a="1"/>
  <c r="C878" i="5" s="1"/>
  <c r="A879" i="5"/>
  <c r="B878" i="5" a="1"/>
  <c r="B878" i="5" s="1"/>
  <c r="E875" i="5" l="1"/>
  <c r="D876" i="5"/>
  <c r="B879" i="5" a="1"/>
  <c r="B879" i="5" s="1"/>
  <c r="C879" i="5" a="1"/>
  <c r="C879" i="5" s="1"/>
  <c r="A880" i="5"/>
  <c r="E876" i="5" l="1"/>
  <c r="D877" i="5"/>
  <c r="A881" i="5"/>
  <c r="C880" i="5" a="1"/>
  <c r="C880" i="5" s="1"/>
  <c r="B880" i="5" a="1"/>
  <c r="B880" i="5" s="1"/>
  <c r="E877" i="5" l="1"/>
  <c r="D878" i="5"/>
  <c r="C881" i="5" a="1"/>
  <c r="C881" i="5" s="1"/>
  <c r="A882" i="5"/>
  <c r="B881" i="5" a="1"/>
  <c r="B881" i="5" s="1"/>
  <c r="E878" i="5" l="1"/>
  <c r="D879" i="5"/>
  <c r="A883" i="5"/>
  <c r="B882" i="5" a="1"/>
  <c r="B882" i="5" s="1"/>
  <c r="C882" i="5" a="1"/>
  <c r="C882" i="5" s="1"/>
  <c r="E879" i="5" l="1"/>
  <c r="D880" i="5"/>
  <c r="B883" i="5" a="1"/>
  <c r="B883" i="5" s="1"/>
  <c r="A884" i="5"/>
  <c r="C883" i="5" a="1"/>
  <c r="C883" i="5" s="1"/>
  <c r="E880" i="5" l="1"/>
  <c r="D881" i="5"/>
  <c r="B884" i="5" a="1"/>
  <c r="B884" i="5" s="1"/>
  <c r="C884" i="5" a="1"/>
  <c r="C884" i="5" s="1"/>
  <c r="A885" i="5"/>
  <c r="E881" i="5" l="1"/>
  <c r="D882" i="5"/>
  <c r="B885" i="5" a="1"/>
  <c r="B885" i="5" s="1"/>
  <c r="C885" i="5" a="1"/>
  <c r="C885" i="5" s="1"/>
  <c r="A886" i="5"/>
  <c r="E882" i="5" l="1"/>
  <c r="D883" i="5"/>
  <c r="B886" i="5" a="1"/>
  <c r="B886" i="5" s="1"/>
  <c r="C886" i="5" a="1"/>
  <c r="C886" i="5" s="1"/>
  <c r="A887" i="5"/>
  <c r="E883" i="5" l="1"/>
  <c r="D884" i="5"/>
  <c r="C887" i="5" a="1"/>
  <c r="C887" i="5" s="1"/>
  <c r="B887" i="5" a="1"/>
  <c r="B887" i="5" s="1"/>
  <c r="A888" i="5"/>
  <c r="E884" i="5" l="1"/>
  <c r="D885" i="5"/>
  <c r="B888" i="5" a="1"/>
  <c r="B888" i="5" s="1"/>
  <c r="C888" i="5" a="1"/>
  <c r="C888" i="5" s="1"/>
  <c r="A889" i="5"/>
  <c r="E885" i="5" l="1"/>
  <c r="D886" i="5"/>
  <c r="A890" i="5"/>
  <c r="B889" i="5" a="1"/>
  <c r="B889" i="5" s="1"/>
  <c r="C889" i="5" a="1"/>
  <c r="C889" i="5" s="1"/>
  <c r="E886" i="5" l="1"/>
  <c r="D887" i="5"/>
  <c r="B890" i="5" a="1"/>
  <c r="B890" i="5" s="1"/>
  <c r="C890" i="5" a="1"/>
  <c r="C890" i="5" s="1"/>
  <c r="A891" i="5"/>
  <c r="E887" i="5" l="1"/>
  <c r="D888" i="5"/>
  <c r="A892" i="5"/>
  <c r="B891" i="5" a="1"/>
  <c r="B891" i="5" s="1"/>
  <c r="C891" i="5" a="1"/>
  <c r="C891" i="5" s="1"/>
  <c r="E888" i="5" l="1"/>
  <c r="D889" i="5"/>
  <c r="B892" i="5" a="1"/>
  <c r="B892" i="5" s="1"/>
  <c r="C892" i="5" a="1"/>
  <c r="C892" i="5" s="1"/>
  <c r="A893" i="5"/>
  <c r="E889" i="5" l="1"/>
  <c r="D890" i="5"/>
  <c r="B893" i="5" a="1"/>
  <c r="B893" i="5" s="1"/>
  <c r="C893" i="5" a="1"/>
  <c r="C893" i="5" s="1"/>
  <c r="A894" i="5"/>
  <c r="E890" i="5" l="1"/>
  <c r="D891" i="5"/>
  <c r="C894" i="5" a="1"/>
  <c r="C894" i="5" s="1"/>
  <c r="A895" i="5"/>
  <c r="B894" i="5" a="1"/>
  <c r="B894" i="5" s="1"/>
  <c r="E891" i="5" l="1"/>
  <c r="D892" i="5"/>
  <c r="B895" i="5" a="1"/>
  <c r="B895" i="5" s="1"/>
  <c r="C895" i="5" a="1"/>
  <c r="C895" i="5" s="1"/>
  <c r="A896" i="5"/>
  <c r="E892" i="5" l="1"/>
  <c r="D893" i="5"/>
  <c r="A897" i="5"/>
  <c r="C896" i="5" a="1"/>
  <c r="C896" i="5" s="1"/>
  <c r="B896" i="5" a="1"/>
  <c r="B896" i="5" s="1"/>
  <c r="E893" i="5" l="1"/>
  <c r="D894" i="5"/>
  <c r="C897" i="5" a="1"/>
  <c r="C897" i="5" s="1"/>
  <c r="A898" i="5"/>
  <c r="B897" i="5" a="1"/>
  <c r="B897" i="5" s="1"/>
  <c r="E894" i="5" l="1"/>
  <c r="D895" i="5"/>
  <c r="A899" i="5"/>
  <c r="B898" i="5" a="1"/>
  <c r="B898" i="5" s="1"/>
  <c r="C898" i="5" a="1"/>
  <c r="C898" i="5" s="1"/>
  <c r="E895" i="5" l="1"/>
  <c r="D896" i="5"/>
  <c r="B899" i="5" a="1"/>
  <c r="B899" i="5" s="1"/>
  <c r="A900" i="5"/>
  <c r="C899" i="5" a="1"/>
  <c r="C899" i="5" s="1"/>
  <c r="E896" i="5" l="1"/>
  <c r="D897" i="5"/>
  <c r="B900" i="5" a="1"/>
  <c r="B900" i="5" s="1"/>
  <c r="C900" i="5" a="1"/>
  <c r="C900" i="5" s="1"/>
  <c r="A901" i="5"/>
  <c r="E897" i="5" l="1"/>
  <c r="D898" i="5"/>
  <c r="B901" i="5" a="1"/>
  <c r="B901" i="5" s="1"/>
  <c r="C901" i="5" a="1"/>
  <c r="C901" i="5" s="1"/>
  <c r="A902" i="5"/>
  <c r="E898" i="5" l="1"/>
  <c r="D899" i="5"/>
  <c r="B902" i="5" a="1"/>
  <c r="B902" i="5" s="1"/>
  <c r="C902" i="5" a="1"/>
  <c r="C902" i="5" s="1"/>
  <c r="A903" i="5"/>
  <c r="E899" i="5" l="1"/>
  <c r="D900" i="5"/>
  <c r="C903" i="5" a="1"/>
  <c r="C903" i="5" s="1"/>
  <c r="B903" i="5" a="1"/>
  <c r="B903" i="5" s="1"/>
  <c r="A904" i="5"/>
  <c r="E900" i="5" l="1"/>
  <c r="D901" i="5"/>
  <c r="B904" i="5" a="1"/>
  <c r="B904" i="5" s="1"/>
  <c r="C904" i="5" a="1"/>
  <c r="C904" i="5" s="1"/>
  <c r="A905" i="5"/>
  <c r="E901" i="5" l="1"/>
  <c r="D902" i="5"/>
  <c r="A906" i="5"/>
  <c r="B905" i="5" a="1"/>
  <c r="B905" i="5" s="1"/>
  <c r="C905" i="5" a="1"/>
  <c r="C905" i="5" s="1"/>
  <c r="E902" i="5" l="1"/>
  <c r="D903" i="5"/>
  <c r="B906" i="5" a="1"/>
  <c r="B906" i="5" s="1"/>
  <c r="C906" i="5" a="1"/>
  <c r="C906" i="5" s="1"/>
  <c r="A907" i="5"/>
  <c r="E903" i="5" l="1"/>
  <c r="D904" i="5"/>
  <c r="A908" i="5"/>
  <c r="B907" i="5" a="1"/>
  <c r="B907" i="5" s="1"/>
  <c r="C907" i="5" a="1"/>
  <c r="C907" i="5" s="1"/>
  <c r="E904" i="5" l="1"/>
  <c r="D905" i="5"/>
  <c r="B908" i="5" a="1"/>
  <c r="B908" i="5" s="1"/>
  <c r="C908" i="5" a="1"/>
  <c r="C908" i="5" s="1"/>
  <c r="A909" i="5"/>
  <c r="E905" i="5" l="1"/>
  <c r="D906" i="5"/>
  <c r="B909" i="5" a="1"/>
  <c r="B909" i="5" s="1"/>
  <c r="C909" i="5" a="1"/>
  <c r="C909" i="5" s="1"/>
  <c r="A910" i="5"/>
  <c r="E906" i="5" l="1"/>
  <c r="D907" i="5"/>
  <c r="C910" i="5" a="1"/>
  <c r="C910" i="5" s="1"/>
  <c r="A911" i="5"/>
  <c r="B910" i="5" a="1"/>
  <c r="B910" i="5" s="1"/>
  <c r="E907" i="5" l="1"/>
  <c r="D908" i="5"/>
  <c r="B911" i="5" a="1"/>
  <c r="B911" i="5" s="1"/>
  <c r="C911" i="5" a="1"/>
  <c r="C911" i="5" s="1"/>
  <c r="A912" i="5"/>
  <c r="E908" i="5" l="1"/>
  <c r="D909" i="5"/>
  <c r="A913" i="5"/>
  <c r="C912" i="5" a="1"/>
  <c r="C912" i="5" s="1"/>
  <c r="B912" i="5" a="1"/>
  <c r="B912" i="5" s="1"/>
  <c r="E909" i="5" l="1"/>
  <c r="D910" i="5"/>
  <c r="C913" i="5" a="1"/>
  <c r="C913" i="5" s="1"/>
  <c r="A914" i="5"/>
  <c r="B913" i="5" a="1"/>
  <c r="B913" i="5" s="1"/>
  <c r="E910" i="5" l="1"/>
  <c r="D911" i="5"/>
  <c r="A915" i="5"/>
  <c r="B914" i="5" a="1"/>
  <c r="B914" i="5" s="1"/>
  <c r="C914" i="5" a="1"/>
  <c r="C914" i="5" s="1"/>
  <c r="E911" i="5" l="1"/>
  <c r="D912" i="5"/>
  <c r="B915" i="5" a="1"/>
  <c r="B915" i="5" s="1"/>
  <c r="A916" i="5"/>
  <c r="C915" i="5" a="1"/>
  <c r="C915" i="5" s="1"/>
  <c r="E912" i="5" l="1"/>
  <c r="D913" i="5"/>
  <c r="B916" i="5" a="1"/>
  <c r="B916" i="5" s="1"/>
  <c r="C916" i="5" a="1"/>
  <c r="C916" i="5" s="1"/>
  <c r="A917" i="5"/>
  <c r="E913" i="5" l="1"/>
  <c r="D914" i="5"/>
  <c r="B917" i="5" a="1"/>
  <c r="B917" i="5" s="1"/>
  <c r="C917" i="5" a="1"/>
  <c r="C917" i="5" s="1"/>
  <c r="A918" i="5"/>
  <c r="E914" i="5" l="1"/>
  <c r="D915" i="5"/>
  <c r="C918" i="5" a="1"/>
  <c r="C918" i="5" s="1"/>
  <c r="B918" i="5" a="1"/>
  <c r="B918" i="5" s="1"/>
  <c r="A919" i="5"/>
  <c r="E915" i="5" l="1"/>
  <c r="D916" i="5"/>
  <c r="C919" i="5" a="1"/>
  <c r="C919" i="5" s="1"/>
  <c r="B919" i="5" a="1"/>
  <c r="B919" i="5" s="1"/>
  <c r="A920" i="5"/>
  <c r="E916" i="5" l="1"/>
  <c r="D917" i="5"/>
  <c r="B920" i="5" a="1"/>
  <c r="B920" i="5" s="1"/>
  <c r="A921" i="5"/>
  <c r="C920" i="5" a="1"/>
  <c r="C920" i="5" s="1"/>
  <c r="E917" i="5" l="1"/>
  <c r="D918" i="5"/>
  <c r="A922" i="5"/>
  <c r="B921" i="5" a="1"/>
  <c r="B921" i="5" s="1"/>
  <c r="C921" i="5" a="1"/>
  <c r="C921" i="5" s="1"/>
  <c r="E918" i="5" l="1"/>
  <c r="D919" i="5"/>
  <c r="B922" i="5" a="1"/>
  <c r="B922" i="5" s="1"/>
  <c r="C922" i="5" a="1"/>
  <c r="C922" i="5" s="1"/>
  <c r="A923" i="5"/>
  <c r="E919" i="5" l="1"/>
  <c r="D920" i="5"/>
  <c r="A924" i="5"/>
  <c r="B923" i="5" a="1"/>
  <c r="B923" i="5" s="1"/>
  <c r="C923" i="5" a="1"/>
  <c r="C923" i="5" s="1"/>
  <c r="E920" i="5" l="1"/>
  <c r="D921" i="5"/>
  <c r="B924" i="5" a="1"/>
  <c r="B924" i="5" s="1"/>
  <c r="C924" i="5" a="1"/>
  <c r="C924" i="5" s="1"/>
  <c r="A925" i="5"/>
  <c r="E921" i="5" l="1"/>
  <c r="D922" i="5"/>
  <c r="B925" i="5" a="1"/>
  <c r="B925" i="5" s="1"/>
  <c r="C925" i="5" a="1"/>
  <c r="C925" i="5" s="1"/>
  <c r="A926" i="5"/>
  <c r="E922" i="5" l="1"/>
  <c r="D923" i="5"/>
  <c r="C926" i="5" a="1"/>
  <c r="C926" i="5" s="1"/>
  <c r="A927" i="5"/>
  <c r="B926" i="5" a="1"/>
  <c r="B926" i="5" s="1"/>
  <c r="E923" i="5" l="1"/>
  <c r="D924" i="5"/>
  <c r="B927" i="5" a="1"/>
  <c r="B927" i="5" s="1"/>
  <c r="C927" i="5" a="1"/>
  <c r="C927" i="5" s="1"/>
  <c r="A928" i="5"/>
  <c r="E924" i="5" l="1"/>
  <c r="D925" i="5"/>
  <c r="A929" i="5"/>
  <c r="C928" i="5" a="1"/>
  <c r="C928" i="5" s="1"/>
  <c r="B928" i="5" a="1"/>
  <c r="B928" i="5" s="1"/>
  <c r="E925" i="5" l="1"/>
  <c r="D926" i="5"/>
  <c r="C929" i="5" a="1"/>
  <c r="C929" i="5" s="1"/>
  <c r="A930" i="5"/>
  <c r="B929" i="5" a="1"/>
  <c r="B929" i="5" s="1"/>
  <c r="E926" i="5" l="1"/>
  <c r="D927" i="5"/>
  <c r="A931" i="5"/>
  <c r="B930" i="5" a="1"/>
  <c r="B930" i="5" s="1"/>
  <c r="C930" i="5" a="1"/>
  <c r="C930" i="5" s="1"/>
  <c r="E927" i="5" l="1"/>
  <c r="D928" i="5"/>
  <c r="B931" i="5" a="1"/>
  <c r="B931" i="5" s="1"/>
  <c r="A932" i="5"/>
  <c r="C931" i="5" a="1"/>
  <c r="C931" i="5" s="1"/>
  <c r="E928" i="5" l="1"/>
  <c r="D929" i="5"/>
  <c r="B932" i="5" a="1"/>
  <c r="B932" i="5" s="1"/>
  <c r="C932" i="5" a="1"/>
  <c r="C932" i="5" s="1"/>
  <c r="A933" i="5"/>
  <c r="E929" i="5" l="1"/>
  <c r="D930" i="5"/>
  <c r="B933" i="5" a="1"/>
  <c r="B933" i="5" s="1"/>
  <c r="C933" i="5" a="1"/>
  <c r="C933" i="5" s="1"/>
  <c r="A934" i="5"/>
  <c r="E930" i="5" l="1"/>
  <c r="D931" i="5"/>
  <c r="C934" i="5" a="1"/>
  <c r="C934" i="5" s="1"/>
  <c r="B934" i="5" a="1"/>
  <c r="B934" i="5" s="1"/>
  <c r="A935" i="5"/>
  <c r="E931" i="5" l="1"/>
  <c r="D932" i="5"/>
  <c r="C935" i="5" a="1"/>
  <c r="C935" i="5" s="1"/>
  <c r="B935" i="5" a="1"/>
  <c r="B935" i="5" s="1"/>
  <c r="A936" i="5"/>
  <c r="E932" i="5" l="1"/>
  <c r="D933" i="5"/>
  <c r="B936" i="5" a="1"/>
  <c r="B936" i="5" s="1"/>
  <c r="A937" i="5"/>
  <c r="C936" i="5" a="1"/>
  <c r="C936" i="5" s="1"/>
  <c r="E933" i="5" l="1"/>
  <c r="D934" i="5"/>
  <c r="A938" i="5"/>
  <c r="B937" i="5" a="1"/>
  <c r="B937" i="5" s="1"/>
  <c r="C937" i="5" a="1"/>
  <c r="C937" i="5" s="1"/>
  <c r="E934" i="5" l="1"/>
  <c r="D935" i="5"/>
  <c r="B938" i="5" a="1"/>
  <c r="B938" i="5" s="1"/>
  <c r="C938" i="5" a="1"/>
  <c r="C938" i="5" s="1"/>
  <c r="A939" i="5"/>
  <c r="E935" i="5" l="1"/>
  <c r="D936" i="5"/>
  <c r="A940" i="5"/>
  <c r="B939" i="5" a="1"/>
  <c r="B939" i="5" s="1"/>
  <c r="C939" i="5" a="1"/>
  <c r="C939" i="5" s="1"/>
  <c r="E936" i="5" l="1"/>
  <c r="D937" i="5"/>
  <c r="B940" i="5" a="1"/>
  <c r="B940" i="5" s="1"/>
  <c r="C940" i="5" a="1"/>
  <c r="C940" i="5" s="1"/>
  <c r="A941" i="5"/>
  <c r="E937" i="5" l="1"/>
  <c r="D938" i="5"/>
  <c r="B941" i="5" a="1"/>
  <c r="B941" i="5" s="1"/>
  <c r="C941" i="5" a="1"/>
  <c r="C941" i="5" s="1"/>
  <c r="A942" i="5"/>
  <c r="E938" i="5" l="1"/>
  <c r="D939" i="5"/>
  <c r="C942" i="5" a="1"/>
  <c r="C942" i="5" s="1"/>
  <c r="A943" i="5"/>
  <c r="B942" i="5" a="1"/>
  <c r="B942" i="5" s="1"/>
  <c r="E939" i="5" l="1"/>
  <c r="D940" i="5"/>
  <c r="B943" i="5" a="1"/>
  <c r="B943" i="5" s="1"/>
  <c r="C943" i="5" a="1"/>
  <c r="C943" i="5" s="1"/>
  <c r="A944" i="5"/>
  <c r="E940" i="5" l="1"/>
  <c r="D941" i="5"/>
  <c r="A945" i="5"/>
  <c r="C944" i="5" a="1"/>
  <c r="C944" i="5" s="1"/>
  <c r="B944" i="5" a="1"/>
  <c r="B944" i="5" s="1"/>
  <c r="E941" i="5" l="1"/>
  <c r="D942" i="5"/>
  <c r="C945" i="5" a="1"/>
  <c r="C945" i="5" s="1"/>
  <c r="A946" i="5"/>
  <c r="B945" i="5" a="1"/>
  <c r="B945" i="5" s="1"/>
  <c r="E942" i="5" l="1"/>
  <c r="D943" i="5"/>
  <c r="A947" i="5"/>
  <c r="B946" i="5" a="1"/>
  <c r="B946" i="5" s="1"/>
  <c r="C946" i="5" a="1"/>
  <c r="C946" i="5" s="1"/>
  <c r="E943" i="5" l="1"/>
  <c r="D944" i="5"/>
  <c r="B947" i="5" a="1"/>
  <c r="B947" i="5" s="1"/>
  <c r="A948" i="5"/>
  <c r="C947" i="5" a="1"/>
  <c r="C947" i="5" s="1"/>
  <c r="E944" i="5" l="1"/>
  <c r="D945" i="5"/>
  <c r="B948" i="5" a="1"/>
  <c r="B948" i="5" s="1"/>
  <c r="C948" i="5" a="1"/>
  <c r="C948" i="5" s="1"/>
  <c r="A949" i="5"/>
  <c r="E945" i="5" l="1"/>
  <c r="D946" i="5"/>
  <c r="B949" i="5" a="1"/>
  <c r="B949" i="5" s="1"/>
  <c r="C949" i="5" a="1"/>
  <c r="C949" i="5" s="1"/>
  <c r="A950" i="5"/>
  <c r="E946" i="5" l="1"/>
  <c r="D947" i="5"/>
  <c r="C950" i="5" a="1"/>
  <c r="C950" i="5" s="1"/>
  <c r="B950" i="5" a="1"/>
  <c r="B950" i="5" s="1"/>
  <c r="A951" i="5"/>
  <c r="E947" i="5" l="1"/>
  <c r="D948" i="5"/>
  <c r="C951" i="5" a="1"/>
  <c r="C951" i="5" s="1"/>
  <c r="B951" i="5" a="1"/>
  <c r="B951" i="5" s="1"/>
  <c r="A952" i="5"/>
  <c r="E948" i="5" l="1"/>
  <c r="D949" i="5"/>
  <c r="B952" i="5" a="1"/>
  <c r="B952" i="5" s="1"/>
  <c r="A953" i="5"/>
  <c r="C952" i="5" a="1"/>
  <c r="C952" i="5" s="1"/>
  <c r="E949" i="5" l="1"/>
  <c r="D950" i="5"/>
  <c r="A954" i="5"/>
  <c r="B953" i="5" a="1"/>
  <c r="B953" i="5" s="1"/>
  <c r="C953" i="5" a="1"/>
  <c r="C953" i="5" s="1"/>
  <c r="E950" i="5" l="1"/>
  <c r="D951" i="5"/>
  <c r="B954" i="5" a="1"/>
  <c r="B954" i="5" s="1"/>
  <c r="C954" i="5" a="1"/>
  <c r="C954" i="5" s="1"/>
  <c r="A955" i="5"/>
  <c r="E951" i="5" l="1"/>
  <c r="D952" i="5"/>
  <c r="A956" i="5"/>
  <c r="B955" i="5" a="1"/>
  <c r="B955" i="5" s="1"/>
  <c r="C955" i="5" a="1"/>
  <c r="C955" i="5" s="1"/>
  <c r="E952" i="5" l="1"/>
  <c r="D953" i="5"/>
  <c r="B956" i="5" a="1"/>
  <c r="B956" i="5" s="1"/>
  <c r="C956" i="5" a="1"/>
  <c r="C956" i="5" s="1"/>
  <c r="A957" i="5"/>
  <c r="E953" i="5" l="1"/>
  <c r="D954" i="5"/>
  <c r="B957" i="5" a="1"/>
  <c r="B957" i="5" s="1"/>
  <c r="C957" i="5" a="1"/>
  <c r="C957" i="5" s="1"/>
  <c r="A958" i="5"/>
  <c r="E954" i="5" l="1"/>
  <c r="D955" i="5"/>
  <c r="C958" i="5" a="1"/>
  <c r="C958" i="5" s="1"/>
  <c r="A959" i="5"/>
  <c r="B958" i="5" a="1"/>
  <c r="B958" i="5" s="1"/>
  <c r="E955" i="5" l="1"/>
  <c r="D956" i="5"/>
  <c r="B959" i="5" a="1"/>
  <c r="B959" i="5" s="1"/>
  <c r="C959" i="5" a="1"/>
  <c r="C959" i="5" s="1"/>
  <c r="A960" i="5"/>
  <c r="E956" i="5" l="1"/>
  <c r="D957" i="5"/>
  <c r="C960" i="5" a="1"/>
  <c r="C960" i="5" s="1"/>
  <c r="B960" i="5" a="1"/>
  <c r="B960" i="5" s="1"/>
  <c r="A961" i="5"/>
  <c r="E957" i="5" l="1"/>
  <c r="D958" i="5"/>
  <c r="C961" i="5" a="1"/>
  <c r="C961" i="5" s="1"/>
  <c r="A962" i="5"/>
  <c r="B961" i="5" a="1"/>
  <c r="B961" i="5" s="1"/>
  <c r="E958" i="5" l="1"/>
  <c r="D959" i="5"/>
  <c r="A963" i="5"/>
  <c r="B962" i="5" a="1"/>
  <c r="B962" i="5" s="1"/>
  <c r="C962" i="5" a="1"/>
  <c r="C962" i="5" s="1"/>
  <c r="E959" i="5" l="1"/>
  <c r="D960" i="5"/>
  <c r="B963" i="5" a="1"/>
  <c r="B963" i="5" s="1"/>
  <c r="A964" i="5"/>
  <c r="C963" i="5" a="1"/>
  <c r="C963" i="5" s="1"/>
  <c r="E960" i="5" l="1"/>
  <c r="D961" i="5"/>
  <c r="B964" i="5" a="1"/>
  <c r="B964" i="5" s="1"/>
  <c r="C964" i="5" a="1"/>
  <c r="C964" i="5" s="1"/>
  <c r="A965" i="5"/>
  <c r="E961" i="5" l="1"/>
  <c r="D962" i="5"/>
  <c r="B965" i="5" a="1"/>
  <c r="B965" i="5" s="1"/>
  <c r="C965" i="5" a="1"/>
  <c r="C965" i="5" s="1"/>
  <c r="A966" i="5"/>
  <c r="E962" i="5" l="1"/>
  <c r="D963" i="5"/>
  <c r="C966" i="5" a="1"/>
  <c r="C966" i="5" s="1"/>
  <c r="B966" i="5" a="1"/>
  <c r="B966" i="5" s="1"/>
  <c r="A967" i="5"/>
  <c r="E963" i="5" l="1"/>
  <c r="D964" i="5"/>
  <c r="C967" i="5" a="1"/>
  <c r="C967" i="5" s="1"/>
  <c r="B967" i="5" a="1"/>
  <c r="B967" i="5" s="1"/>
  <c r="A968" i="5"/>
  <c r="E964" i="5" l="1"/>
  <c r="D965" i="5"/>
  <c r="B968" i="5" a="1"/>
  <c r="B968" i="5" s="1"/>
  <c r="A969" i="5"/>
  <c r="C968" i="5" a="1"/>
  <c r="C968" i="5" s="1"/>
  <c r="E965" i="5" l="1"/>
  <c r="D966" i="5"/>
  <c r="A970" i="5"/>
  <c r="B969" i="5" a="1"/>
  <c r="B969" i="5" s="1"/>
  <c r="C969" i="5" a="1"/>
  <c r="C969" i="5" s="1"/>
  <c r="E966" i="5" l="1"/>
  <c r="D967" i="5"/>
  <c r="C970" i="5" a="1"/>
  <c r="C970" i="5" s="1"/>
  <c r="A971" i="5"/>
  <c r="B970" i="5" a="1"/>
  <c r="B970" i="5" s="1"/>
  <c r="E967" i="5" l="1"/>
  <c r="D968" i="5"/>
  <c r="C971" i="5" a="1"/>
  <c r="C971" i="5" s="1"/>
  <c r="A972" i="5"/>
  <c r="B971" i="5" a="1"/>
  <c r="B971" i="5" s="1"/>
  <c r="E968" i="5" l="1"/>
  <c r="D969" i="5"/>
  <c r="A973" i="5"/>
  <c r="C972" i="5" a="1"/>
  <c r="C972" i="5" s="1"/>
  <c r="B972" i="5" a="1"/>
  <c r="B972" i="5" s="1"/>
  <c r="E969" i="5" l="1"/>
  <c r="D970" i="5"/>
  <c r="B973" i="5" a="1"/>
  <c r="B973" i="5" s="1"/>
  <c r="A974" i="5"/>
  <c r="C973" i="5" a="1"/>
  <c r="C973" i="5" s="1"/>
  <c r="E970" i="5" l="1"/>
  <c r="D971" i="5"/>
  <c r="A975" i="5"/>
  <c r="B974" i="5" a="1"/>
  <c r="B974" i="5" s="1"/>
  <c r="C974" i="5" a="1"/>
  <c r="C974" i="5" s="1"/>
  <c r="E971" i="5" l="1"/>
  <c r="D972" i="5"/>
  <c r="B975" i="5" a="1"/>
  <c r="B975" i="5" s="1"/>
  <c r="C975" i="5" a="1"/>
  <c r="C975" i="5" s="1"/>
  <c r="A976" i="5"/>
  <c r="E972" i="5" l="1"/>
  <c r="D973" i="5"/>
  <c r="B976" i="5" a="1"/>
  <c r="B976" i="5" s="1"/>
  <c r="C976" i="5" a="1"/>
  <c r="C976" i="5" s="1"/>
  <c r="A977" i="5"/>
  <c r="E973" i="5" l="1"/>
  <c r="D974" i="5"/>
  <c r="C977" i="5" a="1"/>
  <c r="C977" i="5" s="1"/>
  <c r="A978" i="5"/>
  <c r="B977" i="5" a="1"/>
  <c r="B977" i="5" s="1"/>
  <c r="E974" i="5" l="1"/>
  <c r="D975" i="5"/>
  <c r="B978" i="5" a="1"/>
  <c r="B978" i="5" s="1"/>
  <c r="C978" i="5" a="1"/>
  <c r="C978" i="5" s="1"/>
  <c r="A979" i="5"/>
  <c r="E975" i="5" l="1"/>
  <c r="D976" i="5"/>
  <c r="A980" i="5"/>
  <c r="B979" i="5" a="1"/>
  <c r="B979" i="5" s="1"/>
  <c r="C979" i="5" a="1"/>
  <c r="C979" i="5" s="1"/>
  <c r="E976" i="5" l="1"/>
  <c r="D977" i="5"/>
  <c r="C980" i="5" a="1"/>
  <c r="C980" i="5" s="1"/>
  <c r="A981" i="5"/>
  <c r="B980" i="5" a="1"/>
  <c r="B980" i="5" s="1"/>
  <c r="E977" i="5" l="1"/>
  <c r="D978" i="5"/>
  <c r="A982" i="5"/>
  <c r="B981" i="5" a="1"/>
  <c r="B981" i="5" s="1"/>
  <c r="C981" i="5" a="1"/>
  <c r="C981" i="5" s="1"/>
  <c r="E978" i="5" l="1"/>
  <c r="D979" i="5"/>
  <c r="B982" i="5" a="1"/>
  <c r="B982" i="5" s="1"/>
  <c r="A983" i="5"/>
  <c r="C982" i="5" a="1"/>
  <c r="C982" i="5" s="1"/>
  <c r="E979" i="5" l="1"/>
  <c r="D980" i="5"/>
  <c r="B983" i="5" a="1"/>
  <c r="B983" i="5" s="1"/>
  <c r="C983" i="5" a="1"/>
  <c r="C983" i="5" s="1"/>
  <c r="A984" i="5"/>
  <c r="E980" i="5" l="1"/>
  <c r="D981" i="5"/>
  <c r="B984" i="5" a="1"/>
  <c r="B984" i="5" s="1"/>
  <c r="C984" i="5" a="1"/>
  <c r="C984" i="5" s="1"/>
  <c r="A985" i="5"/>
  <c r="E981" i="5" l="1"/>
  <c r="D982" i="5"/>
  <c r="B985" i="5" a="1"/>
  <c r="B985" i="5" s="1"/>
  <c r="C985" i="5" a="1"/>
  <c r="C985" i="5" s="1"/>
  <c r="A986" i="5"/>
  <c r="E982" i="5" l="1"/>
  <c r="D983" i="5"/>
  <c r="C986" i="5" a="1"/>
  <c r="C986" i="5" s="1"/>
  <c r="B986" i="5" a="1"/>
  <c r="B986" i="5" s="1"/>
  <c r="A987" i="5"/>
  <c r="E983" i="5" l="1"/>
  <c r="D984" i="5"/>
  <c r="C987" i="5" a="1"/>
  <c r="C987" i="5" s="1"/>
  <c r="A988" i="5"/>
  <c r="B987" i="5" a="1"/>
  <c r="B987" i="5" s="1"/>
  <c r="E984" i="5" l="1"/>
  <c r="D985" i="5"/>
  <c r="A989" i="5"/>
  <c r="C988" i="5" a="1"/>
  <c r="C988" i="5" s="1"/>
  <c r="B988" i="5" a="1"/>
  <c r="B988" i="5" s="1"/>
  <c r="E985" i="5" l="1"/>
  <c r="D986" i="5"/>
  <c r="B989" i="5" a="1"/>
  <c r="B989" i="5" s="1"/>
  <c r="A990" i="5"/>
  <c r="C989" i="5" a="1"/>
  <c r="C989" i="5" s="1"/>
  <c r="E986" i="5" l="1"/>
  <c r="D987" i="5"/>
  <c r="A991" i="5"/>
  <c r="B990" i="5" a="1"/>
  <c r="B990" i="5" s="1"/>
  <c r="C990" i="5" a="1"/>
  <c r="C990" i="5" s="1"/>
  <c r="E987" i="5" l="1"/>
  <c r="D988" i="5"/>
  <c r="B991" i="5" a="1"/>
  <c r="B991" i="5" s="1"/>
  <c r="C991" i="5" a="1"/>
  <c r="C991" i="5" s="1"/>
  <c r="A992" i="5"/>
  <c r="E988" i="5" l="1"/>
  <c r="D989" i="5"/>
  <c r="B992" i="5" a="1"/>
  <c r="B992" i="5" s="1"/>
  <c r="C992" i="5" a="1"/>
  <c r="C992" i="5" s="1"/>
  <c r="A993" i="5"/>
  <c r="E989" i="5" l="1"/>
  <c r="D990" i="5"/>
  <c r="C993" i="5" a="1"/>
  <c r="C993" i="5" s="1"/>
  <c r="B993" i="5" a="1"/>
  <c r="B993" i="5" s="1"/>
  <c r="A994" i="5"/>
  <c r="E990" i="5" l="1"/>
  <c r="D991" i="5"/>
  <c r="B994" i="5" a="1"/>
  <c r="B994" i="5" s="1"/>
  <c r="C994" i="5" a="1"/>
  <c r="C994" i="5" s="1"/>
  <c r="A995" i="5"/>
  <c r="E991" i="5" l="1"/>
  <c r="D992" i="5"/>
  <c r="A996" i="5"/>
  <c r="B995" i="5" a="1"/>
  <c r="B995" i="5" s="1"/>
  <c r="C995" i="5" a="1"/>
  <c r="C995" i="5" s="1"/>
  <c r="E992" i="5" l="1"/>
  <c r="D993" i="5"/>
  <c r="C996" i="5" a="1"/>
  <c r="C996" i="5" s="1"/>
  <c r="A997" i="5"/>
  <c r="B996" i="5" a="1"/>
  <c r="B996" i="5" s="1"/>
  <c r="E993" i="5" l="1"/>
  <c r="D994" i="5"/>
  <c r="A998" i="5"/>
  <c r="B997" i="5" a="1"/>
  <c r="B997" i="5" s="1"/>
  <c r="C997" i="5" a="1"/>
  <c r="C997" i="5" s="1"/>
  <c r="E994" i="5" l="1"/>
  <c r="D995" i="5"/>
  <c r="B998" i="5" a="1"/>
  <c r="B998" i="5" s="1"/>
  <c r="A999" i="5"/>
  <c r="C998" i="5" a="1"/>
  <c r="C998" i="5" s="1"/>
  <c r="E995" i="5" l="1"/>
  <c r="D996" i="5"/>
  <c r="B999" i="5" a="1"/>
  <c r="B999" i="5" s="1"/>
  <c r="C999" i="5" a="1"/>
  <c r="C999" i="5" s="1"/>
  <c r="A1000" i="5"/>
  <c r="E996" i="5" l="1"/>
  <c r="D997" i="5"/>
  <c r="B1000" i="5" a="1"/>
  <c r="B1000" i="5" s="1"/>
  <c r="C1000" i="5" a="1"/>
  <c r="C1000" i="5" s="1"/>
  <c r="A1001" i="5"/>
  <c r="E997" i="5" l="1"/>
  <c r="D998" i="5"/>
  <c r="B1001" i="5" a="1"/>
  <c r="B1001" i="5" s="1"/>
  <c r="C1001" i="5" a="1"/>
  <c r="C1001" i="5" s="1"/>
  <c r="A1002" i="5"/>
  <c r="E998" i="5" l="1"/>
  <c r="D999" i="5"/>
  <c r="C1002" i="5" a="1"/>
  <c r="C1002" i="5" s="1"/>
  <c r="B1002" i="5" a="1"/>
  <c r="B1002" i="5" s="1"/>
  <c r="A1003" i="5"/>
  <c r="E999" i="5" l="1"/>
  <c r="D1000" i="5"/>
  <c r="C1003" i="5" a="1"/>
  <c r="C1003" i="5" s="1"/>
  <c r="A1004" i="5"/>
  <c r="B1003" i="5" a="1"/>
  <c r="B1003" i="5" s="1"/>
  <c r="E1000" i="5" l="1"/>
  <c r="D1001" i="5"/>
  <c r="A1005" i="5"/>
  <c r="C1004" i="5" a="1"/>
  <c r="C1004" i="5" s="1"/>
  <c r="B1004" i="5" a="1"/>
  <c r="B1004" i="5" s="1"/>
  <c r="E1001" i="5" l="1"/>
  <c r="D1002" i="5"/>
  <c r="B1005" i="5" a="1"/>
  <c r="B1005" i="5" s="1"/>
  <c r="A1006" i="5"/>
  <c r="C1005" i="5" a="1"/>
  <c r="C1005" i="5" s="1"/>
  <c r="E1002" i="5" l="1"/>
  <c r="D1003" i="5"/>
  <c r="A1007" i="5"/>
  <c r="B1006" i="5" a="1"/>
  <c r="B1006" i="5" s="1"/>
  <c r="C1006" i="5" a="1"/>
  <c r="C1006" i="5" s="1"/>
  <c r="E1003" i="5" l="1"/>
  <c r="D1004" i="5"/>
  <c r="B1007" i="5" a="1"/>
  <c r="B1007" i="5" s="1"/>
  <c r="C1007" i="5" a="1"/>
  <c r="C1007" i="5" s="1"/>
  <c r="A1008" i="5"/>
  <c r="E1004" i="5" l="1"/>
  <c r="D1005" i="5"/>
  <c r="B1008" i="5" a="1"/>
  <c r="B1008" i="5" s="1"/>
  <c r="C1008" i="5" a="1"/>
  <c r="C1008" i="5" s="1"/>
  <c r="A1009" i="5"/>
  <c r="E1005" i="5" l="1"/>
  <c r="D1006" i="5"/>
  <c r="C1009" i="5" a="1"/>
  <c r="C1009" i="5" s="1"/>
  <c r="A1010" i="5"/>
  <c r="B1009" i="5" a="1"/>
  <c r="B1009" i="5" s="1"/>
  <c r="E1006" i="5" l="1"/>
  <c r="D1007" i="5"/>
  <c r="B1010" i="5" a="1"/>
  <c r="B1010" i="5" s="1"/>
  <c r="C1010" i="5" a="1"/>
  <c r="C1010" i="5" s="1"/>
  <c r="A1011" i="5"/>
  <c r="E1007" i="5" l="1"/>
  <c r="D1008" i="5"/>
  <c r="A1012" i="5"/>
  <c r="B1011" i="5" a="1"/>
  <c r="B1011" i="5" s="1"/>
  <c r="C1011" i="5" a="1"/>
  <c r="C1011" i="5" s="1"/>
  <c r="E1008" i="5" l="1"/>
  <c r="D1009" i="5"/>
  <c r="C1012" i="5" a="1"/>
  <c r="C1012" i="5" s="1"/>
  <c r="A1013" i="5"/>
  <c r="B1012" i="5" a="1"/>
  <c r="B1012" i="5" s="1"/>
  <c r="E1009" i="5" l="1"/>
  <c r="D1010" i="5"/>
  <c r="A1014" i="5"/>
  <c r="B1013" i="5" a="1"/>
  <c r="B1013" i="5" s="1"/>
  <c r="C1013" i="5" a="1"/>
  <c r="C1013" i="5" s="1"/>
  <c r="E1010" i="5" l="1"/>
  <c r="D1011" i="5"/>
  <c r="B1014" i="5" a="1"/>
  <c r="B1014" i="5" s="1"/>
  <c r="A1015" i="5"/>
  <c r="C1014" i="5" a="1"/>
  <c r="C1014" i="5" s="1"/>
  <c r="E1011" i="5" l="1"/>
  <c r="D1012" i="5"/>
  <c r="B1015" i="5" a="1"/>
  <c r="B1015" i="5" s="1"/>
  <c r="C1015" i="5" a="1"/>
  <c r="C1015" i="5" s="1"/>
  <c r="A1016" i="5"/>
  <c r="E1012" i="5" l="1"/>
  <c r="D1013" i="5"/>
  <c r="B1016" i="5" a="1"/>
  <c r="B1016" i="5" s="1"/>
  <c r="C1016" i="5" a="1"/>
  <c r="C1016" i="5" s="1"/>
  <c r="A1017" i="5"/>
  <c r="E1013" i="5" l="1"/>
  <c r="D1014" i="5"/>
  <c r="B1017" i="5" a="1"/>
  <c r="B1017" i="5" s="1"/>
  <c r="C1017" i="5" a="1"/>
  <c r="C1017" i="5" s="1"/>
  <c r="A1018" i="5"/>
  <c r="E1014" i="5" l="1"/>
  <c r="D1015" i="5"/>
  <c r="C1018" i="5" a="1"/>
  <c r="C1018" i="5" s="1"/>
  <c r="B1018" i="5" a="1"/>
  <c r="B1018" i="5" s="1"/>
  <c r="A1019" i="5"/>
  <c r="E1015" i="5" l="1"/>
  <c r="D1016" i="5"/>
  <c r="C1019" i="5" a="1"/>
  <c r="C1019" i="5" s="1"/>
  <c r="A1020" i="5"/>
  <c r="B1019" i="5" a="1"/>
  <c r="B1019" i="5" s="1"/>
  <c r="E1016" i="5" l="1"/>
  <c r="D1017" i="5"/>
  <c r="A1021" i="5"/>
  <c r="C1020" i="5" a="1"/>
  <c r="C1020" i="5" s="1"/>
  <c r="B1020" i="5" a="1"/>
  <c r="B1020" i="5" s="1"/>
  <c r="E1017" i="5" l="1"/>
  <c r="D1018" i="5"/>
  <c r="B1021" i="5" a="1"/>
  <c r="B1021" i="5" s="1"/>
  <c r="A1022" i="5"/>
  <c r="C1021" i="5" a="1"/>
  <c r="C1021" i="5" s="1"/>
  <c r="E1018" i="5" l="1"/>
  <c r="D1019" i="5"/>
  <c r="A1023" i="5"/>
  <c r="B1022" i="5" a="1"/>
  <c r="B1022" i="5" s="1"/>
  <c r="C1022" i="5" a="1"/>
  <c r="C1022" i="5" s="1"/>
  <c r="E1019" i="5" l="1"/>
  <c r="D1020" i="5"/>
  <c r="B1023" i="5" a="1"/>
  <c r="B1023" i="5" s="1"/>
  <c r="C1023" i="5" a="1"/>
  <c r="C1023" i="5" s="1"/>
  <c r="A1024" i="5"/>
  <c r="E1020" i="5" l="1"/>
  <c r="D1021" i="5"/>
  <c r="B1024" i="5" a="1"/>
  <c r="B1024" i="5" s="1"/>
  <c r="A1025" i="5"/>
  <c r="C1024" i="5" a="1"/>
  <c r="C1024" i="5" s="1"/>
  <c r="E1021" i="5" l="1"/>
  <c r="D1022" i="5"/>
  <c r="C1025" i="5" a="1"/>
  <c r="C1025" i="5" s="1"/>
  <c r="B1025" i="5" a="1"/>
  <c r="B1025" i="5" s="1"/>
  <c r="A1026" i="5"/>
  <c r="E1022" i="5" l="1"/>
  <c r="D1023" i="5"/>
  <c r="B1026" i="5" a="1"/>
  <c r="B1026" i="5" s="1"/>
  <c r="C1026" i="5" a="1"/>
  <c r="C1026" i="5" s="1"/>
  <c r="A1027" i="5"/>
  <c r="E1023" i="5" l="1"/>
  <c r="D1024" i="5"/>
  <c r="A1028" i="5"/>
  <c r="C1027" i="5" a="1"/>
  <c r="C1027" i="5" s="1"/>
  <c r="B1027" i="5" a="1"/>
  <c r="B1027" i="5" s="1"/>
  <c r="E1024" i="5" l="1"/>
  <c r="D1025" i="5"/>
  <c r="C1028" i="5" a="1"/>
  <c r="C1028" i="5" s="1"/>
  <c r="A1029" i="5"/>
  <c r="B1028" i="5" a="1"/>
  <c r="B1028" i="5" s="1"/>
  <c r="E1025" i="5" l="1"/>
  <c r="D1026" i="5"/>
  <c r="A1030" i="5"/>
  <c r="B1029" i="5" a="1"/>
  <c r="B1029" i="5" s="1"/>
  <c r="C1029" i="5" a="1"/>
  <c r="C1029" i="5" s="1"/>
  <c r="E1026" i="5" l="1"/>
  <c r="D1027" i="5"/>
  <c r="B1030" i="5" a="1"/>
  <c r="B1030" i="5" s="1"/>
  <c r="A1031" i="5"/>
  <c r="C1030" i="5" a="1"/>
  <c r="C1030" i="5" s="1"/>
  <c r="E1027" i="5" l="1"/>
  <c r="D1028" i="5"/>
  <c r="B1031" i="5" a="1"/>
  <c r="B1031" i="5" s="1"/>
  <c r="C1031" i="5" a="1"/>
  <c r="C1031" i="5" s="1"/>
  <c r="A1032" i="5"/>
  <c r="E1028" i="5" l="1"/>
  <c r="D1029" i="5"/>
  <c r="B1032" i="5" a="1"/>
  <c r="B1032" i="5" s="1"/>
  <c r="C1032" i="5" a="1"/>
  <c r="C1032" i="5" s="1"/>
  <c r="A1033" i="5"/>
  <c r="E1029" i="5" l="1"/>
  <c r="D1030" i="5"/>
  <c r="B1033" i="5" a="1"/>
  <c r="B1033" i="5" s="1"/>
  <c r="C1033" i="5" a="1"/>
  <c r="C1033" i="5" s="1"/>
  <c r="A1034" i="5"/>
  <c r="E1030" i="5" l="1"/>
  <c r="D1031" i="5"/>
  <c r="C1034" i="5" a="1"/>
  <c r="C1034" i="5" s="1"/>
  <c r="B1034" i="5" a="1"/>
  <c r="B1034" i="5" s="1"/>
  <c r="A1035" i="5"/>
  <c r="E1031" i="5" l="1"/>
  <c r="D1032" i="5"/>
  <c r="C1035" i="5" a="1"/>
  <c r="C1035" i="5" s="1"/>
  <c r="A1036" i="5"/>
  <c r="B1035" i="5" a="1"/>
  <c r="B1035" i="5" s="1"/>
  <c r="E1032" i="5" l="1"/>
  <c r="D1033" i="5"/>
  <c r="A1037" i="5"/>
  <c r="C1036" i="5" a="1"/>
  <c r="C1036" i="5" s="1"/>
  <c r="B1036" i="5" a="1"/>
  <c r="B1036" i="5" s="1"/>
  <c r="E1033" i="5" l="1"/>
  <c r="D1034" i="5"/>
  <c r="B1037" i="5" a="1"/>
  <c r="B1037" i="5" s="1"/>
  <c r="A1038" i="5"/>
  <c r="C1037" i="5" a="1"/>
  <c r="C1037" i="5" s="1"/>
  <c r="E1034" i="5" l="1"/>
  <c r="D1035" i="5"/>
  <c r="B1038" i="5" a="1"/>
  <c r="B1038" i="5" s="1"/>
  <c r="C1038" i="5" a="1"/>
  <c r="C1038" i="5" s="1"/>
  <c r="A1039" i="5"/>
  <c r="E1035" i="5" l="1"/>
  <c r="D1036" i="5"/>
  <c r="B1039" i="5" a="1"/>
  <c r="B1039" i="5" s="1"/>
  <c r="C1039" i="5" a="1"/>
  <c r="C1039" i="5" s="1"/>
  <c r="A1040" i="5"/>
  <c r="E1036" i="5" l="1"/>
  <c r="D1037" i="5"/>
  <c r="B1040" i="5" a="1"/>
  <c r="B1040" i="5" s="1"/>
  <c r="A1041" i="5"/>
  <c r="C1040" i="5" a="1"/>
  <c r="C1040" i="5" s="1"/>
  <c r="E1037" i="5" l="1"/>
  <c r="D1038" i="5"/>
  <c r="C1041" i="5" a="1"/>
  <c r="C1041" i="5" s="1"/>
  <c r="B1041" i="5" a="1"/>
  <c r="B1041" i="5" s="1"/>
  <c r="A1042" i="5"/>
  <c r="E1038" i="5" l="1"/>
  <c r="D1039" i="5"/>
  <c r="C1042" i="5" a="1"/>
  <c r="C1042" i="5" s="1"/>
  <c r="B1042" i="5" a="1"/>
  <c r="B1042" i="5" s="1"/>
  <c r="A1043" i="5"/>
  <c r="E1039" i="5" l="1"/>
  <c r="D1040" i="5"/>
  <c r="A1044" i="5"/>
  <c r="C1043" i="5" a="1"/>
  <c r="C1043" i="5" s="1"/>
  <c r="B1043" i="5" a="1"/>
  <c r="B1043" i="5" s="1"/>
  <c r="E1040" i="5" l="1"/>
  <c r="D1041" i="5"/>
  <c r="B1044" i="5" a="1"/>
  <c r="B1044" i="5" s="1"/>
  <c r="C1044" i="5" a="1"/>
  <c r="C1044" i="5" s="1"/>
  <c r="A1045" i="5"/>
  <c r="E1041" i="5" l="1"/>
  <c r="D1042" i="5"/>
  <c r="A1046" i="5"/>
  <c r="B1045" i="5" a="1"/>
  <c r="B1045" i="5" s="1"/>
  <c r="C1045" i="5" a="1"/>
  <c r="C1045" i="5" s="1"/>
  <c r="E1042" i="5" l="1"/>
  <c r="D1043" i="5"/>
  <c r="A1047" i="5"/>
  <c r="B1046" i="5" a="1"/>
  <c r="B1046" i="5" s="1"/>
  <c r="C1046" i="5" a="1"/>
  <c r="C1046" i="5" s="1"/>
  <c r="E1043" i="5" l="1"/>
  <c r="D1044" i="5"/>
  <c r="B1047" i="5" a="1"/>
  <c r="B1047" i="5" s="1"/>
  <c r="C1047" i="5" a="1"/>
  <c r="C1047" i="5" s="1"/>
  <c r="A1048" i="5"/>
  <c r="E1044" i="5" l="1"/>
  <c r="D1045" i="5"/>
  <c r="B1048" i="5" a="1"/>
  <c r="B1048" i="5" s="1"/>
  <c r="C1048" i="5" a="1"/>
  <c r="C1048" i="5" s="1"/>
  <c r="A1049" i="5"/>
  <c r="E1045" i="5" l="1"/>
  <c r="D1046" i="5"/>
  <c r="B1049" i="5" a="1"/>
  <c r="B1049" i="5" s="1"/>
  <c r="C1049" i="5" a="1"/>
  <c r="C1049" i="5" s="1"/>
  <c r="A1050" i="5"/>
  <c r="E1046" i="5" l="1"/>
  <c r="D1047" i="5"/>
  <c r="B1050" i="5" a="1"/>
  <c r="B1050" i="5" s="1"/>
  <c r="C1050" i="5" a="1"/>
  <c r="C1050" i="5" s="1"/>
  <c r="A1051" i="5"/>
  <c r="E1047" i="5" l="1"/>
  <c r="D1048" i="5"/>
  <c r="C1051" i="5" a="1"/>
  <c r="C1051" i="5" s="1"/>
  <c r="A1052" i="5"/>
  <c r="B1051" i="5" a="1"/>
  <c r="B1051" i="5" s="1"/>
  <c r="E1048" i="5" l="1"/>
  <c r="D1049" i="5"/>
  <c r="C1052" i="5" a="1"/>
  <c r="C1052" i="5" s="1"/>
  <c r="B1052" i="5" a="1"/>
  <c r="B1052" i="5" s="1"/>
  <c r="A1053" i="5"/>
  <c r="E1049" i="5" l="1"/>
  <c r="D1050" i="5"/>
  <c r="B1053" i="5" a="1"/>
  <c r="B1053" i="5" s="1"/>
  <c r="A1054" i="5"/>
  <c r="C1053" i="5" a="1"/>
  <c r="C1053" i="5" s="1"/>
  <c r="E1050" i="5" l="1"/>
  <c r="D1051" i="5"/>
  <c r="B1054" i="5" a="1"/>
  <c r="B1054" i="5" s="1"/>
  <c r="C1054" i="5" a="1"/>
  <c r="C1054" i="5" s="1"/>
  <c r="A1055" i="5"/>
  <c r="E1051" i="5" l="1"/>
  <c r="D1052" i="5"/>
  <c r="B1055" i="5" a="1"/>
  <c r="B1055" i="5" s="1"/>
  <c r="C1055" i="5" a="1"/>
  <c r="C1055" i="5" s="1"/>
  <c r="A1056" i="5"/>
  <c r="E1052" i="5" l="1"/>
  <c r="D1053" i="5"/>
  <c r="B1056" i="5" a="1"/>
  <c r="B1056" i="5" s="1"/>
  <c r="A1057" i="5"/>
  <c r="C1056" i="5" a="1"/>
  <c r="C1056" i="5" s="1"/>
  <c r="E1053" i="5" l="1"/>
  <c r="D1054" i="5"/>
  <c r="C1057" i="5" a="1"/>
  <c r="C1057" i="5" s="1"/>
  <c r="A1058" i="5"/>
  <c r="B1057" i="5" a="1"/>
  <c r="B1057" i="5" s="1"/>
  <c r="E1054" i="5" l="1"/>
  <c r="D1055" i="5"/>
  <c r="C1058" i="5" a="1"/>
  <c r="C1058" i="5" s="1"/>
  <c r="B1058" i="5" a="1"/>
  <c r="B1058" i="5" s="1"/>
  <c r="A1059" i="5"/>
  <c r="E1055" i="5" l="1"/>
  <c r="D1056" i="5"/>
  <c r="A1060" i="5"/>
  <c r="B1059" i="5" a="1"/>
  <c r="B1059" i="5" s="1"/>
  <c r="C1059" i="5" a="1"/>
  <c r="C1059" i="5" s="1"/>
  <c r="E1056" i="5" l="1"/>
  <c r="D1057" i="5"/>
  <c r="B1060" i="5" a="1"/>
  <c r="B1060" i="5" s="1"/>
  <c r="C1060" i="5" a="1"/>
  <c r="C1060" i="5" s="1"/>
  <c r="A1061" i="5"/>
  <c r="E1057" i="5" l="1"/>
  <c r="D1058" i="5"/>
  <c r="A1062" i="5"/>
  <c r="B1061" i="5" a="1"/>
  <c r="B1061" i="5" s="1"/>
  <c r="C1061" i="5" a="1"/>
  <c r="C1061" i="5" s="1"/>
  <c r="E1058" i="5" l="1"/>
  <c r="D1059" i="5"/>
  <c r="A1063" i="5"/>
  <c r="B1062" i="5" a="1"/>
  <c r="B1062" i="5" s="1"/>
  <c r="C1062" i="5" a="1"/>
  <c r="C1062" i="5" s="1"/>
  <c r="E1059" i="5" l="1"/>
  <c r="D1060" i="5"/>
  <c r="B1063" i="5" a="1"/>
  <c r="B1063" i="5" s="1"/>
  <c r="C1063" i="5" a="1"/>
  <c r="C1063" i="5" s="1"/>
  <c r="A1064" i="5"/>
  <c r="E1060" i="5" l="1"/>
  <c r="D1061" i="5"/>
  <c r="B1064" i="5" a="1"/>
  <c r="B1064" i="5" s="1"/>
  <c r="C1064" i="5" a="1"/>
  <c r="C1064" i="5" s="1"/>
  <c r="A1065" i="5"/>
  <c r="E1061" i="5" l="1"/>
  <c r="D1062" i="5"/>
  <c r="B1065" i="5" a="1"/>
  <c r="B1065" i="5" s="1"/>
  <c r="C1065" i="5" a="1"/>
  <c r="C1065" i="5" s="1"/>
  <c r="A1066" i="5"/>
  <c r="E1062" i="5" l="1"/>
  <c r="D1063" i="5"/>
  <c r="B1066" i="5" a="1"/>
  <c r="B1066" i="5" s="1"/>
  <c r="C1066" i="5" a="1"/>
  <c r="C1066" i="5" s="1"/>
  <c r="A1067" i="5"/>
  <c r="E1063" i="5" l="1"/>
  <c r="D1064" i="5"/>
  <c r="C1067" i="5" a="1"/>
  <c r="C1067" i="5" s="1"/>
  <c r="A1068" i="5"/>
  <c r="B1067" i="5" a="1"/>
  <c r="B1067" i="5" s="1"/>
  <c r="E1064" i="5" l="1"/>
  <c r="D1065" i="5"/>
  <c r="C1068" i="5" a="1"/>
  <c r="C1068" i="5" s="1"/>
  <c r="A1069" i="5"/>
  <c r="B1068" i="5" a="1"/>
  <c r="B1068" i="5" s="1"/>
  <c r="E1065" i="5" l="1"/>
  <c r="D1066" i="5"/>
  <c r="B1069" i="5" a="1"/>
  <c r="B1069" i="5" s="1"/>
  <c r="A1070" i="5"/>
  <c r="C1069" i="5" a="1"/>
  <c r="C1069" i="5" s="1"/>
  <c r="E1066" i="5" l="1"/>
  <c r="D1067" i="5"/>
  <c r="B1070" i="5" a="1"/>
  <c r="B1070" i="5" s="1"/>
  <c r="C1070" i="5" a="1"/>
  <c r="C1070" i="5" s="1"/>
  <c r="A1071" i="5"/>
  <c r="E1067" i="5" l="1"/>
  <c r="D1068" i="5"/>
  <c r="B1071" i="5" a="1"/>
  <c r="B1071" i="5" s="1"/>
  <c r="C1071" i="5" a="1"/>
  <c r="C1071" i="5" s="1"/>
  <c r="A1072" i="5"/>
  <c r="E1068" i="5" l="1"/>
  <c r="D1069" i="5"/>
  <c r="B1072" i="5" a="1"/>
  <c r="B1072" i="5" s="1"/>
  <c r="A1073" i="5"/>
  <c r="C1072" i="5" a="1"/>
  <c r="C1072" i="5" s="1"/>
  <c r="E1069" i="5" l="1"/>
  <c r="D1070" i="5"/>
  <c r="C1073" i="5" a="1"/>
  <c r="C1073" i="5" s="1"/>
  <c r="B1073" i="5" a="1"/>
  <c r="B1073" i="5" s="1"/>
  <c r="A1074" i="5"/>
  <c r="E1070" i="5" l="1"/>
  <c r="D1071" i="5"/>
  <c r="C1074" i="5" a="1"/>
  <c r="C1074" i="5" s="1"/>
  <c r="B1074" i="5" a="1"/>
  <c r="B1074" i="5" s="1"/>
  <c r="A1075" i="5"/>
  <c r="E1071" i="5" l="1"/>
  <c r="D1072" i="5"/>
  <c r="A1076" i="5"/>
  <c r="B1075" i="5" a="1"/>
  <c r="B1075" i="5" s="1"/>
  <c r="C1075" i="5" a="1"/>
  <c r="C1075" i="5" s="1"/>
  <c r="E1072" i="5" l="1"/>
  <c r="D1073" i="5"/>
  <c r="C1076" i="5" a="1"/>
  <c r="C1076" i="5" s="1"/>
  <c r="A1077" i="5"/>
  <c r="B1076" i="5" a="1"/>
  <c r="B1076" i="5" s="1"/>
  <c r="E1073" i="5" l="1"/>
  <c r="D1074" i="5"/>
  <c r="A1078" i="5"/>
  <c r="B1077" i="5" a="1"/>
  <c r="B1077" i="5" s="1"/>
  <c r="C1077" i="5" a="1"/>
  <c r="C1077" i="5" s="1"/>
  <c r="E1074" i="5" l="1"/>
  <c r="D1075" i="5"/>
  <c r="A1079" i="5"/>
  <c r="B1078" i="5" a="1"/>
  <c r="B1078" i="5" s="1"/>
  <c r="C1078" i="5" a="1"/>
  <c r="C1078" i="5" s="1"/>
  <c r="E1075" i="5" l="1"/>
  <c r="D1076" i="5"/>
  <c r="B1079" i="5" a="1"/>
  <c r="B1079" i="5" s="1"/>
  <c r="C1079" i="5" a="1"/>
  <c r="C1079" i="5" s="1"/>
  <c r="A1080" i="5"/>
  <c r="E1076" i="5" l="1"/>
  <c r="D1077" i="5"/>
  <c r="C1080" i="5" a="1"/>
  <c r="C1080" i="5" s="1"/>
  <c r="A1081" i="5"/>
  <c r="B1080" i="5" a="1"/>
  <c r="B1080" i="5" s="1"/>
  <c r="E1077" i="5" l="1"/>
  <c r="D1078" i="5"/>
  <c r="B1081" i="5" a="1"/>
  <c r="B1081" i="5" s="1"/>
  <c r="C1081" i="5" a="1"/>
  <c r="C1081" i="5" s="1"/>
  <c r="A1082" i="5"/>
  <c r="E1078" i="5" l="1"/>
  <c r="D1079" i="5"/>
  <c r="B1082" i="5" a="1"/>
  <c r="B1082" i="5" s="1"/>
  <c r="C1082" i="5" a="1"/>
  <c r="C1082" i="5" s="1"/>
  <c r="A1083" i="5"/>
  <c r="E1079" i="5" l="1"/>
  <c r="D1080" i="5"/>
  <c r="C1083" i="5" a="1"/>
  <c r="C1083" i="5" s="1"/>
  <c r="A1084" i="5"/>
  <c r="B1083" i="5" a="1"/>
  <c r="B1083" i="5" s="1"/>
  <c r="E1080" i="5" l="1"/>
  <c r="D1081" i="5"/>
  <c r="C1084" i="5" a="1"/>
  <c r="C1084" i="5" s="1"/>
  <c r="A1085" i="5"/>
  <c r="B1084" i="5" a="1"/>
  <c r="B1084" i="5" s="1"/>
  <c r="E1081" i="5" l="1"/>
  <c r="D1082" i="5"/>
  <c r="B1085" i="5" a="1"/>
  <c r="B1085" i="5" s="1"/>
  <c r="A1086" i="5"/>
  <c r="C1085" i="5" a="1"/>
  <c r="C1085" i="5" s="1"/>
  <c r="E1082" i="5" l="1"/>
  <c r="D1083" i="5"/>
  <c r="B1086" i="5" a="1"/>
  <c r="B1086" i="5" s="1"/>
  <c r="C1086" i="5" a="1"/>
  <c r="C1086" i="5" s="1"/>
  <c r="A1087" i="5"/>
  <c r="E1083" i="5" l="1"/>
  <c r="D1084" i="5"/>
  <c r="B1087" i="5" a="1"/>
  <c r="B1087" i="5" s="1"/>
  <c r="C1087" i="5" a="1"/>
  <c r="C1087" i="5" s="1"/>
  <c r="A1088" i="5"/>
  <c r="E1084" i="5" l="1"/>
  <c r="D1085" i="5"/>
  <c r="B1088" i="5" a="1"/>
  <c r="B1088" i="5" s="1"/>
  <c r="A1089" i="5"/>
  <c r="C1088" i="5" a="1"/>
  <c r="C1088" i="5" s="1"/>
  <c r="E1085" i="5" l="1"/>
  <c r="D1086" i="5"/>
  <c r="C1089" i="5" a="1"/>
  <c r="C1089" i="5" s="1"/>
  <c r="B1089" i="5" a="1"/>
  <c r="B1089" i="5" s="1"/>
  <c r="A1090" i="5"/>
  <c r="E1086" i="5" l="1"/>
  <c r="D1087" i="5"/>
  <c r="C1090" i="5" a="1"/>
  <c r="C1090" i="5" s="1"/>
  <c r="B1090" i="5" a="1"/>
  <c r="B1090" i="5" s="1"/>
  <c r="A1091" i="5"/>
  <c r="E1087" i="5" l="1"/>
  <c r="D1088" i="5"/>
  <c r="A1092" i="5"/>
  <c r="B1091" i="5" a="1"/>
  <c r="B1091" i="5" s="1"/>
  <c r="C1091" i="5" a="1"/>
  <c r="C1091" i="5" s="1"/>
  <c r="E1088" i="5" l="1"/>
  <c r="D1089" i="5"/>
  <c r="C1092" i="5" a="1"/>
  <c r="C1092" i="5" s="1"/>
  <c r="A1093" i="5"/>
  <c r="B1092" i="5" a="1"/>
  <c r="B1092" i="5" s="1"/>
  <c r="E1089" i="5" l="1"/>
  <c r="D1090" i="5"/>
  <c r="A1094" i="5"/>
  <c r="B1093" i="5" a="1"/>
  <c r="B1093" i="5" s="1"/>
  <c r="C1093" i="5" a="1"/>
  <c r="C1093" i="5" s="1"/>
  <c r="E1090" i="5" l="1"/>
  <c r="D1091" i="5"/>
  <c r="A1095" i="5"/>
  <c r="B1094" i="5" a="1"/>
  <c r="B1094" i="5" s="1"/>
  <c r="C1094" i="5" a="1"/>
  <c r="C1094" i="5" s="1"/>
  <c r="E1091" i="5" l="1"/>
  <c r="D1092" i="5"/>
  <c r="B1095" i="5" a="1"/>
  <c r="B1095" i="5" s="1"/>
  <c r="C1095" i="5" a="1"/>
  <c r="C1095" i="5" s="1"/>
  <c r="A1096" i="5"/>
  <c r="E1092" i="5" l="1"/>
  <c r="D1093" i="5"/>
  <c r="A1097" i="5"/>
  <c r="B1096" i="5" a="1"/>
  <c r="B1096" i="5" s="1"/>
  <c r="C1096" i="5" a="1"/>
  <c r="C1096" i="5" s="1"/>
  <c r="E1093" i="5" l="1"/>
  <c r="D1094" i="5"/>
  <c r="B1097" i="5" a="1"/>
  <c r="B1097" i="5" s="1"/>
  <c r="C1097" i="5" a="1"/>
  <c r="C1097" i="5" s="1"/>
  <c r="A1098" i="5"/>
  <c r="E1094" i="5" l="1"/>
  <c r="D1095" i="5"/>
  <c r="B1098" i="5" a="1"/>
  <c r="B1098" i="5" s="1"/>
  <c r="C1098" i="5" a="1"/>
  <c r="C1098" i="5" s="1"/>
  <c r="A1099" i="5"/>
  <c r="E1095" i="5" l="1"/>
  <c r="D1096" i="5"/>
  <c r="C1099" i="5" a="1"/>
  <c r="C1099" i="5" s="1"/>
  <c r="A1100" i="5"/>
  <c r="B1099" i="5" a="1"/>
  <c r="B1099" i="5" s="1"/>
  <c r="E1096" i="5" l="1"/>
  <c r="D1097" i="5"/>
  <c r="C1100" i="5" a="1"/>
  <c r="C1100" i="5" s="1"/>
  <c r="A1101" i="5"/>
  <c r="B1100" i="5" a="1"/>
  <c r="B1100" i="5" s="1"/>
  <c r="E1097" i="5" l="1"/>
  <c r="D1098" i="5"/>
  <c r="B1101" i="5" a="1"/>
  <c r="B1101" i="5" s="1"/>
  <c r="A1102" i="5"/>
  <c r="C1101" i="5" a="1"/>
  <c r="C1101" i="5" s="1"/>
  <c r="E1098" i="5" l="1"/>
  <c r="D1099" i="5"/>
  <c r="B1102" i="5" a="1"/>
  <c r="B1102" i="5" s="1"/>
  <c r="C1102" i="5" a="1"/>
  <c r="C1102" i="5" s="1"/>
  <c r="A1103" i="5"/>
  <c r="E1099" i="5" l="1"/>
  <c r="D1100" i="5"/>
  <c r="B1103" i="5" a="1"/>
  <c r="B1103" i="5" s="1"/>
  <c r="C1103" i="5" a="1"/>
  <c r="C1103" i="5" s="1"/>
  <c r="A1104" i="5"/>
  <c r="E1100" i="5" l="1"/>
  <c r="D1101" i="5"/>
  <c r="B1104" i="5" a="1"/>
  <c r="B1104" i="5" s="1"/>
  <c r="A1105" i="5"/>
  <c r="C1104" i="5" a="1"/>
  <c r="C1104" i="5" s="1"/>
  <c r="E1101" i="5" l="1"/>
  <c r="D1102" i="5"/>
  <c r="C1105" i="5" a="1"/>
  <c r="C1105" i="5" s="1"/>
  <c r="B1105" i="5" a="1"/>
  <c r="B1105" i="5" s="1"/>
  <c r="A1106" i="5"/>
  <c r="E1102" i="5" l="1"/>
  <c r="D1103" i="5"/>
  <c r="C1106" i="5" a="1"/>
  <c r="C1106" i="5" s="1"/>
  <c r="B1106" i="5" a="1"/>
  <c r="B1106" i="5" s="1"/>
  <c r="A1107" i="5"/>
  <c r="E1103" i="5" l="1"/>
  <c r="D1104" i="5"/>
  <c r="A1108" i="5"/>
  <c r="B1107" i="5" a="1"/>
  <c r="B1107" i="5" s="1"/>
  <c r="C1107" i="5" a="1"/>
  <c r="C1107" i="5" s="1"/>
  <c r="E1104" i="5" l="1"/>
  <c r="D1105" i="5"/>
  <c r="A1109" i="5"/>
  <c r="B1108" i="5" a="1"/>
  <c r="B1108" i="5" s="1"/>
  <c r="C1108" i="5" a="1"/>
  <c r="C1108" i="5" s="1"/>
  <c r="E1105" i="5" l="1"/>
  <c r="D1106" i="5"/>
  <c r="A1110" i="5"/>
  <c r="B1109" i="5" a="1"/>
  <c r="B1109" i="5" s="1"/>
  <c r="C1109" i="5" a="1"/>
  <c r="C1109" i="5" s="1"/>
  <c r="E1106" i="5" l="1"/>
  <c r="D1107" i="5"/>
  <c r="A1111" i="5"/>
  <c r="B1110" i="5" a="1"/>
  <c r="B1110" i="5" s="1"/>
  <c r="C1110" i="5" a="1"/>
  <c r="C1110" i="5" s="1"/>
  <c r="E1107" i="5" l="1"/>
  <c r="D1108" i="5"/>
  <c r="B1111" i="5" a="1"/>
  <c r="B1111" i="5" s="1"/>
  <c r="C1111" i="5" a="1"/>
  <c r="C1111" i="5" s="1"/>
  <c r="A1112" i="5"/>
  <c r="E1108" i="5" l="1"/>
  <c r="D1109" i="5"/>
  <c r="A1113" i="5"/>
  <c r="C1112" i="5" a="1"/>
  <c r="C1112" i="5" s="1"/>
  <c r="B1112" i="5" a="1"/>
  <c r="B1112" i="5" s="1"/>
  <c r="E1109" i="5" l="1"/>
  <c r="D1110" i="5"/>
  <c r="B1113" i="5" a="1"/>
  <c r="B1113" i="5" s="1"/>
  <c r="C1113" i="5" a="1"/>
  <c r="C1113" i="5" s="1"/>
  <c r="A1114" i="5"/>
  <c r="E1110" i="5" l="1"/>
  <c r="D1111" i="5"/>
  <c r="B1114" i="5" a="1"/>
  <c r="B1114" i="5" s="1"/>
  <c r="C1114" i="5" a="1"/>
  <c r="C1114" i="5" s="1"/>
  <c r="A1115" i="5"/>
  <c r="E1111" i="5" l="1"/>
  <c r="D1112" i="5"/>
  <c r="C1115" i="5" a="1"/>
  <c r="C1115" i="5" s="1"/>
  <c r="A1116" i="5"/>
  <c r="B1115" i="5" a="1"/>
  <c r="B1115" i="5" s="1"/>
  <c r="E1112" i="5" l="1"/>
  <c r="D1113" i="5"/>
  <c r="C1116" i="5" a="1"/>
  <c r="C1116" i="5" s="1"/>
  <c r="A1117" i="5"/>
  <c r="B1116" i="5" a="1"/>
  <c r="B1116" i="5" s="1"/>
  <c r="E1113" i="5" l="1"/>
  <c r="D1114" i="5"/>
  <c r="B1117" i="5" a="1"/>
  <c r="B1117" i="5" s="1"/>
  <c r="A1118" i="5"/>
  <c r="C1117" i="5" a="1"/>
  <c r="C1117" i="5" s="1"/>
  <c r="E1114" i="5" l="1"/>
  <c r="D1115" i="5"/>
  <c r="C1118" i="5" a="1"/>
  <c r="C1118" i="5" s="1"/>
  <c r="A1119" i="5"/>
  <c r="B1118" i="5" a="1"/>
  <c r="B1118" i="5" s="1"/>
  <c r="E1115" i="5" l="1"/>
  <c r="D1116" i="5"/>
  <c r="B1119" i="5" a="1"/>
  <c r="B1119" i="5" s="1"/>
  <c r="C1119" i="5" a="1"/>
  <c r="C1119" i="5" s="1"/>
  <c r="A1120" i="5"/>
  <c r="E1116" i="5" l="1"/>
  <c r="D1117" i="5"/>
  <c r="B1120" i="5" a="1"/>
  <c r="B1120" i="5" s="1"/>
  <c r="A1121" i="5"/>
  <c r="C1120" i="5" a="1"/>
  <c r="C1120" i="5" s="1"/>
  <c r="E1117" i="5" l="1"/>
  <c r="D1118" i="5"/>
  <c r="C1121" i="5" a="1"/>
  <c r="C1121" i="5" s="1"/>
  <c r="B1121" i="5" a="1"/>
  <c r="B1121" i="5" s="1"/>
  <c r="A1122" i="5"/>
  <c r="E1118" i="5" l="1"/>
  <c r="D1119" i="5"/>
  <c r="C1122" i="5" a="1"/>
  <c r="C1122" i="5" s="1"/>
  <c r="B1122" i="5" a="1"/>
  <c r="B1122" i="5" s="1"/>
  <c r="A1123" i="5"/>
  <c r="E1119" i="5" l="1"/>
  <c r="D1120" i="5"/>
  <c r="A1124" i="5"/>
  <c r="B1123" i="5" a="1"/>
  <c r="B1123" i="5" s="1"/>
  <c r="C1123" i="5" a="1"/>
  <c r="C1123" i="5" s="1"/>
  <c r="E1120" i="5" l="1"/>
  <c r="D1121" i="5"/>
  <c r="B1124" i="5" a="1"/>
  <c r="B1124" i="5" s="1"/>
  <c r="C1124" i="5" a="1"/>
  <c r="C1124" i="5" s="1"/>
  <c r="A1125" i="5"/>
  <c r="E1121" i="5" l="1"/>
  <c r="D1122" i="5"/>
  <c r="A1126" i="5"/>
  <c r="B1125" i="5" a="1"/>
  <c r="B1125" i="5" s="1"/>
  <c r="C1125" i="5" a="1"/>
  <c r="C1125" i="5" s="1"/>
  <c r="E1122" i="5" l="1"/>
  <c r="D1123" i="5"/>
  <c r="A1127" i="5"/>
  <c r="B1126" i="5" a="1"/>
  <c r="B1126" i="5" s="1"/>
  <c r="C1126" i="5" a="1"/>
  <c r="C1126" i="5" s="1"/>
  <c r="E1123" i="5" l="1"/>
  <c r="D1124" i="5"/>
  <c r="B1127" i="5" a="1"/>
  <c r="B1127" i="5" s="1"/>
  <c r="C1127" i="5" a="1"/>
  <c r="C1127" i="5" s="1"/>
  <c r="A1128" i="5"/>
  <c r="E1124" i="5" l="1"/>
  <c r="D1125" i="5"/>
  <c r="A1129" i="5"/>
  <c r="B1128" i="5" a="1"/>
  <c r="B1128" i="5" s="1"/>
  <c r="C1128" i="5" a="1"/>
  <c r="C1128" i="5" s="1"/>
  <c r="E1125" i="5" l="1"/>
  <c r="D1126" i="5"/>
  <c r="B1129" i="5" a="1"/>
  <c r="B1129" i="5" s="1"/>
  <c r="C1129" i="5" a="1"/>
  <c r="C1129" i="5" s="1"/>
  <c r="A1130" i="5"/>
  <c r="E1126" i="5" l="1"/>
  <c r="D1127" i="5"/>
  <c r="B1130" i="5" a="1"/>
  <c r="B1130" i="5" s="1"/>
  <c r="C1130" i="5" a="1"/>
  <c r="C1130" i="5" s="1"/>
  <c r="A1131" i="5"/>
  <c r="E1127" i="5" l="1"/>
  <c r="D1128" i="5"/>
  <c r="C1131" i="5" a="1"/>
  <c r="C1131" i="5" s="1"/>
  <c r="B1131" i="5" a="1"/>
  <c r="B1131" i="5" s="1"/>
  <c r="A1132" i="5"/>
  <c r="E1128" i="5" l="1"/>
  <c r="D1129" i="5"/>
  <c r="C1132" i="5" a="1"/>
  <c r="C1132" i="5" s="1"/>
  <c r="A1133" i="5"/>
  <c r="B1132" i="5" a="1"/>
  <c r="B1132" i="5" s="1"/>
  <c r="E1129" i="5" l="1"/>
  <c r="D1130" i="5"/>
  <c r="B1133" i="5" a="1"/>
  <c r="B1133" i="5" s="1"/>
  <c r="A1134" i="5"/>
  <c r="C1133" i="5" a="1"/>
  <c r="C1133" i="5" s="1"/>
  <c r="E1130" i="5" l="1"/>
  <c r="D1131" i="5"/>
  <c r="B1134" i="5" a="1"/>
  <c r="B1134" i="5" s="1"/>
  <c r="C1134" i="5" a="1"/>
  <c r="C1134" i="5" s="1"/>
  <c r="A1135" i="5"/>
  <c r="E1131" i="5" l="1"/>
  <c r="D1132" i="5"/>
  <c r="B1135" i="5" a="1"/>
  <c r="B1135" i="5" s="1"/>
  <c r="C1135" i="5" a="1"/>
  <c r="C1135" i="5" s="1"/>
  <c r="A1136" i="5"/>
  <c r="E1132" i="5" l="1"/>
  <c r="D1133" i="5"/>
  <c r="B1136" i="5" a="1"/>
  <c r="B1136" i="5" s="1"/>
  <c r="C1136" i="5" a="1"/>
  <c r="C1136" i="5" s="1"/>
  <c r="A1137" i="5"/>
  <c r="E1133" i="5" l="1"/>
  <c r="D1134" i="5"/>
  <c r="B1137" i="5" a="1"/>
  <c r="B1137" i="5" s="1"/>
  <c r="C1137" i="5" a="1"/>
  <c r="C1137" i="5" s="1"/>
  <c r="A1138" i="5"/>
  <c r="E1134" i="5" l="1"/>
  <c r="D1135" i="5"/>
  <c r="A1139" i="5"/>
  <c r="C1138" i="5" a="1"/>
  <c r="C1138" i="5" s="1"/>
  <c r="B1138" i="5" a="1"/>
  <c r="B1138" i="5" s="1"/>
  <c r="E1135" i="5" l="1"/>
  <c r="D1136" i="5"/>
  <c r="A1140" i="5"/>
  <c r="B1139" i="5" a="1"/>
  <c r="B1139" i="5" s="1"/>
  <c r="C1139" i="5" a="1"/>
  <c r="C1139" i="5" s="1"/>
  <c r="E1136" i="5" l="1"/>
  <c r="D1137" i="5"/>
  <c r="B1140" i="5" a="1"/>
  <c r="B1140" i="5" s="1"/>
  <c r="C1140" i="5" a="1"/>
  <c r="C1140" i="5" s="1"/>
  <c r="A1141" i="5"/>
  <c r="E1137" i="5" l="1"/>
  <c r="D1138" i="5"/>
  <c r="C1141" i="5" a="1"/>
  <c r="C1141" i="5" s="1"/>
  <c r="A1142" i="5"/>
  <c r="B1141" i="5" a="1"/>
  <c r="B1141" i="5" s="1"/>
  <c r="E1138" i="5" l="1"/>
  <c r="D1139" i="5"/>
  <c r="B1142" i="5" a="1"/>
  <c r="B1142" i="5" s="1"/>
  <c r="C1142" i="5" a="1"/>
  <c r="C1142" i="5" s="1"/>
  <c r="A1143" i="5"/>
  <c r="E1139" i="5" l="1"/>
  <c r="D1140" i="5"/>
  <c r="A1144" i="5"/>
  <c r="B1143" i="5" a="1"/>
  <c r="B1143" i="5" s="1"/>
  <c r="C1143" i="5" a="1"/>
  <c r="C1143" i="5" s="1"/>
  <c r="E1140" i="5" l="1"/>
  <c r="D1141" i="5"/>
  <c r="B1144" i="5" a="1"/>
  <c r="B1144" i="5" s="1"/>
  <c r="A1145" i="5"/>
  <c r="C1144" i="5" a="1"/>
  <c r="C1144" i="5" s="1"/>
  <c r="E1141" i="5" l="1"/>
  <c r="D1142" i="5"/>
  <c r="B1145" i="5" a="1"/>
  <c r="B1145" i="5" s="1"/>
  <c r="C1145" i="5" a="1"/>
  <c r="C1145" i="5" s="1"/>
  <c r="A1146" i="5"/>
  <c r="E1142" i="5" l="1"/>
  <c r="D1143" i="5"/>
  <c r="C1146" i="5" a="1"/>
  <c r="C1146" i="5" s="1"/>
  <c r="B1146" i="5" a="1"/>
  <c r="B1146" i="5" s="1"/>
  <c r="A1147" i="5"/>
  <c r="E1143" i="5" l="1"/>
  <c r="D1144" i="5"/>
  <c r="B1147" i="5" a="1"/>
  <c r="B1147" i="5" s="1"/>
  <c r="C1147" i="5" a="1"/>
  <c r="C1147" i="5" s="1"/>
  <c r="A1148" i="5"/>
  <c r="E1144" i="5" l="1"/>
  <c r="D1145" i="5"/>
  <c r="A1149" i="5"/>
  <c r="B1148" i="5" a="1"/>
  <c r="B1148" i="5" s="1"/>
  <c r="C1148" i="5" a="1"/>
  <c r="C1148" i="5" s="1"/>
  <c r="E1145" i="5" l="1"/>
  <c r="D1146" i="5"/>
  <c r="B1149" i="5" a="1"/>
  <c r="B1149" i="5" s="1"/>
  <c r="A1150" i="5"/>
  <c r="C1149" i="5" a="1"/>
  <c r="C1149" i="5" s="1"/>
  <c r="E1146" i="5" l="1"/>
  <c r="D1147" i="5"/>
  <c r="B1150" i="5" a="1"/>
  <c r="B1150" i="5" s="1"/>
  <c r="C1150" i="5" a="1"/>
  <c r="C1150" i="5" s="1"/>
  <c r="A1151" i="5"/>
  <c r="E1147" i="5" l="1"/>
  <c r="D1148" i="5"/>
  <c r="B1151" i="5" a="1"/>
  <c r="B1151" i="5" s="1"/>
  <c r="C1151" i="5" a="1"/>
  <c r="C1151" i="5" s="1"/>
  <c r="A1152" i="5"/>
  <c r="E1148" i="5" l="1"/>
  <c r="D1149" i="5"/>
  <c r="B1152" i="5" a="1"/>
  <c r="B1152" i="5" s="1"/>
  <c r="C1152" i="5" a="1"/>
  <c r="C1152" i="5" s="1"/>
  <c r="A1153" i="5"/>
  <c r="E1149" i="5" l="1"/>
  <c r="D1150" i="5"/>
  <c r="C1153" i="5" a="1"/>
  <c r="C1153" i="5" s="1"/>
  <c r="B1153" i="5" a="1"/>
  <c r="B1153" i="5" s="1"/>
  <c r="A1154" i="5"/>
  <c r="E1150" i="5" l="1"/>
  <c r="D1151" i="5"/>
  <c r="B1154" i="5" a="1"/>
  <c r="B1154" i="5" s="1"/>
  <c r="C1154" i="5" a="1"/>
  <c r="C1154" i="5" s="1"/>
  <c r="A1155" i="5"/>
  <c r="E1151" i="5" l="1"/>
  <c r="D1152" i="5"/>
  <c r="A1156" i="5"/>
  <c r="B1155" i="5" a="1"/>
  <c r="B1155" i="5" s="1"/>
  <c r="C1155" i="5" a="1"/>
  <c r="C1155" i="5" s="1"/>
  <c r="E1152" i="5" l="1"/>
  <c r="D1153" i="5"/>
  <c r="B1156" i="5" a="1"/>
  <c r="B1156" i="5" s="1"/>
  <c r="C1156" i="5" a="1"/>
  <c r="C1156" i="5" s="1"/>
  <c r="A1157" i="5"/>
  <c r="E1153" i="5" l="1"/>
  <c r="D1154" i="5"/>
  <c r="A1158" i="5"/>
  <c r="B1157" i="5" a="1"/>
  <c r="B1157" i="5" s="1"/>
  <c r="C1157" i="5" a="1"/>
  <c r="C1157" i="5" s="1"/>
  <c r="E1154" i="5" l="1"/>
  <c r="D1155" i="5"/>
  <c r="B1158" i="5" a="1"/>
  <c r="B1158" i="5" s="1"/>
  <c r="C1158" i="5" a="1"/>
  <c r="C1158" i="5" s="1"/>
  <c r="A1159" i="5"/>
  <c r="E1155" i="5" l="1"/>
  <c r="D1156" i="5"/>
  <c r="B1159" i="5" a="1"/>
  <c r="B1159" i="5" s="1"/>
  <c r="C1159" i="5" a="1"/>
  <c r="C1159" i="5" s="1"/>
  <c r="A1160" i="5"/>
  <c r="E1156" i="5" l="1"/>
  <c r="D1157" i="5"/>
  <c r="C1160" i="5" a="1"/>
  <c r="C1160" i="5" s="1"/>
  <c r="A1161" i="5"/>
  <c r="B1160" i="5" a="1"/>
  <c r="B1160" i="5" s="1"/>
  <c r="E1157" i="5" l="1"/>
  <c r="D1158" i="5"/>
  <c r="B1161" i="5" a="1"/>
  <c r="B1161" i="5" s="1"/>
  <c r="C1161" i="5" a="1"/>
  <c r="C1161" i="5" s="1"/>
  <c r="A1162" i="5"/>
  <c r="E1158" i="5" l="1"/>
  <c r="D1159" i="5"/>
  <c r="A1163" i="5"/>
  <c r="C1162" i="5" a="1"/>
  <c r="C1162" i="5" s="1"/>
  <c r="B1162" i="5" a="1"/>
  <c r="B1162" i="5" s="1"/>
  <c r="E1159" i="5" l="1"/>
  <c r="D1160" i="5"/>
  <c r="C1163" i="5" a="1"/>
  <c r="C1163" i="5" s="1"/>
  <c r="A1164" i="5"/>
  <c r="B1163" i="5" a="1"/>
  <c r="B1163" i="5" s="1"/>
  <c r="E1160" i="5" l="1"/>
  <c r="D1161" i="5"/>
  <c r="A1165" i="5"/>
  <c r="B1164" i="5" a="1"/>
  <c r="B1164" i="5" s="1"/>
  <c r="C1164" i="5" a="1"/>
  <c r="C1164" i="5" s="1"/>
  <c r="E1161" i="5" l="1"/>
  <c r="D1162" i="5"/>
  <c r="B1165" i="5" a="1"/>
  <c r="B1165" i="5" s="1"/>
  <c r="A1166" i="5"/>
  <c r="C1165" i="5" a="1"/>
  <c r="C1165" i="5" s="1"/>
  <c r="E1162" i="5" l="1"/>
  <c r="D1163" i="5"/>
  <c r="B1166" i="5" a="1"/>
  <c r="B1166" i="5" s="1"/>
  <c r="C1166" i="5" a="1"/>
  <c r="C1166" i="5" s="1"/>
  <c r="A1167" i="5"/>
  <c r="E1163" i="5" l="1"/>
  <c r="D1164" i="5"/>
  <c r="B1167" i="5" a="1"/>
  <c r="B1167" i="5" s="1"/>
  <c r="C1167" i="5" a="1"/>
  <c r="C1167" i="5" s="1"/>
  <c r="A1168" i="5"/>
  <c r="E1164" i="5" l="1"/>
  <c r="D1165" i="5"/>
  <c r="B1168" i="5" a="1"/>
  <c r="B1168" i="5" s="1"/>
  <c r="C1168" i="5" a="1"/>
  <c r="C1168" i="5" s="1"/>
  <c r="A1169" i="5"/>
  <c r="E1165" i="5" l="1"/>
  <c r="D1166" i="5"/>
  <c r="C1169" i="5" a="1"/>
  <c r="C1169" i="5" s="1"/>
  <c r="B1169" i="5" a="1"/>
  <c r="B1169" i="5" s="1"/>
  <c r="A1170" i="5"/>
  <c r="E1166" i="5" l="1"/>
  <c r="D1167" i="5"/>
  <c r="B1170" i="5" a="1"/>
  <c r="B1170" i="5" s="1"/>
  <c r="C1170" i="5" a="1"/>
  <c r="C1170" i="5" s="1"/>
  <c r="A1171" i="5"/>
  <c r="E1167" i="5" l="1"/>
  <c r="D1168" i="5"/>
  <c r="A1172" i="5"/>
  <c r="B1171" i="5" a="1"/>
  <c r="B1171" i="5" s="1"/>
  <c r="C1171" i="5" a="1"/>
  <c r="C1171" i="5" s="1"/>
  <c r="E1168" i="5" l="1"/>
  <c r="D1169" i="5"/>
  <c r="B1172" i="5" a="1"/>
  <c r="B1172" i="5" s="1"/>
  <c r="C1172" i="5" a="1"/>
  <c r="C1172" i="5" s="1"/>
  <c r="A1173" i="5"/>
  <c r="E1169" i="5" l="1"/>
  <c r="D1170" i="5"/>
  <c r="A1174" i="5"/>
  <c r="B1173" i="5" a="1"/>
  <c r="B1173" i="5" s="1"/>
  <c r="C1173" i="5" a="1"/>
  <c r="C1173" i="5" s="1"/>
  <c r="E1170" i="5" l="1"/>
  <c r="D1171" i="5"/>
  <c r="B1174" i="5" a="1"/>
  <c r="B1174" i="5" s="1"/>
  <c r="C1174" i="5" a="1"/>
  <c r="C1174" i="5" s="1"/>
  <c r="A1175" i="5"/>
  <c r="E1171" i="5" l="1"/>
  <c r="D1172" i="5"/>
  <c r="B1175" i="5" a="1"/>
  <c r="B1175" i="5" s="1"/>
  <c r="C1175" i="5" a="1"/>
  <c r="C1175" i="5" s="1"/>
  <c r="A1176" i="5"/>
  <c r="E1172" i="5" l="1"/>
  <c r="D1173" i="5"/>
  <c r="C1176" i="5" a="1"/>
  <c r="C1176" i="5" s="1"/>
  <c r="A1177" i="5"/>
  <c r="B1176" i="5" a="1"/>
  <c r="B1176" i="5" s="1"/>
  <c r="E1173" i="5" l="1"/>
  <c r="D1174" i="5"/>
  <c r="B1177" i="5" a="1"/>
  <c r="B1177" i="5" s="1"/>
  <c r="C1177" i="5" a="1"/>
  <c r="C1177" i="5" s="1"/>
  <c r="A1178" i="5"/>
  <c r="E1174" i="5" l="1"/>
  <c r="D1175" i="5"/>
  <c r="A1179" i="5"/>
  <c r="B1178" i="5" a="1"/>
  <c r="B1178" i="5" s="1"/>
  <c r="C1178" i="5" a="1"/>
  <c r="C1178" i="5" s="1"/>
  <c r="E1175" i="5" l="1"/>
  <c r="D1176" i="5"/>
  <c r="C1179" i="5" a="1"/>
  <c r="C1179" i="5" s="1"/>
  <c r="A1180" i="5"/>
  <c r="B1179" i="5" a="1"/>
  <c r="B1179" i="5" s="1"/>
  <c r="E1176" i="5" l="1"/>
  <c r="D1177" i="5"/>
  <c r="A1181" i="5"/>
  <c r="B1180" i="5" a="1"/>
  <c r="B1180" i="5" s="1"/>
  <c r="C1180" i="5" a="1"/>
  <c r="C1180" i="5" s="1"/>
  <c r="E1177" i="5" l="1"/>
  <c r="D1178" i="5"/>
  <c r="B1181" i="5" a="1"/>
  <c r="B1181" i="5" s="1"/>
  <c r="A1182" i="5"/>
  <c r="C1181" i="5" a="1"/>
  <c r="C1181" i="5" s="1"/>
  <c r="E1178" i="5" l="1"/>
  <c r="D1179" i="5"/>
  <c r="B1182" i="5" a="1"/>
  <c r="B1182" i="5" s="1"/>
  <c r="C1182" i="5" a="1"/>
  <c r="C1182" i="5" s="1"/>
  <c r="A1183" i="5"/>
  <c r="E1179" i="5" l="1"/>
  <c r="D1180" i="5"/>
  <c r="B1183" i="5" a="1"/>
  <c r="B1183" i="5" s="1"/>
  <c r="C1183" i="5" a="1"/>
  <c r="C1183" i="5" s="1"/>
  <c r="A1184" i="5"/>
  <c r="E1180" i="5" l="1"/>
  <c r="D1181" i="5"/>
  <c r="B1184" i="5" a="1"/>
  <c r="B1184" i="5" s="1"/>
  <c r="C1184" i="5" a="1"/>
  <c r="C1184" i="5" s="1"/>
  <c r="A1185" i="5"/>
  <c r="E1181" i="5" l="1"/>
  <c r="D1182" i="5"/>
  <c r="C1185" i="5" a="1"/>
  <c r="C1185" i="5" s="1"/>
  <c r="B1185" i="5" a="1"/>
  <c r="B1185" i="5" s="1"/>
  <c r="A1186" i="5"/>
  <c r="E1182" i="5" l="1"/>
  <c r="D1183" i="5"/>
  <c r="B1186" i="5" a="1"/>
  <c r="B1186" i="5" s="1"/>
  <c r="C1186" i="5" a="1"/>
  <c r="C1186" i="5" s="1"/>
  <c r="A1187" i="5"/>
  <c r="E1183" i="5" l="1"/>
  <c r="D1184" i="5"/>
  <c r="A1188" i="5"/>
  <c r="B1187" i="5" a="1"/>
  <c r="B1187" i="5" s="1"/>
  <c r="C1187" i="5" a="1"/>
  <c r="C1187" i="5" s="1"/>
  <c r="E1184" i="5" l="1"/>
  <c r="D1185" i="5"/>
  <c r="B1188" i="5" a="1"/>
  <c r="B1188" i="5" s="1"/>
  <c r="C1188" i="5" a="1"/>
  <c r="C1188" i="5" s="1"/>
  <c r="A1189" i="5"/>
  <c r="E1185" i="5" l="1"/>
  <c r="D1186" i="5"/>
  <c r="A1190" i="5"/>
  <c r="B1189" i="5" a="1"/>
  <c r="B1189" i="5" s="1"/>
  <c r="C1189" i="5" a="1"/>
  <c r="C1189" i="5" s="1"/>
  <c r="E1186" i="5" l="1"/>
  <c r="D1187" i="5"/>
  <c r="B1190" i="5" a="1"/>
  <c r="B1190" i="5" s="1"/>
  <c r="C1190" i="5" a="1"/>
  <c r="C1190" i="5" s="1"/>
  <c r="A1191" i="5"/>
  <c r="E1187" i="5" l="1"/>
  <c r="D1188" i="5"/>
  <c r="B1191" i="5" a="1"/>
  <c r="B1191" i="5" s="1"/>
  <c r="C1191" i="5" a="1"/>
  <c r="C1191" i="5" s="1"/>
  <c r="A1192" i="5"/>
  <c r="E1188" i="5" l="1"/>
  <c r="D1189" i="5"/>
  <c r="C1192" i="5" a="1"/>
  <c r="C1192" i="5" s="1"/>
  <c r="A1193" i="5"/>
  <c r="B1192" i="5" a="1"/>
  <c r="B1192" i="5" s="1"/>
  <c r="E1189" i="5" l="1"/>
  <c r="D1190" i="5"/>
  <c r="B1193" i="5" a="1"/>
  <c r="B1193" i="5" s="1"/>
  <c r="C1193" i="5" a="1"/>
  <c r="C1193" i="5" s="1"/>
  <c r="A1194" i="5"/>
  <c r="E1190" i="5" l="1"/>
  <c r="D1191" i="5"/>
  <c r="A1195" i="5"/>
  <c r="B1194" i="5" a="1"/>
  <c r="B1194" i="5" s="1"/>
  <c r="C1194" i="5" a="1"/>
  <c r="C1194" i="5" s="1"/>
  <c r="E1191" i="5" l="1"/>
  <c r="D1192" i="5"/>
  <c r="C1195" i="5" a="1"/>
  <c r="C1195" i="5" s="1"/>
  <c r="A1196" i="5"/>
  <c r="B1195" i="5" a="1"/>
  <c r="B1195" i="5" s="1"/>
  <c r="E1192" i="5" l="1"/>
  <c r="D1193" i="5"/>
  <c r="A1197" i="5"/>
  <c r="B1196" i="5" a="1"/>
  <c r="B1196" i="5" s="1"/>
  <c r="C1196" i="5" a="1"/>
  <c r="C1196" i="5" s="1"/>
  <c r="E1193" i="5" l="1"/>
  <c r="D1194" i="5"/>
  <c r="B1197" i="5" a="1"/>
  <c r="B1197" i="5" s="1"/>
  <c r="A1198" i="5"/>
  <c r="C1197" i="5" a="1"/>
  <c r="C1197" i="5" s="1"/>
  <c r="E1194" i="5" l="1"/>
  <c r="D1195" i="5"/>
  <c r="B1198" i="5" a="1"/>
  <c r="B1198" i="5" s="1"/>
  <c r="C1198" i="5" a="1"/>
  <c r="C1198" i="5" s="1"/>
  <c r="A1199" i="5"/>
  <c r="E1195" i="5" l="1"/>
  <c r="D1196" i="5"/>
  <c r="B1199" i="5" a="1"/>
  <c r="B1199" i="5" s="1"/>
  <c r="C1199" i="5" a="1"/>
  <c r="C1199" i="5" s="1"/>
  <c r="A1200" i="5"/>
  <c r="E1196" i="5" l="1"/>
  <c r="D1197" i="5"/>
  <c r="B1200" i="5" a="1"/>
  <c r="B1200" i="5" s="1"/>
  <c r="C1200" i="5" a="1"/>
  <c r="C1200" i="5" s="1"/>
  <c r="A1201" i="5"/>
  <c r="E1197" i="5" l="1"/>
  <c r="D1198" i="5"/>
  <c r="C1201" i="5" a="1"/>
  <c r="C1201" i="5" s="1"/>
  <c r="B1201" i="5" a="1"/>
  <c r="B1201" i="5" s="1"/>
  <c r="A1202" i="5"/>
  <c r="E1198" i="5" l="1"/>
  <c r="D1199" i="5"/>
  <c r="B1202" i="5" a="1"/>
  <c r="B1202" i="5" s="1"/>
  <c r="C1202" i="5" a="1"/>
  <c r="C1202" i="5" s="1"/>
  <c r="A1203" i="5"/>
  <c r="E1199" i="5" l="1"/>
  <c r="D1200" i="5"/>
  <c r="A1204" i="5"/>
  <c r="B1203" i="5" a="1"/>
  <c r="B1203" i="5" s="1"/>
  <c r="C1203" i="5" a="1"/>
  <c r="C1203" i="5" s="1"/>
  <c r="E1200" i="5" l="1"/>
  <c r="D1201" i="5"/>
  <c r="B1204" i="5" a="1"/>
  <c r="B1204" i="5" s="1"/>
  <c r="C1204" i="5" a="1"/>
  <c r="C1204" i="5" s="1"/>
  <c r="A1205" i="5"/>
  <c r="E1201" i="5" l="1"/>
  <c r="D1202" i="5"/>
  <c r="A1206" i="5"/>
  <c r="B1205" i="5" a="1"/>
  <c r="B1205" i="5" s="1"/>
  <c r="C1205" i="5" a="1"/>
  <c r="C1205" i="5" s="1"/>
  <c r="E1202" i="5" l="1"/>
  <c r="D1203" i="5"/>
  <c r="B1206" i="5" a="1"/>
  <c r="B1206" i="5" s="1"/>
  <c r="C1206" i="5" a="1"/>
  <c r="C1206" i="5" s="1"/>
  <c r="A1207" i="5"/>
  <c r="E1203" i="5" l="1"/>
  <c r="D1204" i="5"/>
  <c r="C1207" i="5" a="1"/>
  <c r="C1207" i="5" s="1"/>
  <c r="A1208" i="5"/>
  <c r="B1207" i="5" a="1"/>
  <c r="B1207" i="5" s="1"/>
  <c r="E1204" i="5" l="1"/>
  <c r="D1205" i="5"/>
  <c r="C1208" i="5" a="1"/>
  <c r="C1208" i="5" s="1"/>
  <c r="A1209" i="5"/>
  <c r="B1208" i="5" a="1"/>
  <c r="B1208" i="5" s="1"/>
  <c r="E1205" i="5" l="1"/>
  <c r="D1206" i="5"/>
  <c r="B1209" i="5" a="1"/>
  <c r="B1209" i="5" s="1"/>
  <c r="A1210" i="5"/>
  <c r="C1209" i="5" a="1"/>
  <c r="C1209" i="5" s="1"/>
  <c r="E1206" i="5" l="1"/>
  <c r="D1207" i="5"/>
  <c r="A1211" i="5"/>
  <c r="B1210" i="5" a="1"/>
  <c r="B1210" i="5" s="1"/>
  <c r="C1210" i="5" a="1"/>
  <c r="C1210" i="5" s="1"/>
  <c r="E1207" i="5" l="1"/>
  <c r="D1208" i="5"/>
  <c r="C1211" i="5" a="1"/>
  <c r="C1211" i="5" s="1"/>
  <c r="A1212" i="5"/>
  <c r="B1211" i="5" a="1"/>
  <c r="B1211" i="5" s="1"/>
  <c r="E1208" i="5" l="1"/>
  <c r="D1209" i="5"/>
  <c r="A1213" i="5"/>
  <c r="B1212" i="5" a="1"/>
  <c r="B1212" i="5" s="1"/>
  <c r="C1212" i="5" a="1"/>
  <c r="C1212" i="5" s="1"/>
  <c r="E1209" i="5" l="1"/>
  <c r="D1210" i="5"/>
  <c r="B1213" i="5" a="1"/>
  <c r="B1213" i="5" s="1"/>
  <c r="C1213" i="5" a="1"/>
  <c r="C1213" i="5" s="1"/>
  <c r="A1214" i="5"/>
  <c r="E1210" i="5" l="1"/>
  <c r="D1211" i="5"/>
  <c r="B1214" i="5" a="1"/>
  <c r="B1214" i="5" s="1"/>
  <c r="C1214" i="5" a="1"/>
  <c r="C1214" i="5" s="1"/>
  <c r="A1215" i="5"/>
  <c r="E1211" i="5" l="1"/>
  <c r="D1212" i="5"/>
  <c r="B1215" i="5" a="1"/>
  <c r="B1215" i="5" s="1"/>
  <c r="C1215" i="5" a="1"/>
  <c r="C1215" i="5" s="1"/>
  <c r="A1216" i="5"/>
  <c r="E1212" i="5" l="1"/>
  <c r="D1213" i="5"/>
  <c r="B1216" i="5" a="1"/>
  <c r="B1216" i="5" s="1"/>
  <c r="C1216" i="5" a="1"/>
  <c r="C1216" i="5" s="1"/>
  <c r="A1217" i="5"/>
  <c r="E1213" i="5" l="1"/>
  <c r="D1214" i="5"/>
  <c r="C1217" i="5" a="1"/>
  <c r="C1217" i="5" s="1"/>
  <c r="B1217" i="5" a="1"/>
  <c r="B1217" i="5" s="1"/>
  <c r="A1218" i="5"/>
  <c r="E1214" i="5" l="1"/>
  <c r="D1215" i="5"/>
  <c r="B1218" i="5" a="1"/>
  <c r="B1218" i="5" s="1"/>
  <c r="C1218" i="5" a="1"/>
  <c r="C1218" i="5" s="1"/>
  <c r="A1219" i="5"/>
  <c r="E1215" i="5" l="1"/>
  <c r="D1216" i="5"/>
  <c r="A1220" i="5"/>
  <c r="B1219" i="5" a="1"/>
  <c r="B1219" i="5" s="1"/>
  <c r="C1219" i="5" a="1"/>
  <c r="C1219" i="5" s="1"/>
  <c r="E1216" i="5" l="1"/>
  <c r="D1217" i="5"/>
  <c r="B1220" i="5" a="1"/>
  <c r="B1220" i="5" s="1"/>
  <c r="C1220" i="5" a="1"/>
  <c r="C1220" i="5" s="1"/>
  <c r="A1221" i="5"/>
  <c r="E1217" i="5" l="1"/>
  <c r="D1218" i="5"/>
  <c r="A1222" i="5"/>
  <c r="B1221" i="5" a="1"/>
  <c r="B1221" i="5" s="1"/>
  <c r="C1221" i="5" a="1"/>
  <c r="C1221" i="5" s="1"/>
  <c r="E1218" i="5" l="1"/>
  <c r="D1219" i="5"/>
  <c r="B1222" i="5" a="1"/>
  <c r="B1222" i="5" s="1"/>
  <c r="C1222" i="5" a="1"/>
  <c r="C1222" i="5" s="1"/>
  <c r="A1223" i="5"/>
  <c r="E1219" i="5" l="1"/>
  <c r="D1220" i="5"/>
  <c r="C1223" i="5" a="1"/>
  <c r="C1223" i="5" s="1"/>
  <c r="A1224" i="5"/>
  <c r="B1223" i="5" a="1"/>
  <c r="B1223" i="5" s="1"/>
  <c r="E1220" i="5" l="1"/>
  <c r="D1221" i="5"/>
  <c r="C1224" i="5" a="1"/>
  <c r="C1224" i="5" s="1"/>
  <c r="A1225" i="5"/>
  <c r="B1224" i="5" a="1"/>
  <c r="B1224" i="5" s="1"/>
  <c r="E1221" i="5" l="1"/>
  <c r="D1222" i="5"/>
  <c r="B1225" i="5" a="1"/>
  <c r="B1225" i="5" s="1"/>
  <c r="A1226" i="5"/>
  <c r="C1225" i="5" a="1"/>
  <c r="C1225" i="5" s="1"/>
  <c r="E1222" i="5" l="1"/>
  <c r="D1223" i="5"/>
  <c r="A1227" i="5"/>
  <c r="B1226" i="5" a="1"/>
  <c r="B1226" i="5" s="1"/>
  <c r="C1226" i="5" a="1"/>
  <c r="C1226" i="5" s="1"/>
  <c r="E1223" i="5" l="1"/>
  <c r="D1224" i="5"/>
  <c r="C1227" i="5" a="1"/>
  <c r="C1227" i="5" s="1"/>
  <c r="A1228" i="5"/>
  <c r="B1227" i="5" a="1"/>
  <c r="B1227" i="5" s="1"/>
  <c r="E1224" i="5" l="1"/>
  <c r="D1225" i="5"/>
  <c r="A1229" i="5"/>
  <c r="B1228" i="5" a="1"/>
  <c r="B1228" i="5" s="1"/>
  <c r="C1228" i="5" a="1"/>
  <c r="C1228" i="5" s="1"/>
  <c r="E1225" i="5" l="1"/>
  <c r="D1226" i="5"/>
  <c r="B1229" i="5" a="1"/>
  <c r="B1229" i="5" s="1"/>
  <c r="C1229" i="5" a="1"/>
  <c r="C1229" i="5" s="1"/>
  <c r="A1230" i="5"/>
  <c r="E1226" i="5" l="1"/>
  <c r="D1227" i="5"/>
  <c r="B1230" i="5" a="1"/>
  <c r="B1230" i="5" s="1"/>
  <c r="A1231" i="5"/>
  <c r="C1230" i="5" a="1"/>
  <c r="C1230" i="5" s="1"/>
  <c r="E1227" i="5" l="1"/>
  <c r="D1228" i="5"/>
  <c r="B1231" i="5" a="1"/>
  <c r="B1231" i="5" s="1"/>
  <c r="C1231" i="5" a="1"/>
  <c r="C1231" i="5" s="1"/>
  <c r="A1232" i="5"/>
  <c r="E1228" i="5" l="1"/>
  <c r="D1229" i="5"/>
  <c r="B1232" i="5" a="1"/>
  <c r="B1232" i="5" s="1"/>
  <c r="C1232" i="5" a="1"/>
  <c r="C1232" i="5" s="1"/>
  <c r="A1233" i="5"/>
  <c r="E1229" i="5" l="1"/>
  <c r="D1230" i="5"/>
  <c r="C1233" i="5" a="1"/>
  <c r="C1233" i="5" s="1"/>
  <c r="B1233" i="5" a="1"/>
  <c r="B1233" i="5" s="1"/>
  <c r="A1234" i="5"/>
  <c r="E1230" i="5" l="1"/>
  <c r="D1231" i="5"/>
  <c r="B1234" i="5" a="1"/>
  <c r="B1234" i="5" s="1"/>
  <c r="C1234" i="5" a="1"/>
  <c r="C1234" i="5" s="1"/>
  <c r="A1235" i="5"/>
  <c r="E1231" i="5" l="1"/>
  <c r="D1232" i="5"/>
  <c r="A1236" i="5"/>
  <c r="B1235" i="5" a="1"/>
  <c r="B1235" i="5" s="1"/>
  <c r="C1235" i="5" a="1"/>
  <c r="C1235" i="5" s="1"/>
  <c r="E1232" i="5" l="1"/>
  <c r="D1233" i="5"/>
  <c r="B1236" i="5" a="1"/>
  <c r="B1236" i="5" s="1"/>
  <c r="C1236" i="5" a="1"/>
  <c r="C1236" i="5" s="1"/>
  <c r="A1237" i="5"/>
  <c r="E1233" i="5" l="1"/>
  <c r="D1234" i="5"/>
  <c r="A1238" i="5"/>
  <c r="B1237" i="5" a="1"/>
  <c r="B1237" i="5" s="1"/>
  <c r="C1237" i="5" a="1"/>
  <c r="C1237" i="5" s="1"/>
  <c r="E1234" i="5" l="1"/>
  <c r="D1235" i="5"/>
  <c r="B1238" i="5" a="1"/>
  <c r="B1238" i="5" s="1"/>
  <c r="C1238" i="5" a="1"/>
  <c r="C1238" i="5" s="1"/>
  <c r="A1239" i="5"/>
  <c r="E1235" i="5" l="1"/>
  <c r="D1236" i="5"/>
  <c r="C1239" i="5" a="1"/>
  <c r="C1239" i="5" s="1"/>
  <c r="A1240" i="5"/>
  <c r="B1239" i="5" a="1"/>
  <c r="B1239" i="5" s="1"/>
  <c r="E1236" i="5" l="1"/>
  <c r="D1237" i="5"/>
  <c r="C1240" i="5" a="1"/>
  <c r="C1240" i="5" s="1"/>
  <c r="A1241" i="5"/>
  <c r="B1240" i="5" a="1"/>
  <c r="B1240" i="5" s="1"/>
  <c r="E1237" i="5" l="1"/>
  <c r="D1238" i="5"/>
  <c r="B1241" i="5" a="1"/>
  <c r="B1241" i="5" s="1"/>
  <c r="A1242" i="5"/>
  <c r="C1241" i="5" a="1"/>
  <c r="C1241" i="5" s="1"/>
  <c r="E1238" i="5" l="1"/>
  <c r="D1239" i="5"/>
  <c r="A1243" i="5"/>
  <c r="C1242" i="5" a="1"/>
  <c r="C1242" i="5" s="1"/>
  <c r="B1242" i="5" a="1"/>
  <c r="B1242" i="5" s="1"/>
  <c r="E1239" i="5" l="1"/>
  <c r="D1240" i="5"/>
  <c r="C1243" i="5" a="1"/>
  <c r="C1243" i="5" s="1"/>
  <c r="A1244" i="5"/>
  <c r="B1243" i="5" a="1"/>
  <c r="B1243" i="5" s="1"/>
  <c r="E1240" i="5" l="1"/>
  <c r="D1241" i="5"/>
  <c r="A1245" i="5"/>
  <c r="B1244" i="5" a="1"/>
  <c r="B1244" i="5" s="1"/>
  <c r="C1244" i="5" a="1"/>
  <c r="C1244" i="5" s="1"/>
  <c r="E1241" i="5" l="1"/>
  <c r="D1242" i="5"/>
  <c r="B1245" i="5" a="1"/>
  <c r="B1245" i="5" s="1"/>
  <c r="A1246" i="5"/>
  <c r="C1245" i="5" a="1"/>
  <c r="C1245" i="5" s="1"/>
  <c r="E1242" i="5" l="1"/>
  <c r="D1243" i="5"/>
  <c r="B1246" i="5" a="1"/>
  <c r="B1246" i="5" s="1"/>
  <c r="C1246" i="5" a="1"/>
  <c r="C1246" i="5" s="1"/>
  <c r="A1247" i="5"/>
  <c r="E1243" i="5" l="1"/>
  <c r="D1244" i="5"/>
  <c r="B1247" i="5" a="1"/>
  <c r="B1247" i="5" s="1"/>
  <c r="C1247" i="5" a="1"/>
  <c r="C1247" i="5" s="1"/>
  <c r="A1248" i="5"/>
  <c r="E1244" i="5" l="1"/>
  <c r="D1245" i="5"/>
  <c r="B1248" i="5" a="1"/>
  <c r="B1248" i="5" s="1"/>
  <c r="C1248" i="5" a="1"/>
  <c r="C1248" i="5" s="1"/>
  <c r="A1249" i="5"/>
  <c r="E1245" i="5" l="1"/>
  <c r="D1246" i="5"/>
  <c r="B1249" i="5" a="1"/>
  <c r="B1249" i="5" s="1"/>
  <c r="C1249" i="5" a="1"/>
  <c r="C1249" i="5" s="1"/>
  <c r="A1250" i="5"/>
  <c r="E1246" i="5" l="1"/>
  <c r="D1247" i="5"/>
  <c r="B1250" i="5" a="1"/>
  <c r="B1250" i="5" s="1"/>
  <c r="C1250" i="5" a="1"/>
  <c r="C1250" i="5" s="1"/>
  <c r="A1251" i="5"/>
  <c r="E1247" i="5" l="1"/>
  <c r="D1248" i="5"/>
  <c r="B1251" i="5" a="1"/>
  <c r="B1251" i="5" s="1"/>
  <c r="C1251" i="5" a="1"/>
  <c r="C1251" i="5" s="1"/>
  <c r="A1252" i="5"/>
  <c r="E1248" i="5" l="1"/>
  <c r="D1249" i="5"/>
  <c r="C1252" i="5" a="1"/>
  <c r="C1252" i="5" s="1"/>
  <c r="B1252" i="5" a="1"/>
  <c r="B1252" i="5" s="1"/>
  <c r="A1253" i="5"/>
  <c r="E1249" i="5" l="1"/>
  <c r="D1250" i="5"/>
  <c r="B1253" i="5" a="1"/>
  <c r="B1253" i="5" s="1"/>
  <c r="C1253" i="5" a="1"/>
  <c r="C1253" i="5" s="1"/>
  <c r="A1254" i="5"/>
  <c r="E1250" i="5" l="1"/>
  <c r="D1251" i="5"/>
  <c r="A1255" i="5"/>
  <c r="B1254" i="5" a="1"/>
  <c r="B1254" i="5" s="1"/>
  <c r="C1254" i="5" a="1"/>
  <c r="C1254" i="5" s="1"/>
  <c r="E1251" i="5" l="1"/>
  <c r="D1252" i="5"/>
  <c r="B1255" i="5" a="1"/>
  <c r="B1255" i="5" s="1"/>
  <c r="C1255" i="5" a="1"/>
  <c r="C1255" i="5" s="1"/>
  <c r="A1256" i="5"/>
  <c r="E1252" i="5" l="1"/>
  <c r="D1253" i="5"/>
  <c r="A1257" i="5"/>
  <c r="B1256" i="5" a="1"/>
  <c r="B1256" i="5" s="1"/>
  <c r="C1256" i="5" a="1"/>
  <c r="C1256" i="5" s="1"/>
  <c r="E1253" i="5" l="1"/>
  <c r="D1254" i="5"/>
  <c r="B1257" i="5" a="1"/>
  <c r="B1257" i="5" s="1"/>
  <c r="C1257" i="5" a="1"/>
  <c r="C1257" i="5" s="1"/>
  <c r="A1258" i="5"/>
  <c r="E1254" i="5" l="1"/>
  <c r="D1255" i="5"/>
  <c r="C1258" i="5" a="1"/>
  <c r="C1258" i="5" s="1"/>
  <c r="A1259" i="5"/>
  <c r="B1258" i="5" a="1"/>
  <c r="B1258" i="5" s="1"/>
  <c r="E1255" i="5" l="1"/>
  <c r="D1256" i="5"/>
  <c r="C1259" i="5" a="1"/>
  <c r="C1259" i="5" s="1"/>
  <c r="A1260" i="5"/>
  <c r="B1259" i="5" a="1"/>
  <c r="B1259" i="5" s="1"/>
  <c r="E1256" i="5" l="1"/>
  <c r="D1257" i="5"/>
  <c r="B1260" i="5" a="1"/>
  <c r="B1260" i="5" s="1"/>
  <c r="A1261" i="5"/>
  <c r="C1260" i="5" a="1"/>
  <c r="C1260" i="5" s="1"/>
  <c r="E1257" i="5" l="1"/>
  <c r="D1258" i="5"/>
  <c r="A1262" i="5"/>
  <c r="B1261" i="5" a="1"/>
  <c r="B1261" i="5" s="1"/>
  <c r="C1261" i="5" a="1"/>
  <c r="C1261" i="5" s="1"/>
  <c r="E1258" i="5" l="1"/>
  <c r="D1259" i="5"/>
  <c r="C1262" i="5" a="1"/>
  <c r="C1262" i="5" s="1"/>
  <c r="A1263" i="5"/>
  <c r="B1262" i="5" a="1"/>
  <c r="B1262" i="5" s="1"/>
  <c r="E1259" i="5" l="1"/>
  <c r="D1260" i="5"/>
  <c r="A1264" i="5"/>
  <c r="B1263" i="5" a="1"/>
  <c r="B1263" i="5" s="1"/>
  <c r="C1263" i="5" a="1"/>
  <c r="C1263" i="5" s="1"/>
  <c r="E1260" i="5" l="1"/>
  <c r="D1261" i="5"/>
  <c r="B1264" i="5" a="1"/>
  <c r="B1264" i="5" s="1"/>
  <c r="C1264" i="5" a="1"/>
  <c r="C1264" i="5" s="1"/>
  <c r="A1265" i="5"/>
  <c r="E1261" i="5" l="1"/>
  <c r="D1262" i="5"/>
  <c r="B1265" i="5" a="1"/>
  <c r="B1265" i="5" s="1"/>
  <c r="C1265" i="5" a="1"/>
  <c r="C1265" i="5" s="1"/>
  <c r="A1266" i="5"/>
  <c r="E1262" i="5" l="1"/>
  <c r="D1263" i="5"/>
  <c r="B1266" i="5" a="1"/>
  <c r="B1266" i="5" s="1"/>
  <c r="C1266" i="5" a="1"/>
  <c r="C1266" i="5" s="1"/>
  <c r="A1267" i="5"/>
  <c r="E1263" i="5" l="1"/>
  <c r="D1264" i="5"/>
  <c r="B1267" i="5" a="1"/>
  <c r="B1267" i="5" s="1"/>
  <c r="C1267" i="5" a="1"/>
  <c r="C1267" i="5" s="1"/>
  <c r="A1268" i="5"/>
  <c r="E1264" i="5" l="1"/>
  <c r="D1265" i="5"/>
  <c r="C1268" i="5" a="1"/>
  <c r="C1268" i="5" s="1"/>
  <c r="B1268" i="5" a="1"/>
  <c r="B1268" i="5" s="1"/>
  <c r="A1269" i="5"/>
  <c r="E1265" i="5" l="1"/>
  <c r="D1266" i="5"/>
  <c r="B1269" i="5" a="1"/>
  <c r="B1269" i="5" s="1"/>
  <c r="C1269" i="5" a="1"/>
  <c r="C1269" i="5" s="1"/>
  <c r="A1270" i="5"/>
  <c r="E1266" i="5" l="1"/>
  <c r="D1267" i="5"/>
  <c r="A1271" i="5"/>
  <c r="B1270" i="5" a="1"/>
  <c r="B1270" i="5" s="1"/>
  <c r="C1270" i="5" a="1"/>
  <c r="C1270" i="5" s="1"/>
  <c r="E1267" i="5" l="1"/>
  <c r="D1268" i="5"/>
  <c r="B1271" i="5" a="1"/>
  <c r="B1271" i="5" s="1"/>
  <c r="C1271" i="5" a="1"/>
  <c r="C1271" i="5" s="1"/>
  <c r="A1272" i="5"/>
  <c r="E1268" i="5" l="1"/>
  <c r="D1269" i="5"/>
  <c r="A1273" i="5"/>
  <c r="B1272" i="5" a="1"/>
  <c r="B1272" i="5" s="1"/>
  <c r="C1272" i="5" a="1"/>
  <c r="C1272" i="5" s="1"/>
  <c r="E1269" i="5" l="1"/>
  <c r="D1270" i="5"/>
  <c r="B1273" i="5" a="1"/>
  <c r="B1273" i="5" s="1"/>
  <c r="C1273" i="5" a="1"/>
  <c r="C1273" i="5" s="1"/>
  <c r="A1274" i="5"/>
  <c r="E1270" i="5" l="1"/>
  <c r="D1271" i="5"/>
  <c r="C1274" i="5" a="1"/>
  <c r="C1274" i="5" s="1"/>
  <c r="A1275" i="5"/>
  <c r="B1274" i="5" a="1"/>
  <c r="B1274" i="5" s="1"/>
  <c r="E1271" i="5" l="1"/>
  <c r="D1272" i="5"/>
  <c r="C1275" i="5" a="1"/>
  <c r="C1275" i="5" s="1"/>
  <c r="A1276" i="5"/>
  <c r="B1275" i="5" a="1"/>
  <c r="B1275" i="5" s="1"/>
  <c r="E1272" i="5" l="1"/>
  <c r="D1273" i="5"/>
  <c r="B1276" i="5" a="1"/>
  <c r="B1276" i="5" s="1"/>
  <c r="A1277" i="5"/>
  <c r="C1276" i="5" a="1"/>
  <c r="C1276" i="5" s="1"/>
  <c r="E1273" i="5" l="1"/>
  <c r="D1274" i="5"/>
  <c r="A1278" i="5"/>
  <c r="B1277" i="5" a="1"/>
  <c r="B1277" i="5" s="1"/>
  <c r="C1277" i="5" a="1"/>
  <c r="C1277" i="5" s="1"/>
  <c r="E1274" i="5" l="1"/>
  <c r="D1275" i="5"/>
  <c r="C1278" i="5" a="1"/>
  <c r="C1278" i="5" s="1"/>
  <c r="A1279" i="5"/>
  <c r="B1278" i="5" a="1"/>
  <c r="B1278" i="5" s="1"/>
  <c r="E1275" i="5" l="1"/>
  <c r="D1276" i="5"/>
  <c r="A1280" i="5"/>
  <c r="B1279" i="5" a="1"/>
  <c r="B1279" i="5" s="1"/>
  <c r="C1279" i="5" a="1"/>
  <c r="C1279" i="5" s="1"/>
  <c r="E1276" i="5" l="1"/>
  <c r="D1277" i="5"/>
  <c r="B1280" i="5" a="1"/>
  <c r="B1280" i="5" s="1"/>
  <c r="C1280" i="5" a="1"/>
  <c r="C1280" i="5" s="1"/>
  <c r="A1281" i="5"/>
  <c r="E1277" i="5" l="1"/>
  <c r="D1278" i="5"/>
  <c r="B1281" i="5" a="1"/>
  <c r="B1281" i="5" s="1"/>
  <c r="C1281" i="5" a="1"/>
  <c r="C1281" i="5" s="1"/>
  <c r="A1282" i="5"/>
  <c r="E1278" i="5" l="1"/>
  <c r="D1279" i="5"/>
  <c r="B1282" i="5" a="1"/>
  <c r="B1282" i="5" s="1"/>
  <c r="C1282" i="5" a="1"/>
  <c r="C1282" i="5" s="1"/>
  <c r="A1283" i="5"/>
  <c r="E1279" i="5" l="1"/>
  <c r="D1280" i="5"/>
  <c r="B1283" i="5" a="1"/>
  <c r="B1283" i="5" s="1"/>
  <c r="C1283" i="5" a="1"/>
  <c r="C1283" i="5" s="1"/>
  <c r="A1284" i="5"/>
  <c r="E1280" i="5" l="1"/>
  <c r="D1281" i="5"/>
  <c r="C1284" i="5" a="1"/>
  <c r="C1284" i="5" s="1"/>
  <c r="B1284" i="5" a="1"/>
  <c r="B1284" i="5" s="1"/>
  <c r="A1285" i="5"/>
  <c r="E1281" i="5" l="1"/>
  <c r="D1282" i="5"/>
  <c r="B1285" i="5" a="1"/>
  <c r="B1285" i="5" s="1"/>
  <c r="C1285" i="5" a="1"/>
  <c r="C1285" i="5" s="1"/>
  <c r="A1286" i="5"/>
  <c r="E1282" i="5" l="1"/>
  <c r="D1283" i="5"/>
  <c r="A1287" i="5"/>
  <c r="B1286" i="5" a="1"/>
  <c r="B1286" i="5" s="1"/>
  <c r="C1286" i="5" a="1"/>
  <c r="C1286" i="5" s="1"/>
  <c r="E1283" i="5" l="1"/>
  <c r="D1284" i="5"/>
  <c r="B1287" i="5" a="1"/>
  <c r="B1287" i="5" s="1"/>
  <c r="C1287" i="5" a="1"/>
  <c r="C1287" i="5" s="1"/>
  <c r="A1288" i="5"/>
  <c r="E1284" i="5" l="1"/>
  <c r="D1285" i="5"/>
  <c r="A1289" i="5"/>
  <c r="B1288" i="5" a="1"/>
  <c r="B1288" i="5" s="1"/>
  <c r="C1288" i="5" a="1"/>
  <c r="C1288" i="5" s="1"/>
  <c r="E1285" i="5" l="1"/>
  <c r="D1286" i="5"/>
  <c r="B1289" i="5" a="1"/>
  <c r="B1289" i="5" s="1"/>
  <c r="C1289" i="5" a="1"/>
  <c r="C1289" i="5" s="1"/>
  <c r="A1290" i="5"/>
  <c r="E1286" i="5" l="1"/>
  <c r="D1287" i="5"/>
  <c r="C1290" i="5" a="1"/>
  <c r="C1290" i="5" s="1"/>
  <c r="A1291" i="5"/>
  <c r="B1290" i="5" a="1"/>
  <c r="B1290" i="5" s="1"/>
  <c r="E1287" i="5" l="1"/>
  <c r="D1288" i="5"/>
  <c r="C1291" i="5" a="1"/>
  <c r="C1291" i="5" s="1"/>
  <c r="A1292" i="5"/>
  <c r="B1291" i="5" a="1"/>
  <c r="B1291" i="5" s="1"/>
  <c r="E1288" i="5" l="1"/>
  <c r="D1289" i="5"/>
  <c r="B1292" i="5" a="1"/>
  <c r="B1292" i="5" s="1"/>
  <c r="A1293" i="5"/>
  <c r="C1292" i="5" a="1"/>
  <c r="C1292" i="5" s="1"/>
  <c r="E1289" i="5" l="1"/>
  <c r="D1290" i="5"/>
  <c r="A1294" i="5"/>
  <c r="B1293" i="5" a="1"/>
  <c r="B1293" i="5" s="1"/>
  <c r="C1293" i="5" a="1"/>
  <c r="C1293" i="5" s="1"/>
  <c r="E1290" i="5" l="1"/>
  <c r="D1291" i="5"/>
  <c r="C1294" i="5" a="1"/>
  <c r="C1294" i="5" s="1"/>
  <c r="A1295" i="5"/>
  <c r="B1294" i="5" a="1"/>
  <c r="B1294" i="5" s="1"/>
  <c r="E1291" i="5" l="1"/>
  <c r="D1292" i="5"/>
  <c r="A1296" i="5"/>
  <c r="B1295" i="5" a="1"/>
  <c r="B1295" i="5" s="1"/>
  <c r="C1295" i="5" a="1"/>
  <c r="C1295" i="5" s="1"/>
  <c r="E1292" i="5" l="1"/>
  <c r="D1293" i="5"/>
  <c r="B1296" i="5" a="1"/>
  <c r="B1296" i="5" s="1"/>
  <c r="C1296" i="5" a="1"/>
  <c r="C1296" i="5" s="1"/>
  <c r="A1297" i="5"/>
  <c r="E1293" i="5" l="1"/>
  <c r="D1294" i="5"/>
  <c r="B1297" i="5" a="1"/>
  <c r="B1297" i="5" s="1"/>
  <c r="C1297" i="5" a="1"/>
  <c r="C1297" i="5" s="1"/>
  <c r="A1298" i="5"/>
  <c r="E1294" i="5" l="1"/>
  <c r="D1295" i="5"/>
  <c r="B1298" i="5" a="1"/>
  <c r="B1298" i="5" s="1"/>
  <c r="C1298" i="5" a="1"/>
  <c r="C1298" i="5" s="1"/>
  <c r="A1299" i="5"/>
  <c r="E1295" i="5" l="1"/>
  <c r="D1296" i="5"/>
  <c r="B1299" i="5" a="1"/>
  <c r="B1299" i="5" s="1"/>
  <c r="C1299" i="5" a="1"/>
  <c r="C1299" i="5" s="1"/>
  <c r="A1300" i="5"/>
  <c r="E1296" i="5" l="1"/>
  <c r="D1297" i="5"/>
  <c r="C1300" i="5" a="1"/>
  <c r="C1300" i="5" s="1"/>
  <c r="B1300" i="5" a="1"/>
  <c r="B1300" i="5" s="1"/>
  <c r="A1301" i="5"/>
  <c r="E1297" i="5" l="1"/>
  <c r="D1298" i="5"/>
  <c r="B1301" i="5" a="1"/>
  <c r="B1301" i="5" s="1"/>
  <c r="C1301" i="5" a="1"/>
  <c r="C1301" i="5" s="1"/>
  <c r="A1302" i="5"/>
  <c r="E1298" i="5" l="1"/>
  <c r="D1299" i="5"/>
  <c r="A1303" i="5"/>
  <c r="B1302" i="5" a="1"/>
  <c r="B1302" i="5" s="1"/>
  <c r="C1302" i="5" a="1"/>
  <c r="C1302" i="5" s="1"/>
  <c r="E1299" i="5" l="1"/>
  <c r="D1300" i="5"/>
  <c r="B1303" i="5" a="1"/>
  <c r="B1303" i="5" s="1"/>
  <c r="C1303" i="5" a="1"/>
  <c r="C1303" i="5" s="1"/>
  <c r="A1304" i="5"/>
  <c r="E1300" i="5" l="1"/>
  <c r="D1301" i="5"/>
  <c r="A1305" i="5"/>
  <c r="B1304" i="5" a="1"/>
  <c r="B1304" i="5" s="1"/>
  <c r="C1304" i="5" a="1"/>
  <c r="C1304" i="5" s="1"/>
  <c r="E1301" i="5" l="1"/>
  <c r="D1302" i="5"/>
  <c r="B1305" i="5" a="1"/>
  <c r="B1305" i="5" s="1"/>
  <c r="C1305" i="5" a="1"/>
  <c r="C1305" i="5" s="1"/>
  <c r="A1306" i="5"/>
  <c r="E1302" i="5" l="1"/>
  <c r="D1303" i="5"/>
  <c r="C1306" i="5" a="1"/>
  <c r="C1306" i="5" s="1"/>
  <c r="A1307" i="5"/>
  <c r="B1306" i="5" a="1"/>
  <c r="B1306" i="5" s="1"/>
  <c r="E1303" i="5" l="1"/>
  <c r="D1304" i="5"/>
  <c r="C1307" i="5" a="1"/>
  <c r="C1307" i="5" s="1"/>
  <c r="A1308" i="5"/>
  <c r="B1307" i="5" a="1"/>
  <c r="B1307" i="5" s="1"/>
  <c r="E1304" i="5" l="1"/>
  <c r="D1305" i="5"/>
  <c r="B1308" i="5" a="1"/>
  <c r="B1308" i="5" s="1"/>
  <c r="A1309" i="5"/>
  <c r="C1308" i="5" a="1"/>
  <c r="C1308" i="5" s="1"/>
  <c r="E1305" i="5" l="1"/>
  <c r="D1306" i="5"/>
  <c r="A1310" i="5"/>
  <c r="B1309" i="5" a="1"/>
  <c r="B1309" i="5" s="1"/>
  <c r="C1309" i="5" a="1"/>
  <c r="C1309" i="5" s="1"/>
  <c r="E1306" i="5" l="1"/>
  <c r="D1307" i="5"/>
  <c r="C1310" i="5" a="1"/>
  <c r="C1310" i="5" s="1"/>
  <c r="A1311" i="5"/>
  <c r="B1310" i="5" a="1"/>
  <c r="B1310" i="5" s="1"/>
  <c r="E1307" i="5" l="1"/>
  <c r="D1308" i="5"/>
  <c r="A1312" i="5"/>
  <c r="B1311" i="5" a="1"/>
  <c r="B1311" i="5" s="1"/>
  <c r="C1311" i="5" a="1"/>
  <c r="C1311" i="5" s="1"/>
  <c r="E1308" i="5" l="1"/>
  <c r="D1309" i="5"/>
  <c r="B1312" i="5" a="1"/>
  <c r="B1312" i="5" s="1"/>
  <c r="C1312" i="5" a="1"/>
  <c r="C1312" i="5" s="1"/>
  <c r="A1313" i="5"/>
  <c r="E1309" i="5" l="1"/>
  <c r="D1310" i="5"/>
  <c r="B1313" i="5" a="1"/>
  <c r="B1313" i="5" s="1"/>
  <c r="C1313" i="5" a="1"/>
  <c r="C1313" i="5" s="1"/>
  <c r="A1314" i="5"/>
  <c r="E1310" i="5" l="1"/>
  <c r="D1311" i="5"/>
  <c r="B1314" i="5" a="1"/>
  <c r="B1314" i="5" s="1"/>
  <c r="C1314" i="5" a="1"/>
  <c r="C1314" i="5" s="1"/>
  <c r="A1315" i="5"/>
  <c r="E1311" i="5" l="1"/>
  <c r="D1312" i="5"/>
  <c r="B1315" i="5" a="1"/>
  <c r="B1315" i="5" s="1"/>
  <c r="C1315" i="5" a="1"/>
  <c r="C1315" i="5" s="1"/>
  <c r="A1316" i="5"/>
  <c r="E1312" i="5" l="1"/>
  <c r="D1313" i="5"/>
  <c r="C1316" i="5" a="1"/>
  <c r="C1316" i="5" s="1"/>
  <c r="B1316" i="5" a="1"/>
  <c r="B1316" i="5" s="1"/>
  <c r="A1317" i="5"/>
  <c r="E1313" i="5" l="1"/>
  <c r="D1314" i="5"/>
  <c r="B1317" i="5" a="1"/>
  <c r="B1317" i="5" s="1"/>
  <c r="C1317" i="5" a="1"/>
  <c r="C1317" i="5" s="1"/>
  <c r="A1318" i="5"/>
  <c r="E1314" i="5" l="1"/>
  <c r="D1315" i="5"/>
  <c r="A1319" i="5"/>
  <c r="B1318" i="5" a="1"/>
  <c r="B1318" i="5" s="1"/>
  <c r="C1318" i="5" a="1"/>
  <c r="C1318" i="5" s="1"/>
  <c r="E1315" i="5" l="1"/>
  <c r="D1316" i="5"/>
  <c r="B1319" i="5" a="1"/>
  <c r="B1319" i="5" s="1"/>
  <c r="C1319" i="5" a="1"/>
  <c r="C1319" i="5" s="1"/>
  <c r="A1320" i="5"/>
  <c r="E1316" i="5" l="1"/>
  <c r="D1317" i="5"/>
  <c r="A1321" i="5"/>
  <c r="B1320" i="5" a="1"/>
  <c r="B1320" i="5" s="1"/>
  <c r="C1320" i="5" a="1"/>
  <c r="C1320" i="5" s="1"/>
  <c r="E1317" i="5" l="1"/>
  <c r="D1318" i="5"/>
  <c r="B1321" i="5" a="1"/>
  <c r="B1321" i="5" s="1"/>
  <c r="C1321" i="5" a="1"/>
  <c r="C1321" i="5" s="1"/>
  <c r="A1322" i="5"/>
  <c r="E1318" i="5" l="1"/>
  <c r="D1319" i="5"/>
  <c r="C1322" i="5" a="1"/>
  <c r="C1322" i="5" s="1"/>
  <c r="A1323" i="5"/>
  <c r="B1322" i="5" a="1"/>
  <c r="B1322" i="5" s="1"/>
  <c r="E1319" i="5" l="1"/>
  <c r="D1320" i="5"/>
  <c r="C1323" i="5" a="1"/>
  <c r="C1323" i="5" s="1"/>
  <c r="A1324" i="5"/>
  <c r="B1323" i="5" a="1"/>
  <c r="B1323" i="5" s="1"/>
  <c r="E1320" i="5" l="1"/>
  <c r="D1321" i="5"/>
  <c r="B1324" i="5" a="1"/>
  <c r="B1324" i="5" s="1"/>
  <c r="A1325" i="5"/>
  <c r="C1324" i="5" a="1"/>
  <c r="C1324" i="5" s="1"/>
  <c r="E1321" i="5" l="1"/>
  <c r="D1322" i="5"/>
  <c r="A1326" i="5"/>
  <c r="B1325" i="5" a="1"/>
  <c r="B1325" i="5" s="1"/>
  <c r="C1325" i="5" a="1"/>
  <c r="C1325" i="5" s="1"/>
  <c r="E1322" i="5" l="1"/>
  <c r="D1323" i="5"/>
  <c r="C1326" i="5" a="1"/>
  <c r="C1326" i="5" s="1"/>
  <c r="A1327" i="5"/>
  <c r="B1326" i="5" a="1"/>
  <c r="B1326" i="5" s="1"/>
  <c r="E1323" i="5" l="1"/>
  <c r="D1324" i="5"/>
  <c r="A1328" i="5"/>
  <c r="B1327" i="5" a="1"/>
  <c r="B1327" i="5" s="1"/>
  <c r="C1327" i="5" a="1"/>
  <c r="C1327" i="5" s="1"/>
  <c r="E1324" i="5" l="1"/>
  <c r="D1325" i="5"/>
  <c r="B1328" i="5" a="1"/>
  <c r="B1328" i="5" s="1"/>
  <c r="C1328" i="5" a="1"/>
  <c r="C1328" i="5" s="1"/>
  <c r="A1329" i="5"/>
  <c r="E1325" i="5" l="1"/>
  <c r="D1326" i="5"/>
  <c r="B1329" i="5" a="1"/>
  <c r="B1329" i="5" s="1"/>
  <c r="C1329" i="5" a="1"/>
  <c r="C1329" i="5" s="1"/>
  <c r="A1330" i="5"/>
  <c r="E1326" i="5" l="1"/>
  <c r="D1327" i="5"/>
  <c r="B1330" i="5" a="1"/>
  <c r="B1330" i="5" s="1"/>
  <c r="C1330" i="5" a="1"/>
  <c r="C1330" i="5" s="1"/>
  <c r="A1331" i="5"/>
  <c r="E1327" i="5" l="1"/>
  <c r="D1328" i="5"/>
  <c r="B1331" i="5" a="1"/>
  <c r="B1331" i="5" s="1"/>
  <c r="C1331" i="5" a="1"/>
  <c r="C1331" i="5" s="1"/>
  <c r="A1332" i="5"/>
  <c r="E1328" i="5" l="1"/>
  <c r="D1329" i="5"/>
  <c r="C1332" i="5" a="1"/>
  <c r="C1332" i="5" s="1"/>
  <c r="B1332" i="5" a="1"/>
  <c r="B1332" i="5" s="1"/>
  <c r="A1333" i="5"/>
  <c r="E1329" i="5" l="1"/>
  <c r="D1330" i="5"/>
  <c r="B1333" i="5" a="1"/>
  <c r="B1333" i="5" s="1"/>
  <c r="C1333" i="5" a="1"/>
  <c r="C1333" i="5" s="1"/>
  <c r="A1334" i="5"/>
  <c r="E1330" i="5" l="1"/>
  <c r="D1331" i="5"/>
  <c r="A1335" i="5"/>
  <c r="B1334" i="5" a="1"/>
  <c r="B1334" i="5" s="1"/>
  <c r="C1334" i="5" a="1"/>
  <c r="C1334" i="5" s="1"/>
  <c r="E1331" i="5" l="1"/>
  <c r="D1332" i="5"/>
  <c r="B1335" i="5" a="1"/>
  <c r="B1335" i="5" s="1"/>
  <c r="C1335" i="5" a="1"/>
  <c r="C1335" i="5" s="1"/>
  <c r="A1336" i="5"/>
  <c r="E1332" i="5" l="1"/>
  <c r="D1333" i="5"/>
  <c r="A1337" i="5"/>
  <c r="B1336" i="5" a="1"/>
  <c r="B1336" i="5" s="1"/>
  <c r="C1336" i="5" a="1"/>
  <c r="C1336" i="5" s="1"/>
  <c r="E1333" i="5" l="1"/>
  <c r="D1334" i="5"/>
  <c r="B1337" i="5" a="1"/>
  <c r="B1337" i="5" s="1"/>
  <c r="C1337" i="5" a="1"/>
  <c r="C1337" i="5" s="1"/>
  <c r="A1338" i="5"/>
  <c r="E1334" i="5" l="1"/>
  <c r="D1335" i="5"/>
  <c r="C1338" i="5" a="1"/>
  <c r="C1338" i="5" s="1"/>
  <c r="A1339" i="5"/>
  <c r="B1338" i="5" a="1"/>
  <c r="B1338" i="5" s="1"/>
  <c r="E1335" i="5" l="1"/>
  <c r="D1336" i="5"/>
  <c r="C1339" i="5" a="1"/>
  <c r="C1339" i="5" s="1"/>
  <c r="A1340" i="5"/>
  <c r="B1339" i="5" a="1"/>
  <c r="B1339" i="5" s="1"/>
  <c r="E1336" i="5" l="1"/>
  <c r="D1337" i="5"/>
  <c r="B1340" i="5" a="1"/>
  <c r="B1340" i="5" s="1"/>
  <c r="A1341" i="5"/>
  <c r="C1340" i="5" a="1"/>
  <c r="C1340" i="5" s="1"/>
  <c r="E1337" i="5" l="1"/>
  <c r="D1338" i="5"/>
  <c r="A1342" i="5"/>
  <c r="B1341" i="5" a="1"/>
  <c r="B1341" i="5" s="1"/>
  <c r="C1341" i="5" a="1"/>
  <c r="C1341" i="5" s="1"/>
  <c r="E1338" i="5" l="1"/>
  <c r="D1339" i="5"/>
  <c r="C1342" i="5" a="1"/>
  <c r="C1342" i="5" s="1"/>
  <c r="A1343" i="5"/>
  <c r="B1342" i="5" a="1"/>
  <c r="B1342" i="5" s="1"/>
  <c r="E1339" i="5" l="1"/>
  <c r="D1340" i="5"/>
  <c r="A1344" i="5"/>
  <c r="B1343" i="5" a="1"/>
  <c r="B1343" i="5" s="1"/>
  <c r="C1343" i="5" a="1"/>
  <c r="C1343" i="5" s="1"/>
  <c r="E1340" i="5" l="1"/>
  <c r="D1341" i="5"/>
  <c r="B1344" i="5" a="1"/>
  <c r="B1344" i="5" s="1"/>
  <c r="C1344" i="5" a="1"/>
  <c r="C1344" i="5" s="1"/>
  <c r="A1345" i="5"/>
  <c r="E1341" i="5" l="1"/>
  <c r="D1342" i="5"/>
  <c r="B1345" i="5" a="1"/>
  <c r="B1345" i="5" s="1"/>
  <c r="C1345" i="5" a="1"/>
  <c r="C1345" i="5" s="1"/>
  <c r="A1346" i="5"/>
  <c r="E1342" i="5" l="1"/>
  <c r="D1343" i="5"/>
  <c r="B1346" i="5" a="1"/>
  <c r="B1346" i="5" s="1"/>
  <c r="C1346" i="5" a="1"/>
  <c r="C1346" i="5" s="1"/>
  <c r="A1347" i="5"/>
  <c r="E1343" i="5" l="1"/>
  <c r="D1344" i="5"/>
  <c r="B1347" i="5" a="1"/>
  <c r="B1347" i="5" s="1"/>
  <c r="C1347" i="5" a="1"/>
  <c r="C1347" i="5" s="1"/>
  <c r="A1348" i="5"/>
  <c r="E1344" i="5" l="1"/>
  <c r="D1345" i="5"/>
  <c r="C1348" i="5" a="1"/>
  <c r="C1348" i="5" s="1"/>
  <c r="B1348" i="5" a="1"/>
  <c r="B1348" i="5" s="1"/>
  <c r="A1349" i="5"/>
  <c r="E1345" i="5" l="1"/>
  <c r="D1346" i="5"/>
  <c r="B1349" i="5" a="1"/>
  <c r="B1349" i="5" s="1"/>
  <c r="C1349" i="5" a="1"/>
  <c r="C1349" i="5" s="1"/>
  <c r="A1350" i="5"/>
  <c r="E1346" i="5" l="1"/>
  <c r="D1347" i="5"/>
  <c r="A1351" i="5"/>
  <c r="B1350" i="5" a="1"/>
  <c r="B1350" i="5" s="1"/>
  <c r="C1350" i="5" a="1"/>
  <c r="C1350" i="5" s="1"/>
  <c r="E1347" i="5" l="1"/>
  <c r="D1348" i="5"/>
  <c r="B1351" i="5" a="1"/>
  <c r="B1351" i="5" s="1"/>
  <c r="C1351" i="5" a="1"/>
  <c r="C1351" i="5" s="1"/>
  <c r="A1352" i="5"/>
  <c r="E1348" i="5" l="1"/>
  <c r="D1349" i="5"/>
  <c r="A1353" i="5"/>
  <c r="B1352" i="5" a="1"/>
  <c r="B1352" i="5" s="1"/>
  <c r="C1352" i="5" a="1"/>
  <c r="C1352" i="5" s="1"/>
  <c r="E1349" i="5" l="1"/>
  <c r="D1350" i="5"/>
  <c r="B1353" i="5" a="1"/>
  <c r="B1353" i="5" s="1"/>
  <c r="C1353" i="5" a="1"/>
  <c r="C1353" i="5" s="1"/>
  <c r="A1354" i="5"/>
  <c r="E1350" i="5" l="1"/>
  <c r="D1351" i="5"/>
  <c r="C1354" i="5" a="1"/>
  <c r="C1354" i="5" s="1"/>
  <c r="A1355" i="5"/>
  <c r="B1354" i="5" a="1"/>
  <c r="B1354" i="5" s="1"/>
  <c r="E1351" i="5" l="1"/>
  <c r="D1352" i="5"/>
  <c r="C1355" i="5" a="1"/>
  <c r="C1355" i="5" s="1"/>
  <c r="A1356" i="5"/>
  <c r="B1355" i="5" a="1"/>
  <c r="B1355" i="5" s="1"/>
  <c r="E1352" i="5" l="1"/>
  <c r="D1353" i="5"/>
  <c r="B1356" i="5" a="1"/>
  <c r="B1356" i="5" s="1"/>
  <c r="A1357" i="5"/>
  <c r="C1356" i="5" a="1"/>
  <c r="C1356" i="5" s="1"/>
  <c r="E1353" i="5" l="1"/>
  <c r="D1354" i="5"/>
  <c r="A1358" i="5"/>
  <c r="B1357" i="5" a="1"/>
  <c r="B1357" i="5" s="1"/>
  <c r="C1357" i="5" a="1"/>
  <c r="C1357" i="5" s="1"/>
  <c r="E1354" i="5" l="1"/>
  <c r="D1355" i="5"/>
  <c r="C1358" i="5" a="1"/>
  <c r="C1358" i="5" s="1"/>
  <c r="A1359" i="5"/>
  <c r="B1358" i="5" a="1"/>
  <c r="B1358" i="5" s="1"/>
  <c r="E1355" i="5" l="1"/>
  <c r="D1356" i="5"/>
  <c r="A1360" i="5"/>
  <c r="B1359" i="5" a="1"/>
  <c r="B1359" i="5" s="1"/>
  <c r="C1359" i="5" a="1"/>
  <c r="C1359" i="5" s="1"/>
  <c r="E1356" i="5" l="1"/>
  <c r="D1357" i="5"/>
  <c r="B1360" i="5" a="1"/>
  <c r="B1360" i="5" s="1"/>
  <c r="C1360" i="5" a="1"/>
  <c r="C1360" i="5" s="1"/>
  <c r="A1361" i="5"/>
  <c r="E1357" i="5" l="1"/>
  <c r="D1358" i="5"/>
  <c r="B1361" i="5" a="1"/>
  <c r="B1361" i="5" s="1"/>
  <c r="C1361" i="5" a="1"/>
  <c r="C1361" i="5" s="1"/>
  <c r="A1362" i="5"/>
  <c r="E1358" i="5" l="1"/>
  <c r="D1359" i="5"/>
  <c r="B1362" i="5" a="1"/>
  <c r="B1362" i="5" s="1"/>
  <c r="C1362" i="5" a="1"/>
  <c r="C1362" i="5" s="1"/>
  <c r="A1363" i="5"/>
  <c r="E1359" i="5" l="1"/>
  <c r="D1360" i="5"/>
  <c r="B1363" i="5" a="1"/>
  <c r="B1363" i="5" s="1"/>
  <c r="C1363" i="5" a="1"/>
  <c r="C1363" i="5" s="1"/>
  <c r="A1364" i="5"/>
  <c r="E1360" i="5" l="1"/>
  <c r="D1361" i="5"/>
  <c r="C1364" i="5" a="1"/>
  <c r="C1364" i="5" s="1"/>
  <c r="B1364" i="5" a="1"/>
  <c r="B1364" i="5" s="1"/>
  <c r="A1365" i="5"/>
  <c r="E1361" i="5" l="1"/>
  <c r="D1362" i="5"/>
  <c r="B1365" i="5" a="1"/>
  <c r="B1365" i="5" s="1"/>
  <c r="C1365" i="5" a="1"/>
  <c r="C1365" i="5" s="1"/>
  <c r="A1366" i="5"/>
  <c r="E1362" i="5" l="1"/>
  <c r="D1363" i="5"/>
  <c r="A1367" i="5"/>
  <c r="B1366" i="5" a="1"/>
  <c r="B1366" i="5" s="1"/>
  <c r="C1366" i="5" a="1"/>
  <c r="C1366" i="5" s="1"/>
  <c r="E1363" i="5" l="1"/>
  <c r="D1364" i="5"/>
  <c r="B1367" i="5" a="1"/>
  <c r="B1367" i="5" s="1"/>
  <c r="C1367" i="5" a="1"/>
  <c r="C1367" i="5" s="1"/>
  <c r="A1368" i="5"/>
  <c r="E1364" i="5" l="1"/>
  <c r="D1365" i="5"/>
  <c r="A1369" i="5"/>
  <c r="B1368" i="5" a="1"/>
  <c r="B1368" i="5" s="1"/>
  <c r="C1368" i="5" a="1"/>
  <c r="C1368" i="5" s="1"/>
  <c r="E1365" i="5" l="1"/>
  <c r="D1366" i="5"/>
  <c r="B1369" i="5" a="1"/>
  <c r="B1369" i="5" s="1"/>
  <c r="C1369" i="5" a="1"/>
  <c r="C1369" i="5" s="1"/>
  <c r="A1370" i="5"/>
  <c r="E1366" i="5" l="1"/>
  <c r="D1367" i="5"/>
  <c r="C1370" i="5" a="1"/>
  <c r="C1370" i="5" s="1"/>
  <c r="A1371" i="5"/>
  <c r="B1370" i="5" a="1"/>
  <c r="B1370" i="5" s="1"/>
  <c r="E1367" i="5" l="1"/>
  <c r="D1368" i="5"/>
  <c r="C1371" i="5" a="1"/>
  <c r="C1371" i="5" s="1"/>
  <c r="A1372" i="5"/>
  <c r="B1371" i="5" a="1"/>
  <c r="B1371" i="5" s="1"/>
  <c r="E1368" i="5" l="1"/>
  <c r="D1369" i="5"/>
  <c r="B1372" i="5" a="1"/>
  <c r="B1372" i="5" s="1"/>
  <c r="A1373" i="5"/>
  <c r="C1372" i="5" a="1"/>
  <c r="C1372" i="5" s="1"/>
  <c r="E1369" i="5" l="1"/>
  <c r="D1370" i="5"/>
  <c r="A1374" i="5"/>
  <c r="B1373" i="5" a="1"/>
  <c r="B1373" i="5" s="1"/>
  <c r="C1373" i="5" a="1"/>
  <c r="C1373" i="5" s="1"/>
  <c r="E1370" i="5" l="1"/>
  <c r="D1371" i="5"/>
  <c r="C1374" i="5" a="1"/>
  <c r="C1374" i="5" s="1"/>
  <c r="A1375" i="5"/>
  <c r="B1374" i="5" a="1"/>
  <c r="B1374" i="5" s="1"/>
  <c r="E1371" i="5" l="1"/>
  <c r="D1372" i="5"/>
  <c r="A1376" i="5"/>
  <c r="B1375" i="5" a="1"/>
  <c r="B1375" i="5" s="1"/>
  <c r="C1375" i="5" a="1"/>
  <c r="C1375" i="5" s="1"/>
  <c r="E1372" i="5" l="1"/>
  <c r="D1373" i="5"/>
  <c r="B1376" i="5" a="1"/>
  <c r="B1376" i="5" s="1"/>
  <c r="C1376" i="5" a="1"/>
  <c r="C1376" i="5" s="1"/>
  <c r="A1377" i="5"/>
  <c r="E1373" i="5" l="1"/>
  <c r="D1374" i="5"/>
  <c r="B1377" i="5" a="1"/>
  <c r="B1377" i="5" s="1"/>
  <c r="C1377" i="5" a="1"/>
  <c r="C1377" i="5" s="1"/>
  <c r="A1378" i="5"/>
  <c r="E1374" i="5" l="1"/>
  <c r="D1375" i="5"/>
  <c r="B1378" i="5" a="1"/>
  <c r="B1378" i="5" s="1"/>
  <c r="C1378" i="5" a="1"/>
  <c r="C1378" i="5" s="1"/>
  <c r="A1379" i="5"/>
  <c r="E1375" i="5" l="1"/>
  <c r="D1376" i="5"/>
  <c r="B1379" i="5" a="1"/>
  <c r="B1379" i="5" s="1"/>
  <c r="C1379" i="5" a="1"/>
  <c r="C1379" i="5" s="1"/>
  <c r="A1380" i="5"/>
  <c r="E1376" i="5" l="1"/>
  <c r="D1377" i="5"/>
  <c r="C1380" i="5" a="1"/>
  <c r="C1380" i="5" s="1"/>
  <c r="B1380" i="5" a="1"/>
  <c r="B1380" i="5" s="1"/>
  <c r="A1381" i="5"/>
  <c r="E1377" i="5" l="1"/>
  <c r="D1378" i="5"/>
  <c r="B1381" i="5" a="1"/>
  <c r="B1381" i="5" s="1"/>
  <c r="C1381" i="5" a="1"/>
  <c r="C1381" i="5" s="1"/>
  <c r="A1382" i="5"/>
  <c r="E1378" i="5" l="1"/>
  <c r="D1379" i="5"/>
  <c r="A1383" i="5"/>
  <c r="B1382" i="5" a="1"/>
  <c r="B1382" i="5" s="1"/>
  <c r="C1382" i="5" a="1"/>
  <c r="C1382" i="5" s="1"/>
  <c r="E1379" i="5" l="1"/>
  <c r="D1380" i="5"/>
  <c r="B1383" i="5" a="1"/>
  <c r="B1383" i="5" s="1"/>
  <c r="C1383" i="5" a="1"/>
  <c r="C1383" i="5" s="1"/>
  <c r="A1384" i="5"/>
  <c r="E1380" i="5" l="1"/>
  <c r="D1381" i="5"/>
  <c r="A1385" i="5"/>
  <c r="B1384" i="5" a="1"/>
  <c r="B1384" i="5" s="1"/>
  <c r="C1384" i="5" a="1"/>
  <c r="C1384" i="5" s="1"/>
  <c r="E1381" i="5" l="1"/>
  <c r="D1382" i="5"/>
  <c r="B1385" i="5" a="1"/>
  <c r="B1385" i="5" s="1"/>
  <c r="C1385" i="5" a="1"/>
  <c r="C1385" i="5" s="1"/>
  <c r="A1386" i="5"/>
  <c r="E1382" i="5" l="1"/>
  <c r="D1383" i="5"/>
  <c r="C1386" i="5" a="1"/>
  <c r="C1386" i="5" s="1"/>
  <c r="A1387" i="5"/>
  <c r="B1386" i="5" a="1"/>
  <c r="B1386" i="5" s="1"/>
  <c r="E1383" i="5" l="1"/>
  <c r="D1384" i="5"/>
  <c r="C1387" i="5" a="1"/>
  <c r="C1387" i="5" s="1"/>
  <c r="A1388" i="5"/>
  <c r="B1387" i="5" a="1"/>
  <c r="B1387" i="5" s="1"/>
  <c r="E1384" i="5" l="1"/>
  <c r="D1385" i="5"/>
  <c r="B1388" i="5" a="1"/>
  <c r="B1388" i="5" s="1"/>
  <c r="A1389" i="5"/>
  <c r="C1388" i="5" a="1"/>
  <c r="C1388" i="5" s="1"/>
  <c r="E1385" i="5" l="1"/>
  <c r="D1386" i="5"/>
  <c r="A1390" i="5"/>
  <c r="B1389" i="5" a="1"/>
  <c r="B1389" i="5" s="1"/>
  <c r="C1389" i="5" a="1"/>
  <c r="C1389" i="5" s="1"/>
  <c r="E1386" i="5" l="1"/>
  <c r="D1387" i="5"/>
  <c r="C1390" i="5" a="1"/>
  <c r="C1390" i="5" s="1"/>
  <c r="A1391" i="5"/>
  <c r="B1390" i="5" a="1"/>
  <c r="B1390" i="5" s="1"/>
  <c r="E1387" i="5" l="1"/>
  <c r="D1388" i="5"/>
  <c r="A1392" i="5"/>
  <c r="B1391" i="5" a="1"/>
  <c r="B1391" i="5" s="1"/>
  <c r="C1391" i="5" a="1"/>
  <c r="C1391" i="5" s="1"/>
  <c r="E1388" i="5" l="1"/>
  <c r="D1389" i="5"/>
  <c r="B1392" i="5" a="1"/>
  <c r="B1392" i="5" s="1"/>
  <c r="C1392" i="5" a="1"/>
  <c r="C1392" i="5" s="1"/>
  <c r="A1393" i="5"/>
  <c r="E1389" i="5" l="1"/>
  <c r="D1390" i="5"/>
  <c r="B1393" i="5" a="1"/>
  <c r="B1393" i="5" s="1"/>
  <c r="C1393" i="5" a="1"/>
  <c r="C1393" i="5" s="1"/>
  <c r="A1394" i="5"/>
  <c r="E1390" i="5" l="1"/>
  <c r="D1391" i="5"/>
  <c r="B1394" i="5" a="1"/>
  <c r="B1394" i="5" s="1"/>
  <c r="C1394" i="5" a="1"/>
  <c r="C1394" i="5" s="1"/>
  <c r="A1395" i="5"/>
  <c r="E1391" i="5" l="1"/>
  <c r="D1392" i="5"/>
  <c r="B1395" i="5" a="1"/>
  <c r="B1395" i="5" s="1"/>
  <c r="C1395" i="5" a="1"/>
  <c r="C1395" i="5" s="1"/>
  <c r="A1396" i="5"/>
  <c r="E1392" i="5" l="1"/>
  <c r="D1393" i="5"/>
  <c r="C1396" i="5" a="1"/>
  <c r="C1396" i="5" s="1"/>
  <c r="B1396" i="5" a="1"/>
  <c r="B1396" i="5" s="1"/>
  <c r="A1397" i="5"/>
  <c r="E1393" i="5" l="1"/>
  <c r="D1394" i="5"/>
  <c r="B1397" i="5" a="1"/>
  <c r="B1397" i="5" s="1"/>
  <c r="C1397" i="5" a="1"/>
  <c r="C1397" i="5" s="1"/>
  <c r="A1398" i="5"/>
  <c r="E1394" i="5" l="1"/>
  <c r="D1395" i="5"/>
  <c r="A1399" i="5"/>
  <c r="B1398" i="5" a="1"/>
  <c r="B1398" i="5" s="1"/>
  <c r="C1398" i="5" a="1"/>
  <c r="C1398" i="5" s="1"/>
  <c r="E1395" i="5" l="1"/>
  <c r="D1396" i="5"/>
  <c r="B1399" i="5" a="1"/>
  <c r="B1399" i="5" s="1"/>
  <c r="C1399" i="5" a="1"/>
  <c r="C1399" i="5" s="1"/>
  <c r="A1400" i="5"/>
  <c r="E1396" i="5" l="1"/>
  <c r="D1397" i="5"/>
  <c r="A1401" i="5"/>
  <c r="B1400" i="5" a="1"/>
  <c r="B1400" i="5" s="1"/>
  <c r="C1400" i="5" a="1"/>
  <c r="C1400" i="5" s="1"/>
  <c r="E1397" i="5" l="1"/>
  <c r="D1398" i="5"/>
  <c r="A1402" i="5"/>
  <c r="B1401" i="5" a="1"/>
  <c r="B1401" i="5" s="1"/>
  <c r="C1401" i="5" a="1"/>
  <c r="C1401" i="5" s="1"/>
  <c r="E1398" i="5" l="1"/>
  <c r="D1399" i="5"/>
  <c r="B1402" i="5" a="1"/>
  <c r="B1402" i="5" s="1"/>
  <c r="C1402" i="5" a="1"/>
  <c r="C1402" i="5" s="1"/>
  <c r="A1403" i="5"/>
  <c r="E1399" i="5" l="1"/>
  <c r="D1400" i="5"/>
  <c r="B1403" i="5" a="1"/>
  <c r="B1403" i="5" s="1"/>
  <c r="C1403" i="5" a="1"/>
  <c r="C1403" i="5" s="1"/>
  <c r="A1404" i="5"/>
  <c r="E1400" i="5" l="1"/>
  <c r="D1401" i="5"/>
  <c r="C1404" i="5" a="1"/>
  <c r="C1404" i="5" s="1"/>
  <c r="A1405" i="5"/>
  <c r="B1404" i="5" a="1"/>
  <c r="B1404" i="5" s="1"/>
  <c r="E1401" i="5" l="1"/>
  <c r="D1402" i="5"/>
  <c r="B1405" i="5" a="1"/>
  <c r="B1405" i="5" s="1"/>
  <c r="C1405" i="5" a="1"/>
  <c r="C1405" i="5" s="1"/>
  <c r="A1406" i="5"/>
  <c r="E1402" i="5" l="1"/>
  <c r="D1403" i="5"/>
  <c r="A1407" i="5"/>
  <c r="B1406" i="5" a="1"/>
  <c r="B1406" i="5" s="1"/>
  <c r="C1406" i="5" a="1"/>
  <c r="C1406" i="5" s="1"/>
  <c r="E1403" i="5" l="1"/>
  <c r="D1404" i="5"/>
  <c r="B1407" i="5" a="1"/>
  <c r="B1407" i="5" s="1"/>
  <c r="C1407" i="5" a="1"/>
  <c r="C1407" i="5" s="1"/>
  <c r="A1408" i="5"/>
  <c r="E1404" i="5" l="1"/>
  <c r="D1405" i="5"/>
  <c r="A1409" i="5"/>
  <c r="B1408" i="5" a="1"/>
  <c r="B1408" i="5" s="1"/>
  <c r="C1408" i="5" a="1"/>
  <c r="C1408" i="5" s="1"/>
  <c r="E1405" i="5" l="1"/>
  <c r="D1406" i="5"/>
  <c r="B1409" i="5" a="1"/>
  <c r="B1409" i="5" s="1"/>
  <c r="C1409" i="5" a="1"/>
  <c r="C1409" i="5" s="1"/>
  <c r="A1410" i="5"/>
  <c r="E1406" i="5" l="1"/>
  <c r="D1407" i="5"/>
  <c r="B1410" i="5" a="1"/>
  <c r="B1410" i="5" s="1"/>
  <c r="C1410" i="5" a="1"/>
  <c r="C1410" i="5" s="1"/>
  <c r="A1411" i="5"/>
  <c r="E1407" i="5" l="1"/>
  <c r="D1408" i="5"/>
  <c r="B1411" i="5" a="1"/>
  <c r="B1411" i="5" s="1"/>
  <c r="C1411" i="5" a="1"/>
  <c r="C1411" i="5" s="1"/>
  <c r="A1412" i="5"/>
  <c r="E1408" i="5" l="1"/>
  <c r="D1409" i="5"/>
  <c r="C1412" i="5" a="1"/>
  <c r="C1412" i="5" s="1"/>
  <c r="A1413" i="5"/>
  <c r="B1412" i="5" a="1"/>
  <c r="B1412" i="5" s="1"/>
  <c r="E1409" i="5" l="1"/>
  <c r="D1410" i="5"/>
  <c r="C1413" i="5" a="1"/>
  <c r="C1413" i="5" s="1"/>
  <c r="A1414" i="5"/>
  <c r="B1413" i="5" a="1"/>
  <c r="B1413" i="5" s="1"/>
  <c r="E1410" i="5" l="1"/>
  <c r="D1411" i="5"/>
  <c r="B1414" i="5" a="1"/>
  <c r="B1414" i="5" s="1"/>
  <c r="A1415" i="5"/>
  <c r="C1414" i="5" a="1"/>
  <c r="C1414" i="5" s="1"/>
  <c r="E1411" i="5" l="1"/>
  <c r="D1412" i="5"/>
  <c r="A1416" i="5"/>
  <c r="B1415" i="5" a="1"/>
  <c r="B1415" i="5" s="1"/>
  <c r="C1415" i="5" a="1"/>
  <c r="C1415" i="5" s="1"/>
  <c r="E1412" i="5" l="1"/>
  <c r="D1413" i="5"/>
  <c r="B1416" i="5" a="1"/>
  <c r="B1416" i="5" s="1"/>
  <c r="C1416" i="5" a="1"/>
  <c r="C1416" i="5" s="1"/>
  <c r="A1417" i="5"/>
  <c r="E1413" i="5" l="1"/>
  <c r="D1414" i="5"/>
  <c r="A1418" i="5"/>
  <c r="B1417" i="5" a="1"/>
  <c r="B1417" i="5" s="1"/>
  <c r="C1417" i="5" a="1"/>
  <c r="C1417" i="5" s="1"/>
  <c r="E1414" i="5" l="1"/>
  <c r="D1415" i="5"/>
  <c r="B1418" i="5" a="1"/>
  <c r="B1418" i="5" s="1"/>
  <c r="C1418" i="5" a="1"/>
  <c r="C1418" i="5" s="1"/>
  <c r="A1419" i="5"/>
  <c r="E1415" i="5" l="1"/>
  <c r="D1416" i="5"/>
  <c r="B1419" i="5" a="1"/>
  <c r="B1419" i="5" s="1"/>
  <c r="C1419" i="5" a="1"/>
  <c r="C1419" i="5" s="1"/>
  <c r="A1420" i="5"/>
  <c r="E1416" i="5" l="1"/>
  <c r="D1417" i="5"/>
  <c r="C1420" i="5" a="1"/>
  <c r="C1420" i="5" s="1"/>
  <c r="A1421" i="5"/>
  <c r="B1420" i="5" a="1"/>
  <c r="B1420" i="5" s="1"/>
  <c r="E1417" i="5" l="1"/>
  <c r="D1418" i="5"/>
  <c r="B1421" i="5" a="1"/>
  <c r="B1421" i="5" s="1"/>
  <c r="C1421" i="5" a="1"/>
  <c r="C1421" i="5" s="1"/>
  <c r="A1422" i="5"/>
  <c r="E1418" i="5" l="1"/>
  <c r="D1419" i="5"/>
  <c r="A1423" i="5"/>
  <c r="B1422" i="5" a="1"/>
  <c r="B1422" i="5" s="1"/>
  <c r="C1422" i="5" a="1"/>
  <c r="C1422" i="5" s="1"/>
  <c r="E1419" i="5" l="1"/>
  <c r="D1420" i="5"/>
  <c r="B1423" i="5" a="1"/>
  <c r="B1423" i="5" s="1"/>
  <c r="C1423" i="5" a="1"/>
  <c r="C1423" i="5" s="1"/>
  <c r="A1424" i="5"/>
  <c r="E1420" i="5" l="1"/>
  <c r="D1421" i="5"/>
  <c r="A1425" i="5"/>
  <c r="B1424" i="5" a="1"/>
  <c r="B1424" i="5" s="1"/>
  <c r="C1424" i="5" a="1"/>
  <c r="C1424" i="5" s="1"/>
  <c r="E1421" i="5" l="1"/>
  <c r="D1422" i="5"/>
  <c r="B1425" i="5" a="1"/>
  <c r="B1425" i="5" s="1"/>
  <c r="C1425" i="5" a="1"/>
  <c r="C1425" i="5" s="1"/>
  <c r="A1426" i="5"/>
  <c r="E1422" i="5" l="1"/>
  <c r="D1423" i="5"/>
  <c r="B1426" i="5" a="1"/>
  <c r="B1426" i="5" s="1"/>
  <c r="C1426" i="5" a="1"/>
  <c r="C1426" i="5" s="1"/>
  <c r="A1427" i="5"/>
  <c r="E1423" i="5" l="1"/>
  <c r="D1424" i="5"/>
  <c r="B1427" i="5" a="1"/>
  <c r="B1427" i="5" s="1"/>
  <c r="C1427" i="5" a="1"/>
  <c r="C1427" i="5" s="1"/>
  <c r="A1428" i="5"/>
  <c r="E1424" i="5" l="1"/>
  <c r="D1425" i="5"/>
  <c r="C1428" i="5" a="1"/>
  <c r="C1428" i="5" s="1"/>
  <c r="A1429" i="5"/>
  <c r="B1428" i="5" a="1"/>
  <c r="B1428" i="5" s="1"/>
  <c r="E1425" i="5" l="1"/>
  <c r="D1426" i="5"/>
  <c r="C1429" i="5" a="1"/>
  <c r="C1429" i="5" s="1"/>
  <c r="A1430" i="5"/>
  <c r="B1429" i="5" a="1"/>
  <c r="B1429" i="5" s="1"/>
  <c r="E1426" i="5" l="1"/>
  <c r="D1427" i="5"/>
  <c r="B1430" i="5" a="1"/>
  <c r="B1430" i="5" s="1"/>
  <c r="A1431" i="5"/>
  <c r="C1430" i="5" a="1"/>
  <c r="C1430" i="5" s="1"/>
  <c r="E1427" i="5" l="1"/>
  <c r="D1428" i="5"/>
  <c r="A1432" i="5"/>
  <c r="B1431" i="5" a="1"/>
  <c r="B1431" i="5" s="1"/>
  <c r="C1431" i="5" a="1"/>
  <c r="C1431" i="5" s="1"/>
  <c r="E1428" i="5" l="1"/>
  <c r="D1429" i="5"/>
  <c r="B1432" i="5" a="1"/>
  <c r="B1432" i="5" s="1"/>
  <c r="C1432" i="5" a="1"/>
  <c r="C1432" i="5" s="1"/>
  <c r="A1433" i="5"/>
  <c r="E1429" i="5" l="1"/>
  <c r="D1430" i="5"/>
  <c r="A1434" i="5"/>
  <c r="B1433" i="5" a="1"/>
  <c r="B1433" i="5" s="1"/>
  <c r="C1433" i="5" a="1"/>
  <c r="C1433" i="5" s="1"/>
  <c r="E1430" i="5" l="1"/>
  <c r="D1431" i="5"/>
  <c r="B1434" i="5" a="1"/>
  <c r="B1434" i="5" s="1"/>
  <c r="C1434" i="5" a="1"/>
  <c r="C1434" i="5" s="1"/>
  <c r="A1435" i="5"/>
  <c r="E1431" i="5" l="1"/>
  <c r="D1432" i="5"/>
  <c r="B1435" i="5" a="1"/>
  <c r="B1435" i="5" s="1"/>
  <c r="C1435" i="5" a="1"/>
  <c r="C1435" i="5" s="1"/>
  <c r="A1436" i="5"/>
  <c r="E1432" i="5" l="1"/>
  <c r="D1433" i="5"/>
  <c r="C1436" i="5" a="1"/>
  <c r="C1436" i="5" s="1"/>
  <c r="A1437" i="5"/>
  <c r="B1436" i="5" a="1"/>
  <c r="B1436" i="5" s="1"/>
  <c r="E1433" i="5" l="1"/>
  <c r="D1434" i="5"/>
  <c r="B1437" i="5" a="1"/>
  <c r="B1437" i="5" s="1"/>
  <c r="C1437" i="5" a="1"/>
  <c r="C1437" i="5" s="1"/>
  <c r="A1438" i="5"/>
  <c r="E1434" i="5" l="1"/>
  <c r="D1435" i="5"/>
  <c r="A1439" i="5"/>
  <c r="B1438" i="5" a="1"/>
  <c r="B1438" i="5" s="1"/>
  <c r="C1438" i="5" a="1"/>
  <c r="C1438" i="5" s="1"/>
  <c r="E1435" i="5" l="1"/>
  <c r="D1436" i="5"/>
  <c r="B1439" i="5" a="1"/>
  <c r="B1439" i="5" s="1"/>
  <c r="C1439" i="5" a="1"/>
  <c r="C1439" i="5" s="1"/>
  <c r="A1440" i="5"/>
  <c r="E1436" i="5" l="1"/>
  <c r="D1437" i="5"/>
  <c r="A1441" i="5"/>
  <c r="B1440" i="5" a="1"/>
  <c r="B1440" i="5" s="1"/>
  <c r="C1440" i="5" a="1"/>
  <c r="C1440" i="5" s="1"/>
  <c r="E1437" i="5" l="1"/>
  <c r="D1438" i="5"/>
  <c r="B1441" i="5" a="1"/>
  <c r="B1441" i="5" s="1"/>
  <c r="C1441" i="5" a="1"/>
  <c r="C1441" i="5" s="1"/>
  <c r="A1442" i="5"/>
  <c r="E1438" i="5" l="1"/>
  <c r="D1439" i="5"/>
  <c r="B1442" i="5" a="1"/>
  <c r="B1442" i="5" s="1"/>
  <c r="C1442" i="5" a="1"/>
  <c r="C1442" i="5" s="1"/>
  <c r="A1443" i="5"/>
  <c r="E1439" i="5" l="1"/>
  <c r="D1440" i="5"/>
  <c r="B1443" i="5" a="1"/>
  <c r="B1443" i="5" s="1"/>
  <c r="C1443" i="5" a="1"/>
  <c r="C1443" i="5" s="1"/>
  <c r="A1444" i="5"/>
  <c r="E1440" i="5" l="1"/>
  <c r="D1441" i="5"/>
  <c r="C1444" i="5" a="1"/>
  <c r="C1444" i="5" s="1"/>
  <c r="A1445" i="5"/>
  <c r="B1444" i="5" a="1"/>
  <c r="B1444" i="5" s="1"/>
  <c r="E1441" i="5" l="1"/>
  <c r="D1442" i="5"/>
  <c r="C1445" i="5" a="1"/>
  <c r="C1445" i="5" s="1"/>
  <c r="A1446" i="5"/>
  <c r="B1445" i="5" a="1"/>
  <c r="B1445" i="5" s="1"/>
  <c r="E1442" i="5" l="1"/>
  <c r="D1443" i="5"/>
  <c r="B1446" i="5" a="1"/>
  <c r="B1446" i="5" s="1"/>
  <c r="A1447" i="5"/>
  <c r="C1446" i="5" a="1"/>
  <c r="C1446" i="5" s="1"/>
  <c r="E1443" i="5" l="1"/>
  <c r="D1444" i="5"/>
  <c r="A1448" i="5"/>
  <c r="B1447" i="5" a="1"/>
  <c r="B1447" i="5" s="1"/>
  <c r="C1447" i="5" a="1"/>
  <c r="C1447" i="5" s="1"/>
  <c r="E1444" i="5" l="1"/>
  <c r="D1445" i="5"/>
  <c r="B1448" i="5" a="1"/>
  <c r="B1448" i="5" s="1"/>
  <c r="C1448" i="5" a="1"/>
  <c r="C1448" i="5" s="1"/>
  <c r="A1449" i="5"/>
  <c r="E1445" i="5" l="1"/>
  <c r="D1446" i="5"/>
  <c r="A1450" i="5"/>
  <c r="B1449" i="5" a="1"/>
  <c r="B1449" i="5" s="1"/>
  <c r="C1449" i="5" a="1"/>
  <c r="C1449" i="5" s="1"/>
  <c r="E1446" i="5" l="1"/>
  <c r="D1447" i="5"/>
  <c r="B1450" i="5" a="1"/>
  <c r="B1450" i="5" s="1"/>
  <c r="C1450" i="5" a="1"/>
  <c r="C1450" i="5" s="1"/>
  <c r="A1451" i="5"/>
  <c r="E1447" i="5" l="1"/>
  <c r="D1448" i="5"/>
  <c r="B1451" i="5" a="1"/>
  <c r="B1451" i="5" s="1"/>
  <c r="C1451" i="5" a="1"/>
  <c r="C1451" i="5" s="1"/>
  <c r="A1452" i="5"/>
  <c r="E1448" i="5" l="1"/>
  <c r="D1449" i="5"/>
  <c r="C1452" i="5" a="1"/>
  <c r="C1452" i="5" s="1"/>
  <c r="A1453" i="5"/>
  <c r="B1452" i="5" a="1"/>
  <c r="B1452" i="5" s="1"/>
  <c r="E1449" i="5" l="1"/>
  <c r="D1450" i="5"/>
  <c r="B1453" i="5" a="1"/>
  <c r="B1453" i="5" s="1"/>
  <c r="C1453" i="5" a="1"/>
  <c r="C1453" i="5" s="1"/>
  <c r="A1454" i="5"/>
  <c r="E1450" i="5" l="1"/>
  <c r="D1451" i="5"/>
  <c r="A1455" i="5"/>
  <c r="B1454" i="5" a="1"/>
  <c r="B1454" i="5" s="1"/>
  <c r="C1454" i="5" a="1"/>
  <c r="C1454" i="5" s="1"/>
  <c r="E1451" i="5" l="1"/>
  <c r="D1452" i="5"/>
  <c r="B1455" i="5" a="1"/>
  <c r="B1455" i="5" s="1"/>
  <c r="C1455" i="5" a="1"/>
  <c r="C1455" i="5" s="1"/>
  <c r="A1456" i="5"/>
  <c r="E1452" i="5" l="1"/>
  <c r="D1453" i="5"/>
  <c r="A1457" i="5"/>
  <c r="B1456" i="5" a="1"/>
  <c r="B1456" i="5" s="1"/>
  <c r="C1456" i="5" a="1"/>
  <c r="C1456" i="5" s="1"/>
  <c r="E1453" i="5" l="1"/>
  <c r="D1454" i="5"/>
  <c r="B1457" i="5" a="1"/>
  <c r="B1457" i="5" s="1"/>
  <c r="C1457" i="5" a="1"/>
  <c r="C1457" i="5" s="1"/>
  <c r="A1458" i="5"/>
  <c r="E1454" i="5" l="1"/>
  <c r="D1455" i="5"/>
  <c r="B1458" i="5" a="1"/>
  <c r="B1458" i="5" s="1"/>
  <c r="C1458" i="5" a="1"/>
  <c r="C1458" i="5" s="1"/>
  <c r="A1459" i="5"/>
  <c r="E1455" i="5" l="1"/>
  <c r="D1456" i="5"/>
  <c r="B1459" i="5" a="1"/>
  <c r="B1459" i="5" s="1"/>
  <c r="C1459" i="5" a="1"/>
  <c r="C1459" i="5" s="1"/>
  <c r="A1460" i="5"/>
  <c r="E1456" i="5" l="1"/>
  <c r="D1457" i="5"/>
  <c r="C1460" i="5" a="1"/>
  <c r="C1460" i="5" s="1"/>
  <c r="A1461" i="5"/>
  <c r="B1460" i="5" a="1"/>
  <c r="B1460" i="5" s="1"/>
  <c r="E1457" i="5" l="1"/>
  <c r="D1458" i="5"/>
  <c r="C1461" i="5" a="1"/>
  <c r="C1461" i="5" s="1"/>
  <c r="A1462" i="5"/>
  <c r="B1461" i="5" a="1"/>
  <c r="B1461" i="5" s="1"/>
  <c r="E1458" i="5" l="1"/>
  <c r="D1459" i="5"/>
  <c r="B1462" i="5" a="1"/>
  <c r="B1462" i="5" s="1"/>
  <c r="A1463" i="5"/>
  <c r="C1462" i="5" a="1"/>
  <c r="C1462" i="5" s="1"/>
  <c r="E1459" i="5" l="1"/>
  <c r="D1460" i="5"/>
  <c r="A1464" i="5"/>
  <c r="B1463" i="5" a="1"/>
  <c r="B1463" i="5" s="1"/>
  <c r="C1463" i="5" a="1"/>
  <c r="C1463" i="5" s="1"/>
  <c r="E1460" i="5" l="1"/>
  <c r="D1461" i="5"/>
  <c r="B1464" i="5" a="1"/>
  <c r="B1464" i="5" s="1"/>
  <c r="C1464" i="5" a="1"/>
  <c r="C1464" i="5" s="1"/>
  <c r="A1465" i="5"/>
  <c r="E1461" i="5" l="1"/>
  <c r="D1462" i="5"/>
  <c r="A1466" i="5"/>
  <c r="B1465" i="5" a="1"/>
  <c r="B1465" i="5" s="1"/>
  <c r="C1465" i="5" a="1"/>
  <c r="C1465" i="5" s="1"/>
  <c r="E1462" i="5" l="1"/>
  <c r="D1463" i="5"/>
  <c r="B1466" i="5" a="1"/>
  <c r="B1466" i="5" s="1"/>
  <c r="C1466" i="5" a="1"/>
  <c r="C1466" i="5" s="1"/>
  <c r="A1467" i="5"/>
  <c r="E1463" i="5" l="1"/>
  <c r="D1464" i="5"/>
  <c r="B1467" i="5" a="1"/>
  <c r="B1467" i="5" s="1"/>
  <c r="C1467" i="5" a="1"/>
  <c r="C1467" i="5" s="1"/>
  <c r="A1468" i="5"/>
  <c r="E1464" i="5" l="1"/>
  <c r="D1465" i="5"/>
  <c r="C1468" i="5" a="1"/>
  <c r="C1468" i="5" s="1"/>
  <c r="A1469" i="5"/>
  <c r="B1468" i="5" a="1"/>
  <c r="B1468" i="5" s="1"/>
  <c r="E1465" i="5" l="1"/>
  <c r="D1466" i="5"/>
  <c r="B1469" i="5" a="1"/>
  <c r="B1469" i="5" s="1"/>
  <c r="C1469" i="5" a="1"/>
  <c r="C1469" i="5" s="1"/>
  <c r="A1470" i="5"/>
  <c r="E1466" i="5" l="1"/>
  <c r="D1467" i="5"/>
  <c r="A1471" i="5"/>
  <c r="B1470" i="5" a="1"/>
  <c r="B1470" i="5" s="1"/>
  <c r="C1470" i="5" a="1"/>
  <c r="C1470" i="5" s="1"/>
  <c r="E1467" i="5" l="1"/>
  <c r="D1468" i="5"/>
  <c r="B1471" i="5" a="1"/>
  <c r="B1471" i="5" s="1"/>
  <c r="C1471" i="5" a="1"/>
  <c r="C1471" i="5" s="1"/>
  <c r="A1472" i="5"/>
  <c r="E1468" i="5" l="1"/>
  <c r="D1469" i="5"/>
  <c r="A1473" i="5"/>
  <c r="B1472" i="5" a="1"/>
  <c r="B1472" i="5" s="1"/>
  <c r="C1472" i="5" a="1"/>
  <c r="C1472" i="5" s="1"/>
  <c r="E1469" i="5" l="1"/>
  <c r="D1470" i="5"/>
  <c r="B1473" i="5" a="1"/>
  <c r="B1473" i="5" s="1"/>
  <c r="C1473" i="5" a="1"/>
  <c r="C1473" i="5" s="1"/>
  <c r="A1474" i="5"/>
  <c r="E1470" i="5" l="1"/>
  <c r="D1471" i="5"/>
  <c r="B1474" i="5" a="1"/>
  <c r="B1474" i="5" s="1"/>
  <c r="C1474" i="5" a="1"/>
  <c r="C1474" i="5" s="1"/>
  <c r="A1475" i="5"/>
  <c r="E1471" i="5" l="1"/>
  <c r="D1472" i="5"/>
  <c r="B1475" i="5" a="1"/>
  <c r="B1475" i="5" s="1"/>
  <c r="C1475" i="5" a="1"/>
  <c r="C1475" i="5" s="1"/>
  <c r="A1476" i="5"/>
  <c r="E1472" i="5" l="1"/>
  <c r="D1473" i="5"/>
  <c r="C1476" i="5" a="1"/>
  <c r="C1476" i="5" s="1"/>
  <c r="A1477" i="5"/>
  <c r="B1476" i="5" a="1"/>
  <c r="B1476" i="5" s="1"/>
  <c r="E1473" i="5" l="1"/>
  <c r="D1474" i="5"/>
  <c r="C1477" i="5" a="1"/>
  <c r="C1477" i="5" s="1"/>
  <c r="A1478" i="5"/>
  <c r="B1477" i="5" a="1"/>
  <c r="B1477" i="5" s="1"/>
  <c r="E1474" i="5" l="1"/>
  <c r="D1475" i="5"/>
  <c r="B1478" i="5" a="1"/>
  <c r="B1478" i="5" s="1"/>
  <c r="A1479" i="5"/>
  <c r="C1478" i="5" a="1"/>
  <c r="C1478" i="5" s="1"/>
  <c r="E1475" i="5" l="1"/>
  <c r="D1476" i="5"/>
  <c r="A1480" i="5"/>
  <c r="B1479" i="5" a="1"/>
  <c r="B1479" i="5" s="1"/>
  <c r="C1479" i="5" a="1"/>
  <c r="C1479" i="5" s="1"/>
  <c r="E1476" i="5" l="1"/>
  <c r="D1477" i="5"/>
  <c r="B1480" i="5" a="1"/>
  <c r="B1480" i="5" s="1"/>
  <c r="C1480" i="5" a="1"/>
  <c r="C1480" i="5" s="1"/>
  <c r="A1481" i="5"/>
  <c r="E1477" i="5" l="1"/>
  <c r="D1478" i="5"/>
  <c r="A1482" i="5"/>
  <c r="B1481" i="5" a="1"/>
  <c r="B1481" i="5" s="1"/>
  <c r="C1481" i="5" a="1"/>
  <c r="C1481" i="5" s="1"/>
  <c r="E1478" i="5" l="1"/>
  <c r="D1479" i="5"/>
  <c r="B1482" i="5" a="1"/>
  <c r="B1482" i="5" s="1"/>
  <c r="C1482" i="5" a="1"/>
  <c r="C1482" i="5" s="1"/>
  <c r="A1483" i="5"/>
  <c r="E1479" i="5" l="1"/>
  <c r="D1480" i="5"/>
  <c r="B1483" i="5" a="1"/>
  <c r="B1483" i="5" s="1"/>
  <c r="C1483" i="5" a="1"/>
  <c r="C1483" i="5" s="1"/>
  <c r="A1484" i="5"/>
  <c r="E1480" i="5" l="1"/>
  <c r="D1481" i="5"/>
  <c r="C1484" i="5" a="1"/>
  <c r="C1484" i="5" s="1"/>
  <c r="A1485" i="5"/>
  <c r="B1484" i="5" a="1"/>
  <c r="B1484" i="5" s="1"/>
  <c r="E1481" i="5" l="1"/>
  <c r="D1482" i="5"/>
  <c r="B1485" i="5" a="1"/>
  <c r="B1485" i="5" s="1"/>
  <c r="C1485" i="5" a="1"/>
  <c r="C1485" i="5" s="1"/>
  <c r="A1486" i="5"/>
  <c r="E1482" i="5" l="1"/>
  <c r="D1483" i="5"/>
  <c r="A1487" i="5"/>
  <c r="B1486" i="5" a="1"/>
  <c r="B1486" i="5" s="1"/>
  <c r="C1486" i="5" a="1"/>
  <c r="C1486" i="5" s="1"/>
  <c r="E1483" i="5" l="1"/>
  <c r="D1484" i="5"/>
  <c r="B1487" i="5" a="1"/>
  <c r="B1487" i="5" s="1"/>
  <c r="C1487" i="5" a="1"/>
  <c r="C1487" i="5" s="1"/>
  <c r="A1488" i="5"/>
  <c r="E1484" i="5" l="1"/>
  <c r="D1485" i="5"/>
  <c r="A1489" i="5"/>
  <c r="B1488" i="5" a="1"/>
  <c r="B1488" i="5" s="1"/>
  <c r="C1488" i="5" a="1"/>
  <c r="C1488" i="5" s="1"/>
  <c r="E1485" i="5" l="1"/>
  <c r="D1486" i="5"/>
  <c r="B1489" i="5" a="1"/>
  <c r="B1489" i="5" s="1"/>
  <c r="C1489" i="5" a="1"/>
  <c r="C1489" i="5" s="1"/>
  <c r="A1490" i="5"/>
  <c r="E1486" i="5" l="1"/>
  <c r="D1487" i="5"/>
  <c r="B1490" i="5" a="1"/>
  <c r="B1490" i="5" s="1"/>
  <c r="C1490" i="5" a="1"/>
  <c r="C1490" i="5" s="1"/>
  <c r="A1491" i="5"/>
  <c r="E1487" i="5" l="1"/>
  <c r="D1488" i="5"/>
  <c r="B1491" i="5" a="1"/>
  <c r="B1491" i="5" s="1"/>
  <c r="C1491" i="5" a="1"/>
  <c r="C1491" i="5" s="1"/>
  <c r="A1492" i="5"/>
  <c r="E1488" i="5" l="1"/>
  <c r="D1489" i="5"/>
  <c r="C1492" i="5" a="1"/>
  <c r="C1492" i="5" s="1"/>
  <c r="A1493" i="5"/>
  <c r="B1492" i="5" a="1"/>
  <c r="B1492" i="5" s="1"/>
  <c r="E1489" i="5" l="1"/>
  <c r="D1490" i="5"/>
  <c r="C1493" i="5" a="1"/>
  <c r="C1493" i="5" s="1"/>
  <c r="A1494" i="5"/>
  <c r="B1493" i="5" a="1"/>
  <c r="B1493" i="5" s="1"/>
  <c r="E1490" i="5" l="1"/>
  <c r="D1491" i="5"/>
  <c r="B1494" i="5" a="1"/>
  <c r="B1494" i="5" s="1"/>
  <c r="A1495" i="5"/>
  <c r="C1494" i="5" a="1"/>
  <c r="C1494" i="5" s="1"/>
  <c r="E1491" i="5" l="1"/>
  <c r="D1492" i="5"/>
  <c r="A1496" i="5"/>
  <c r="B1495" i="5" a="1"/>
  <c r="B1495" i="5" s="1"/>
  <c r="C1495" i="5" a="1"/>
  <c r="C1495" i="5" s="1"/>
  <c r="E1492" i="5" l="1"/>
  <c r="D1493" i="5"/>
  <c r="B1496" i="5" a="1"/>
  <c r="B1496" i="5" s="1"/>
  <c r="C1496" i="5" a="1"/>
  <c r="C1496" i="5" s="1"/>
  <c r="A1497" i="5"/>
  <c r="E1493" i="5" l="1"/>
  <c r="D1494" i="5"/>
  <c r="A1498" i="5"/>
  <c r="B1497" i="5" a="1"/>
  <c r="B1497" i="5" s="1"/>
  <c r="C1497" i="5" a="1"/>
  <c r="C1497" i="5" s="1"/>
  <c r="E1494" i="5" l="1"/>
  <c r="D1495" i="5"/>
  <c r="B1498" i="5" a="1"/>
  <c r="B1498" i="5" s="1"/>
  <c r="C1498" i="5" a="1"/>
  <c r="C1498" i="5" s="1"/>
  <c r="A1499" i="5"/>
  <c r="E1495" i="5" l="1"/>
  <c r="D1496" i="5"/>
  <c r="B1499" i="5" a="1"/>
  <c r="B1499" i="5" s="1"/>
  <c r="C1499" i="5" a="1"/>
  <c r="C1499" i="5" s="1"/>
  <c r="A1500" i="5"/>
  <c r="E1496" i="5" l="1"/>
  <c r="D1497" i="5"/>
  <c r="C1500" i="5" a="1"/>
  <c r="C1500" i="5" s="1"/>
  <c r="A1501" i="5"/>
  <c r="B1500" i="5" a="1"/>
  <c r="B1500" i="5" s="1"/>
  <c r="E1497" i="5" l="1"/>
  <c r="D1498" i="5"/>
  <c r="B1501" i="5" a="1"/>
  <c r="B1501" i="5" s="1"/>
  <c r="C1501" i="5" a="1"/>
  <c r="C1501" i="5" s="1"/>
  <c r="A1502" i="5"/>
  <c r="E1498" i="5" l="1"/>
  <c r="D1499" i="5"/>
  <c r="A1503" i="5"/>
  <c r="B1502" i="5" a="1"/>
  <c r="B1502" i="5" s="1"/>
  <c r="C1502" i="5" a="1"/>
  <c r="C1502" i="5" s="1"/>
  <c r="E1499" i="5" l="1"/>
  <c r="D1500" i="5"/>
  <c r="B1503" i="5" a="1"/>
  <c r="B1503" i="5" s="1"/>
  <c r="C1503" i="5" a="1"/>
  <c r="C1503" i="5" s="1"/>
  <c r="A1504" i="5"/>
  <c r="E1500" i="5" l="1"/>
  <c r="D1501" i="5"/>
  <c r="A1505" i="5"/>
  <c r="B1504" i="5" a="1"/>
  <c r="B1504" i="5" s="1"/>
  <c r="C1504" i="5" a="1"/>
  <c r="C1504" i="5" s="1"/>
  <c r="E1501" i="5" l="1"/>
  <c r="D1502" i="5"/>
  <c r="B1505" i="5" a="1"/>
  <c r="B1505" i="5" s="1"/>
  <c r="C1505" i="5" a="1"/>
  <c r="C1505" i="5" s="1"/>
  <c r="A1506" i="5"/>
  <c r="E1502" i="5" l="1"/>
  <c r="D1503" i="5"/>
  <c r="B1506" i="5" a="1"/>
  <c r="B1506" i="5" s="1"/>
  <c r="C1506" i="5" a="1"/>
  <c r="C1506" i="5" s="1"/>
  <c r="A1507" i="5"/>
  <c r="E1503" i="5" l="1"/>
  <c r="D1504" i="5"/>
  <c r="B1507" i="5" a="1"/>
  <c r="B1507" i="5" s="1"/>
  <c r="C1507" i="5" a="1"/>
  <c r="C1507" i="5" s="1"/>
  <c r="A1508" i="5"/>
  <c r="E1504" i="5" l="1"/>
  <c r="D1505" i="5"/>
  <c r="C1508" i="5" a="1"/>
  <c r="C1508" i="5" s="1"/>
  <c r="A1509" i="5"/>
  <c r="B1508" i="5" a="1"/>
  <c r="B1508" i="5" s="1"/>
  <c r="E1505" i="5" l="1"/>
  <c r="D1506" i="5"/>
  <c r="C1509" i="5" a="1"/>
  <c r="C1509" i="5" s="1"/>
  <c r="A1510" i="5"/>
  <c r="B1509" i="5" a="1"/>
  <c r="B1509" i="5" s="1"/>
  <c r="E1506" i="5" l="1"/>
  <c r="D1507" i="5"/>
  <c r="B1510" i="5" a="1"/>
  <c r="B1510" i="5" s="1"/>
  <c r="A1511" i="5"/>
  <c r="C1510" i="5" a="1"/>
  <c r="C1510" i="5" s="1"/>
  <c r="E1507" i="5" l="1"/>
  <c r="D1508" i="5"/>
  <c r="A1512" i="5"/>
  <c r="B1511" i="5" a="1"/>
  <c r="B1511" i="5" s="1"/>
  <c r="C1511" i="5" a="1"/>
  <c r="C1511" i="5" s="1"/>
  <c r="E1508" i="5" l="1"/>
  <c r="D1509" i="5"/>
  <c r="B1512" i="5" a="1"/>
  <c r="B1512" i="5" s="1"/>
  <c r="C1512" i="5" a="1"/>
  <c r="C1512" i="5" s="1"/>
  <c r="A1513" i="5"/>
  <c r="E1509" i="5" l="1"/>
  <c r="D1510" i="5"/>
  <c r="A1514" i="5"/>
  <c r="B1513" i="5" a="1"/>
  <c r="B1513" i="5" s="1"/>
  <c r="C1513" i="5" a="1"/>
  <c r="C1513" i="5" s="1"/>
  <c r="E1510" i="5" l="1"/>
  <c r="D1511" i="5"/>
  <c r="B1514" i="5" a="1"/>
  <c r="B1514" i="5" s="1"/>
  <c r="C1514" i="5" a="1"/>
  <c r="C1514" i="5" s="1"/>
  <c r="A1515" i="5"/>
  <c r="E1511" i="5" l="1"/>
  <c r="D1512" i="5"/>
  <c r="B1515" i="5" a="1"/>
  <c r="B1515" i="5" s="1"/>
  <c r="C1515" i="5" a="1"/>
  <c r="C1515" i="5" s="1"/>
  <c r="A1516" i="5"/>
  <c r="E1512" i="5" l="1"/>
  <c r="D1513" i="5"/>
  <c r="C1516" i="5" a="1"/>
  <c r="C1516" i="5" s="1"/>
  <c r="A1517" i="5"/>
  <c r="B1516" i="5" a="1"/>
  <c r="B1516" i="5" s="1"/>
  <c r="E1513" i="5" l="1"/>
  <c r="D1514" i="5"/>
  <c r="B1517" i="5" a="1"/>
  <c r="B1517" i="5" s="1"/>
  <c r="C1517" i="5" a="1"/>
  <c r="C1517" i="5" s="1"/>
  <c r="A1518" i="5"/>
  <c r="E1514" i="5" l="1"/>
  <c r="D1515" i="5"/>
  <c r="A1519" i="5"/>
  <c r="B1518" i="5" a="1"/>
  <c r="B1518" i="5" s="1"/>
  <c r="C1518" i="5" a="1"/>
  <c r="C1518" i="5" s="1"/>
  <c r="E1515" i="5" l="1"/>
  <c r="D1516" i="5"/>
  <c r="B1519" i="5" a="1"/>
  <c r="B1519" i="5" s="1"/>
  <c r="C1519" i="5" a="1"/>
  <c r="C1519" i="5" s="1"/>
  <c r="A1520" i="5"/>
  <c r="E1516" i="5" l="1"/>
  <c r="D1517" i="5"/>
  <c r="A1521" i="5"/>
  <c r="B1520" i="5" a="1"/>
  <c r="B1520" i="5" s="1"/>
  <c r="C1520" i="5" a="1"/>
  <c r="C1520" i="5" s="1"/>
  <c r="E1517" i="5" l="1"/>
  <c r="D1518" i="5"/>
  <c r="B1521" i="5" a="1"/>
  <c r="B1521" i="5" s="1"/>
  <c r="C1521" i="5" a="1"/>
  <c r="C1521" i="5" s="1"/>
  <c r="A1522" i="5"/>
  <c r="E1518" i="5" l="1"/>
  <c r="D1519" i="5"/>
  <c r="B1522" i="5" a="1"/>
  <c r="B1522" i="5" s="1"/>
  <c r="C1522" i="5" a="1"/>
  <c r="C1522" i="5" s="1"/>
  <c r="A1523" i="5"/>
  <c r="E1519" i="5" l="1"/>
  <c r="D1520" i="5"/>
  <c r="B1523" i="5" a="1"/>
  <c r="B1523" i="5" s="1"/>
  <c r="C1523" i="5" a="1"/>
  <c r="C1523" i="5" s="1"/>
  <c r="A1524" i="5"/>
  <c r="E1520" i="5" l="1"/>
  <c r="D1521" i="5"/>
  <c r="C1524" i="5" a="1"/>
  <c r="C1524" i="5" s="1"/>
  <c r="B1524" i="5" a="1"/>
  <c r="B1524" i="5" s="1"/>
  <c r="A1525" i="5"/>
  <c r="E1521" i="5" l="1"/>
  <c r="D1522" i="5"/>
  <c r="C1525" i="5" a="1"/>
  <c r="C1525" i="5" s="1"/>
  <c r="A1526" i="5"/>
  <c r="B1525" i="5" a="1"/>
  <c r="B1525" i="5" s="1"/>
  <c r="E1522" i="5" l="1"/>
  <c r="D1523" i="5"/>
  <c r="B1526" i="5" a="1"/>
  <c r="B1526" i="5" s="1"/>
  <c r="C1526" i="5" a="1"/>
  <c r="C1526" i="5" s="1"/>
  <c r="A1527" i="5"/>
  <c r="E1523" i="5" l="1"/>
  <c r="D1524" i="5"/>
  <c r="A1528" i="5"/>
  <c r="B1527" i="5" a="1"/>
  <c r="B1527" i="5" s="1"/>
  <c r="C1527" i="5" a="1"/>
  <c r="C1527" i="5" s="1"/>
  <c r="E1524" i="5" l="1"/>
  <c r="D1525" i="5"/>
  <c r="B1528" i="5" a="1"/>
  <c r="B1528" i="5" s="1"/>
  <c r="C1528" i="5" a="1"/>
  <c r="C1528" i="5" s="1"/>
  <c r="A1529" i="5"/>
  <c r="E1525" i="5" l="1"/>
  <c r="D1526" i="5"/>
  <c r="A1530" i="5"/>
  <c r="B1529" i="5" a="1"/>
  <c r="B1529" i="5" s="1"/>
  <c r="C1529" i="5" a="1"/>
  <c r="C1529" i="5" s="1"/>
  <c r="E1526" i="5" l="1"/>
  <c r="D1527" i="5"/>
  <c r="B1530" i="5" a="1"/>
  <c r="B1530" i="5" s="1"/>
  <c r="C1530" i="5" a="1"/>
  <c r="C1530" i="5" s="1"/>
  <c r="A1531" i="5"/>
  <c r="E1527" i="5" l="1"/>
  <c r="D1528" i="5"/>
  <c r="B1531" i="5" a="1"/>
  <c r="B1531" i="5" s="1"/>
  <c r="C1531" i="5" a="1"/>
  <c r="C1531" i="5" s="1"/>
  <c r="A1532" i="5"/>
  <c r="E1528" i="5" l="1"/>
  <c r="D1529" i="5"/>
  <c r="C1532" i="5" a="1"/>
  <c r="C1532" i="5" s="1"/>
  <c r="A1533" i="5"/>
  <c r="B1532" i="5" a="1"/>
  <c r="B1532" i="5" s="1"/>
  <c r="E1529" i="5" l="1"/>
  <c r="D1530" i="5"/>
  <c r="C1533" i="5" a="1"/>
  <c r="C1533" i="5" s="1"/>
  <c r="A1534" i="5"/>
  <c r="B1533" i="5" a="1"/>
  <c r="B1533" i="5" s="1"/>
  <c r="E1530" i="5" l="1"/>
  <c r="D1531" i="5"/>
  <c r="A1535" i="5"/>
  <c r="B1534" i="5" a="1"/>
  <c r="B1534" i="5" s="1"/>
  <c r="C1534" i="5" a="1"/>
  <c r="C1534" i="5" s="1"/>
  <c r="E1531" i="5" l="1"/>
  <c r="D1532" i="5"/>
  <c r="B1535" i="5" a="1"/>
  <c r="B1535" i="5" s="1"/>
  <c r="A1536" i="5"/>
  <c r="C1535" i="5" a="1"/>
  <c r="C1535" i="5" s="1"/>
  <c r="E1532" i="5" l="1"/>
  <c r="D1533" i="5"/>
  <c r="A1537" i="5"/>
  <c r="B1536" i="5" a="1"/>
  <c r="B1536" i="5" s="1"/>
  <c r="C1536" i="5" a="1"/>
  <c r="C1536" i="5" s="1"/>
  <c r="E1533" i="5" l="1"/>
  <c r="D1534" i="5"/>
  <c r="B1537" i="5" a="1"/>
  <c r="B1537" i="5" s="1"/>
  <c r="C1537" i="5" a="1"/>
  <c r="C1537" i="5" s="1"/>
  <c r="A1538" i="5"/>
  <c r="E1534" i="5" l="1"/>
  <c r="D1535" i="5"/>
  <c r="B1538" i="5" a="1"/>
  <c r="B1538" i="5" s="1"/>
  <c r="A1539" i="5"/>
  <c r="C1538" i="5" a="1"/>
  <c r="C1538" i="5" s="1"/>
  <c r="E1535" i="5" l="1"/>
  <c r="D1536" i="5"/>
  <c r="B1539" i="5" a="1"/>
  <c r="B1539" i="5" s="1"/>
  <c r="C1539" i="5" a="1"/>
  <c r="C1539" i="5" s="1"/>
  <c r="A1540" i="5"/>
  <c r="E1536" i="5" l="1"/>
  <c r="D1537" i="5"/>
  <c r="C1540" i="5" a="1"/>
  <c r="C1540" i="5" s="1"/>
  <c r="B1540" i="5" a="1"/>
  <c r="B1540" i="5" s="1"/>
  <c r="A1541" i="5"/>
  <c r="E1537" i="5" l="1"/>
  <c r="D1538" i="5"/>
  <c r="C1541" i="5" a="1"/>
  <c r="C1541" i="5" s="1"/>
  <c r="A1542" i="5"/>
  <c r="B1541" i="5" a="1"/>
  <c r="B1541" i="5" s="1"/>
  <c r="E1538" i="5" l="1"/>
  <c r="D1539" i="5"/>
  <c r="B1542" i="5" a="1"/>
  <c r="B1542" i="5" s="1"/>
  <c r="C1542" i="5" a="1"/>
  <c r="C1542" i="5" s="1"/>
  <c r="A1543" i="5"/>
  <c r="E1539" i="5" l="1"/>
  <c r="D1540" i="5"/>
  <c r="A1544" i="5"/>
  <c r="B1543" i="5" a="1"/>
  <c r="B1543" i="5" s="1"/>
  <c r="C1543" i="5" a="1"/>
  <c r="C1543" i="5" s="1"/>
  <c r="E1540" i="5" l="1"/>
  <c r="D1541" i="5"/>
  <c r="B1544" i="5" a="1"/>
  <c r="B1544" i="5" s="1"/>
  <c r="C1544" i="5" a="1"/>
  <c r="C1544" i="5" s="1"/>
  <c r="A1545" i="5"/>
  <c r="E1541" i="5" l="1"/>
  <c r="D1542" i="5"/>
  <c r="A1546" i="5"/>
  <c r="B1545" i="5" a="1"/>
  <c r="B1545" i="5" s="1"/>
  <c r="C1545" i="5" a="1"/>
  <c r="C1545" i="5" s="1"/>
  <c r="E1542" i="5" l="1"/>
  <c r="D1543" i="5"/>
  <c r="B1546" i="5" a="1"/>
  <c r="B1546" i="5" s="1"/>
  <c r="C1546" i="5" a="1"/>
  <c r="C1546" i="5" s="1"/>
  <c r="A1547" i="5"/>
  <c r="E1543" i="5" l="1"/>
  <c r="D1544" i="5"/>
  <c r="B1547" i="5" a="1"/>
  <c r="B1547" i="5" s="1"/>
  <c r="C1547" i="5" a="1"/>
  <c r="C1547" i="5" s="1"/>
  <c r="A1548" i="5"/>
  <c r="E1544" i="5" l="1"/>
  <c r="D1545" i="5"/>
  <c r="C1548" i="5" a="1"/>
  <c r="C1548" i="5" s="1"/>
  <c r="A1549" i="5"/>
  <c r="B1548" i="5" a="1"/>
  <c r="B1548" i="5" s="1"/>
  <c r="E1545" i="5" l="1"/>
  <c r="D1546" i="5"/>
  <c r="C1549" i="5" a="1"/>
  <c r="C1549" i="5" s="1"/>
  <c r="B1549" i="5" a="1"/>
  <c r="B1549" i="5" s="1"/>
  <c r="A1550" i="5"/>
  <c r="E1546" i="5" l="1"/>
  <c r="D1547" i="5"/>
  <c r="A1551" i="5"/>
  <c r="B1550" i="5" a="1"/>
  <c r="B1550" i="5" s="1"/>
  <c r="C1550" i="5" a="1"/>
  <c r="C1550" i="5" s="1"/>
  <c r="E1547" i="5" l="1"/>
  <c r="D1548" i="5"/>
  <c r="B1551" i="5" a="1"/>
  <c r="B1551" i="5" s="1"/>
  <c r="A1552" i="5"/>
  <c r="C1551" i="5" a="1"/>
  <c r="C1551" i="5" s="1"/>
  <c r="E1548" i="5" l="1"/>
  <c r="D1549" i="5"/>
  <c r="B1552" i="5" a="1"/>
  <c r="B1552" i="5" s="1"/>
  <c r="C1552" i="5" a="1"/>
  <c r="C1552" i="5" s="1"/>
  <c r="A1553" i="5"/>
  <c r="E1549" i="5" l="1"/>
  <c r="D1550" i="5"/>
  <c r="B1553" i="5" a="1"/>
  <c r="B1553" i="5" s="1"/>
  <c r="C1553" i="5" a="1"/>
  <c r="C1553" i="5" s="1"/>
  <c r="A1554" i="5"/>
  <c r="E1550" i="5" l="1"/>
  <c r="D1551" i="5"/>
  <c r="B1554" i="5" a="1"/>
  <c r="B1554" i="5" s="1"/>
  <c r="C1554" i="5" a="1"/>
  <c r="C1554" i="5" s="1"/>
  <c r="A1555" i="5"/>
  <c r="E1551" i="5" l="1"/>
  <c r="D1552" i="5"/>
  <c r="B1555" i="5" a="1"/>
  <c r="B1555" i="5" s="1"/>
  <c r="C1555" i="5" a="1"/>
  <c r="C1555" i="5" s="1"/>
  <c r="A1556" i="5"/>
  <c r="E1552" i="5" l="1"/>
  <c r="D1553" i="5"/>
  <c r="C1556" i="5" a="1"/>
  <c r="C1556" i="5" s="1"/>
  <c r="A1557" i="5"/>
  <c r="B1556" i="5" a="1"/>
  <c r="B1556" i="5" s="1"/>
  <c r="E1553" i="5" l="1"/>
  <c r="D1554" i="5"/>
  <c r="B1557" i="5" a="1"/>
  <c r="B1557" i="5" s="1"/>
  <c r="C1557" i="5" a="1"/>
  <c r="C1557" i="5" s="1"/>
  <c r="A1558" i="5"/>
  <c r="E1554" i="5" l="1"/>
  <c r="D1555" i="5"/>
  <c r="A1559" i="5"/>
  <c r="B1558" i="5" a="1"/>
  <c r="B1558" i="5" s="1"/>
  <c r="C1558" i="5" a="1"/>
  <c r="C1558" i="5" s="1"/>
  <c r="E1555" i="5" l="1"/>
  <c r="D1556" i="5"/>
  <c r="B1559" i="5" a="1"/>
  <c r="B1559" i="5" s="1"/>
  <c r="C1559" i="5" a="1"/>
  <c r="C1559" i="5" s="1"/>
  <c r="A1560" i="5"/>
  <c r="E1556" i="5" l="1"/>
  <c r="D1557" i="5"/>
  <c r="A1561" i="5"/>
  <c r="B1560" i="5" a="1"/>
  <c r="B1560" i="5" s="1"/>
  <c r="C1560" i="5" a="1"/>
  <c r="C1560" i="5" s="1"/>
  <c r="E1557" i="5" l="1"/>
  <c r="D1558" i="5"/>
  <c r="B1561" i="5" a="1"/>
  <c r="B1561" i="5" s="1"/>
  <c r="C1561" i="5" a="1"/>
  <c r="C1561" i="5" s="1"/>
  <c r="A1562" i="5"/>
  <c r="E1558" i="5" l="1"/>
  <c r="D1559" i="5"/>
  <c r="B1562" i="5" a="1"/>
  <c r="B1562" i="5" s="1"/>
  <c r="C1562" i="5" a="1"/>
  <c r="C1562" i="5" s="1"/>
  <c r="A1563" i="5"/>
  <c r="E1559" i="5" l="1"/>
  <c r="D1560" i="5"/>
  <c r="C1563" i="5" a="1"/>
  <c r="C1563" i="5" s="1"/>
  <c r="A1564" i="5"/>
  <c r="B1563" i="5" a="1"/>
  <c r="B1563" i="5" s="1"/>
  <c r="E1560" i="5" l="1"/>
  <c r="D1561" i="5"/>
  <c r="B1564" i="5" a="1"/>
  <c r="B1564" i="5" s="1"/>
  <c r="C1564" i="5" a="1"/>
  <c r="C1564" i="5" s="1"/>
  <c r="A1565" i="5"/>
  <c r="E1561" i="5" l="1"/>
  <c r="D1562" i="5"/>
  <c r="A1566" i="5"/>
  <c r="B1565" i="5" a="1"/>
  <c r="B1565" i="5" s="1"/>
  <c r="C1565" i="5" a="1"/>
  <c r="C1565" i="5" s="1"/>
  <c r="E1562" i="5" l="1"/>
  <c r="D1563" i="5"/>
  <c r="B1566" i="5" a="1"/>
  <c r="B1566" i="5" s="1"/>
  <c r="C1566" i="5" a="1"/>
  <c r="C1566" i="5" s="1"/>
  <c r="A1567" i="5"/>
  <c r="E1563" i="5" l="1"/>
  <c r="D1564" i="5"/>
  <c r="A1568" i="5"/>
  <c r="B1567" i="5" a="1"/>
  <c r="B1567" i="5" s="1"/>
  <c r="C1567" i="5" a="1"/>
  <c r="C1567" i="5" s="1"/>
  <c r="E1564" i="5" l="1"/>
  <c r="D1565" i="5"/>
  <c r="B1568" i="5" a="1"/>
  <c r="B1568" i="5" s="1"/>
  <c r="C1568" i="5" a="1"/>
  <c r="C1568" i="5" s="1"/>
  <c r="A1569" i="5"/>
  <c r="E1565" i="5" l="1"/>
  <c r="D1566" i="5"/>
  <c r="B1569" i="5" a="1"/>
  <c r="B1569" i="5" s="1"/>
  <c r="C1569" i="5" a="1"/>
  <c r="C1569" i="5" s="1"/>
  <c r="A1570" i="5"/>
  <c r="E1566" i="5" l="1"/>
  <c r="D1567" i="5"/>
  <c r="B1570" i="5" a="1"/>
  <c r="B1570" i="5" s="1"/>
  <c r="C1570" i="5" a="1"/>
  <c r="C1570" i="5" s="1"/>
  <c r="A1571" i="5"/>
  <c r="E1567" i="5" l="1"/>
  <c r="D1568" i="5"/>
  <c r="B1571" i="5" a="1"/>
  <c r="B1571" i="5" s="1"/>
  <c r="C1571" i="5" a="1"/>
  <c r="C1571" i="5" s="1"/>
  <c r="A1572" i="5"/>
  <c r="E1568" i="5" l="1"/>
  <c r="D1569" i="5"/>
  <c r="C1572" i="5" a="1"/>
  <c r="C1572" i="5" s="1"/>
  <c r="A1573" i="5"/>
  <c r="B1572" i="5" a="1"/>
  <c r="B1572" i="5" s="1"/>
  <c r="E1569" i="5" l="1"/>
  <c r="D1570" i="5"/>
  <c r="B1573" i="5" a="1"/>
  <c r="B1573" i="5" s="1"/>
  <c r="C1573" i="5" a="1"/>
  <c r="C1573" i="5" s="1"/>
  <c r="A1574" i="5"/>
  <c r="E1570" i="5" l="1"/>
  <c r="D1571" i="5"/>
  <c r="A1575" i="5"/>
  <c r="B1574" i="5" a="1"/>
  <c r="B1574" i="5" s="1"/>
  <c r="C1574" i="5" a="1"/>
  <c r="C1574" i="5" s="1"/>
  <c r="E1571" i="5" l="1"/>
  <c r="D1572" i="5"/>
  <c r="B1575" i="5" a="1"/>
  <c r="B1575" i="5" s="1"/>
  <c r="C1575" i="5" a="1"/>
  <c r="C1575" i="5" s="1"/>
  <c r="A1576" i="5"/>
  <c r="E1572" i="5" l="1"/>
  <c r="D1573" i="5"/>
  <c r="A1577" i="5"/>
  <c r="B1576" i="5" a="1"/>
  <c r="B1576" i="5" s="1"/>
  <c r="C1576" i="5" a="1"/>
  <c r="C1576" i="5" s="1"/>
  <c r="E1573" i="5" l="1"/>
  <c r="D1574" i="5"/>
  <c r="B1577" i="5" a="1"/>
  <c r="B1577" i="5" s="1"/>
  <c r="C1577" i="5" a="1"/>
  <c r="C1577" i="5" s="1"/>
  <c r="A1578" i="5"/>
  <c r="E1574" i="5" l="1"/>
  <c r="D1575" i="5"/>
  <c r="B1578" i="5" a="1"/>
  <c r="B1578" i="5" s="1"/>
  <c r="C1578" i="5" a="1"/>
  <c r="C1578" i="5" s="1"/>
  <c r="A1579" i="5"/>
  <c r="E1575" i="5" l="1"/>
  <c r="D1576" i="5"/>
  <c r="C1579" i="5" a="1"/>
  <c r="C1579" i="5" s="1"/>
  <c r="A1580" i="5"/>
  <c r="B1579" i="5" a="1"/>
  <c r="B1579" i="5" s="1"/>
  <c r="E1576" i="5" l="1"/>
  <c r="D1577" i="5"/>
  <c r="B1580" i="5" a="1"/>
  <c r="B1580" i="5" s="1"/>
  <c r="C1580" i="5" a="1"/>
  <c r="C1580" i="5" s="1"/>
  <c r="A1581" i="5"/>
  <c r="E1577" i="5" l="1"/>
  <c r="D1578" i="5"/>
  <c r="A1582" i="5"/>
  <c r="B1581" i="5" a="1"/>
  <c r="B1581" i="5" s="1"/>
  <c r="C1581" i="5" a="1"/>
  <c r="C1581" i="5" s="1"/>
  <c r="E1578" i="5" l="1"/>
  <c r="D1579" i="5"/>
  <c r="B1582" i="5" a="1"/>
  <c r="B1582" i="5" s="1"/>
  <c r="C1582" i="5" a="1"/>
  <c r="C1582" i="5" s="1"/>
  <c r="A1583" i="5"/>
  <c r="E1579" i="5" l="1"/>
  <c r="D1580" i="5"/>
  <c r="A1584" i="5"/>
  <c r="B1583" i="5" a="1"/>
  <c r="B1583" i="5" s="1"/>
  <c r="C1583" i="5" a="1"/>
  <c r="C1583" i="5" s="1"/>
  <c r="E1580" i="5" l="1"/>
  <c r="D1581" i="5"/>
  <c r="B1584" i="5" a="1"/>
  <c r="B1584" i="5" s="1"/>
  <c r="C1584" i="5" a="1"/>
  <c r="C1584" i="5" s="1"/>
  <c r="A1585" i="5"/>
  <c r="E1581" i="5" l="1"/>
  <c r="D1582" i="5"/>
  <c r="B1585" i="5" a="1"/>
  <c r="B1585" i="5" s="1"/>
  <c r="C1585" i="5" a="1"/>
  <c r="C1585" i="5" s="1"/>
  <c r="A1586" i="5"/>
  <c r="E1582" i="5" l="1"/>
  <c r="D1583" i="5"/>
  <c r="B1586" i="5" a="1"/>
  <c r="B1586" i="5" s="1"/>
  <c r="C1586" i="5" a="1"/>
  <c r="C1586" i="5" s="1"/>
  <c r="A1587" i="5"/>
  <c r="E1583" i="5" l="1"/>
  <c r="D1584" i="5"/>
  <c r="B1587" i="5" a="1"/>
  <c r="B1587" i="5" s="1"/>
  <c r="C1587" i="5" a="1"/>
  <c r="C1587" i="5" s="1"/>
  <c r="A1588" i="5"/>
  <c r="E1584" i="5" l="1"/>
  <c r="D1585" i="5"/>
  <c r="C1588" i="5" a="1"/>
  <c r="C1588" i="5" s="1"/>
  <c r="A1589" i="5"/>
  <c r="B1588" i="5" a="1"/>
  <c r="B1588" i="5" s="1"/>
  <c r="E1585" i="5" l="1"/>
  <c r="D1586" i="5"/>
  <c r="B1589" i="5" a="1"/>
  <c r="B1589" i="5" s="1"/>
  <c r="C1589" i="5" a="1"/>
  <c r="C1589" i="5" s="1"/>
  <c r="A1590" i="5"/>
  <c r="E1586" i="5" l="1"/>
  <c r="D1587" i="5"/>
  <c r="A1591" i="5"/>
  <c r="B1590" i="5" a="1"/>
  <c r="B1590" i="5" s="1"/>
  <c r="C1590" i="5" a="1"/>
  <c r="C1590" i="5" s="1"/>
  <c r="E1587" i="5" l="1"/>
  <c r="D1588" i="5"/>
  <c r="B1591" i="5" a="1"/>
  <c r="B1591" i="5" s="1"/>
  <c r="C1591" i="5" a="1"/>
  <c r="C1591" i="5" s="1"/>
  <c r="A1592" i="5"/>
  <c r="E1588" i="5" l="1"/>
  <c r="D1589" i="5"/>
  <c r="A1593" i="5"/>
  <c r="B1592" i="5" a="1"/>
  <c r="B1592" i="5" s="1"/>
  <c r="C1592" i="5" a="1"/>
  <c r="C1592" i="5" s="1"/>
  <c r="E1589" i="5" l="1"/>
  <c r="D1590" i="5"/>
  <c r="B1593" i="5" a="1"/>
  <c r="B1593" i="5" s="1"/>
  <c r="C1593" i="5" a="1"/>
  <c r="C1593" i="5" s="1"/>
  <c r="A1594" i="5"/>
  <c r="E1590" i="5" l="1"/>
  <c r="D1591" i="5"/>
  <c r="B1594" i="5" a="1"/>
  <c r="B1594" i="5" s="1"/>
  <c r="C1594" i="5" a="1"/>
  <c r="C1594" i="5" s="1"/>
  <c r="A1595" i="5"/>
  <c r="E1591" i="5" l="1"/>
  <c r="D1592" i="5"/>
  <c r="C1595" i="5" a="1"/>
  <c r="C1595" i="5" s="1"/>
  <c r="A1596" i="5"/>
  <c r="B1595" i="5" a="1"/>
  <c r="B1595" i="5" s="1"/>
  <c r="E1592" i="5" l="1"/>
  <c r="D1593" i="5"/>
  <c r="B1596" i="5" a="1"/>
  <c r="B1596" i="5" s="1"/>
  <c r="C1596" i="5" a="1"/>
  <c r="C1596" i="5" s="1"/>
  <c r="A1597" i="5"/>
  <c r="E1593" i="5" l="1"/>
  <c r="D1594" i="5"/>
  <c r="A1598" i="5"/>
  <c r="B1597" i="5" a="1"/>
  <c r="B1597" i="5" s="1"/>
  <c r="C1597" i="5" a="1"/>
  <c r="C1597" i="5" s="1"/>
  <c r="E1594" i="5" l="1"/>
  <c r="D1595" i="5"/>
  <c r="B1598" i="5" a="1"/>
  <c r="B1598" i="5" s="1"/>
  <c r="C1598" i="5" a="1"/>
  <c r="C1598" i="5" s="1"/>
  <c r="A1599" i="5"/>
  <c r="E1595" i="5" l="1"/>
  <c r="D1596" i="5"/>
  <c r="A1600" i="5"/>
  <c r="B1599" i="5" a="1"/>
  <c r="B1599" i="5" s="1"/>
  <c r="C1599" i="5" a="1"/>
  <c r="C1599" i="5" s="1"/>
  <c r="E1596" i="5" l="1"/>
  <c r="D1597" i="5"/>
  <c r="B1600" i="5" a="1"/>
  <c r="B1600" i="5" s="1"/>
  <c r="C1600" i="5" a="1"/>
  <c r="C1600" i="5" s="1"/>
  <c r="A1601" i="5"/>
  <c r="E1597" i="5" l="1"/>
  <c r="D1598" i="5"/>
  <c r="B1601" i="5" a="1"/>
  <c r="B1601" i="5" s="1"/>
  <c r="C1601" i="5" a="1"/>
  <c r="C1601" i="5" s="1"/>
  <c r="A1602" i="5"/>
  <c r="E1598" i="5" l="1"/>
  <c r="D1599" i="5"/>
  <c r="B1602" i="5" a="1"/>
  <c r="B1602" i="5" s="1"/>
  <c r="C1602" i="5" a="1"/>
  <c r="C1602" i="5" s="1"/>
  <c r="A1603" i="5"/>
  <c r="E1599" i="5" l="1"/>
  <c r="D1600" i="5"/>
  <c r="B1603" i="5" a="1"/>
  <c r="B1603" i="5" s="1"/>
  <c r="C1603" i="5" a="1"/>
  <c r="C1603" i="5" s="1"/>
  <c r="A1604" i="5"/>
  <c r="E1600" i="5" l="1"/>
  <c r="D1601" i="5"/>
  <c r="C1604" i="5" a="1"/>
  <c r="C1604" i="5" s="1"/>
  <c r="A1605" i="5"/>
  <c r="B1604" i="5" a="1"/>
  <c r="B1604" i="5" s="1"/>
  <c r="E1601" i="5" l="1"/>
  <c r="D1602" i="5"/>
  <c r="B1605" i="5" a="1"/>
  <c r="B1605" i="5" s="1"/>
  <c r="C1605" i="5" a="1"/>
  <c r="C1605" i="5" s="1"/>
  <c r="A1606" i="5"/>
  <c r="E1602" i="5" l="1"/>
  <c r="D1603" i="5"/>
  <c r="A1607" i="5"/>
  <c r="B1606" i="5" a="1"/>
  <c r="B1606" i="5" s="1"/>
  <c r="C1606" i="5" a="1"/>
  <c r="C1606" i="5" s="1"/>
  <c r="E1603" i="5" l="1"/>
  <c r="D1604" i="5"/>
  <c r="B1607" i="5" a="1"/>
  <c r="B1607" i="5" s="1"/>
  <c r="C1607" i="5" a="1"/>
  <c r="C1607" i="5" s="1"/>
  <c r="A1608" i="5"/>
  <c r="E1604" i="5" l="1"/>
  <c r="D1605" i="5"/>
  <c r="A1609" i="5"/>
  <c r="B1608" i="5" a="1"/>
  <c r="B1608" i="5" s="1"/>
  <c r="C1608" i="5" a="1"/>
  <c r="C1608" i="5" s="1"/>
  <c r="E1605" i="5" l="1"/>
  <c r="D1606" i="5"/>
  <c r="B1609" i="5" a="1"/>
  <c r="B1609" i="5" s="1"/>
  <c r="C1609" i="5" a="1"/>
  <c r="C1609" i="5" s="1"/>
  <c r="A1610" i="5"/>
  <c r="E1606" i="5" l="1"/>
  <c r="D1607" i="5"/>
  <c r="B1610" i="5" a="1"/>
  <c r="B1610" i="5" s="1"/>
  <c r="C1610" i="5" a="1"/>
  <c r="C1610" i="5" s="1"/>
  <c r="A1611" i="5"/>
  <c r="E1607" i="5" l="1"/>
  <c r="D1608" i="5"/>
  <c r="C1611" i="5" a="1"/>
  <c r="C1611" i="5" s="1"/>
  <c r="A1612" i="5"/>
  <c r="B1611" i="5" a="1"/>
  <c r="B1611" i="5" s="1"/>
  <c r="E1608" i="5" l="1"/>
  <c r="D1609" i="5"/>
  <c r="B1612" i="5" a="1"/>
  <c r="B1612" i="5" s="1"/>
  <c r="C1612" i="5" a="1"/>
  <c r="C1612" i="5" s="1"/>
  <c r="A1613" i="5"/>
  <c r="E1609" i="5" l="1"/>
  <c r="D1610" i="5"/>
  <c r="A1614" i="5"/>
  <c r="B1613" i="5" a="1"/>
  <c r="B1613" i="5" s="1"/>
  <c r="C1613" i="5" a="1"/>
  <c r="C1613" i="5" s="1"/>
  <c r="E1610" i="5" l="1"/>
  <c r="D1611" i="5"/>
  <c r="B1614" i="5" a="1"/>
  <c r="B1614" i="5" s="1"/>
  <c r="C1614" i="5" a="1"/>
  <c r="C1614" i="5" s="1"/>
  <c r="A1615" i="5"/>
  <c r="E1611" i="5" l="1"/>
  <c r="D1612" i="5"/>
  <c r="A1616" i="5"/>
  <c r="B1615" i="5" a="1"/>
  <c r="B1615" i="5" s="1"/>
  <c r="C1615" i="5" a="1"/>
  <c r="C1615" i="5" s="1"/>
  <c r="E1612" i="5" l="1"/>
  <c r="D1613" i="5"/>
  <c r="B1616" i="5" a="1"/>
  <c r="B1616" i="5" s="1"/>
  <c r="C1616" i="5" a="1"/>
  <c r="C1616" i="5" s="1"/>
  <c r="A1617" i="5"/>
  <c r="E1613" i="5" l="1"/>
  <c r="D1614" i="5"/>
  <c r="B1617" i="5" a="1"/>
  <c r="B1617" i="5" s="1"/>
  <c r="C1617" i="5" a="1"/>
  <c r="C1617" i="5" s="1"/>
  <c r="A1618" i="5"/>
  <c r="E1614" i="5" l="1"/>
  <c r="D1615" i="5"/>
  <c r="B1618" i="5" a="1"/>
  <c r="B1618" i="5" s="1"/>
  <c r="C1618" i="5" a="1"/>
  <c r="C1618" i="5" s="1"/>
  <c r="A1619" i="5"/>
  <c r="E1615" i="5" l="1"/>
  <c r="D1616" i="5"/>
  <c r="B1619" i="5" a="1"/>
  <c r="B1619" i="5" s="1"/>
  <c r="C1619" i="5" a="1"/>
  <c r="C1619" i="5" s="1"/>
  <c r="A1620" i="5"/>
  <c r="E1616" i="5" l="1"/>
  <c r="D1617" i="5"/>
  <c r="C1620" i="5" a="1"/>
  <c r="C1620" i="5" s="1"/>
  <c r="A1621" i="5"/>
  <c r="B1620" i="5" a="1"/>
  <c r="B1620" i="5" s="1"/>
  <c r="E1617" i="5" l="1"/>
  <c r="D1618" i="5"/>
  <c r="B1621" i="5" a="1"/>
  <c r="B1621" i="5" s="1"/>
  <c r="C1621" i="5" a="1"/>
  <c r="C1621" i="5" s="1"/>
  <c r="A1622" i="5"/>
  <c r="E1618" i="5" l="1"/>
  <c r="D1619" i="5"/>
  <c r="A1623" i="5"/>
  <c r="B1622" i="5" a="1"/>
  <c r="B1622" i="5" s="1"/>
  <c r="C1622" i="5" a="1"/>
  <c r="C1622" i="5" s="1"/>
  <c r="E1619" i="5" l="1"/>
  <c r="D1620" i="5"/>
  <c r="B1623" i="5" a="1"/>
  <c r="B1623" i="5" s="1"/>
  <c r="C1623" i="5" a="1"/>
  <c r="C1623" i="5" s="1"/>
  <c r="A1624" i="5"/>
  <c r="E1620" i="5" l="1"/>
  <c r="D1621" i="5"/>
  <c r="A1625" i="5"/>
  <c r="B1624" i="5" a="1"/>
  <c r="B1624" i="5" s="1"/>
  <c r="C1624" i="5" a="1"/>
  <c r="C1624" i="5" s="1"/>
  <c r="E1621" i="5" l="1"/>
  <c r="D1622" i="5"/>
  <c r="B1625" i="5" a="1"/>
  <c r="B1625" i="5" s="1"/>
  <c r="C1625" i="5" a="1"/>
  <c r="C1625" i="5" s="1"/>
  <c r="A1626" i="5"/>
  <c r="E1622" i="5" l="1"/>
  <c r="D1623" i="5"/>
  <c r="B1626" i="5" a="1"/>
  <c r="B1626" i="5" s="1"/>
  <c r="C1626" i="5" a="1"/>
  <c r="C1626" i="5" s="1"/>
  <c r="A1627" i="5"/>
  <c r="E1623" i="5" l="1"/>
  <c r="D1624" i="5"/>
  <c r="C1627" i="5" a="1"/>
  <c r="C1627" i="5" s="1"/>
  <c r="A1628" i="5"/>
  <c r="B1627" i="5" a="1"/>
  <c r="B1627" i="5" s="1"/>
  <c r="E1624" i="5" l="1"/>
  <c r="D1625" i="5"/>
  <c r="B1628" i="5" a="1"/>
  <c r="B1628" i="5" s="1"/>
  <c r="C1628" i="5" a="1"/>
  <c r="C1628" i="5" s="1"/>
  <c r="A1629" i="5"/>
  <c r="E1625" i="5" l="1"/>
  <c r="D1626" i="5"/>
  <c r="A1630" i="5"/>
  <c r="B1629" i="5" a="1"/>
  <c r="B1629" i="5" s="1"/>
  <c r="C1629" i="5" a="1"/>
  <c r="C1629" i="5" s="1"/>
  <c r="E1626" i="5" l="1"/>
  <c r="D1627" i="5"/>
  <c r="B1630" i="5" a="1"/>
  <c r="B1630" i="5" s="1"/>
  <c r="C1630" i="5" a="1"/>
  <c r="C1630" i="5" s="1"/>
  <c r="A1631" i="5"/>
  <c r="E1627" i="5" l="1"/>
  <c r="D1628" i="5"/>
  <c r="A1632" i="5"/>
  <c r="B1631" i="5" a="1"/>
  <c r="B1631" i="5" s="1"/>
  <c r="C1631" i="5" a="1"/>
  <c r="C1631" i="5" s="1"/>
  <c r="E1628" i="5" l="1"/>
  <c r="D1629" i="5"/>
  <c r="B1632" i="5" a="1"/>
  <c r="B1632" i="5" s="1"/>
  <c r="C1632" i="5" a="1"/>
  <c r="C1632" i="5" s="1"/>
  <c r="A1633" i="5"/>
  <c r="E1629" i="5" l="1"/>
  <c r="D1630" i="5"/>
  <c r="B1633" i="5" a="1"/>
  <c r="B1633" i="5" s="1"/>
  <c r="C1633" i="5" a="1"/>
  <c r="C1633" i="5" s="1"/>
  <c r="A1634" i="5"/>
  <c r="E1630" i="5" l="1"/>
  <c r="D1631" i="5"/>
  <c r="B1634" i="5" a="1"/>
  <c r="B1634" i="5" s="1"/>
  <c r="C1634" i="5" a="1"/>
  <c r="C1634" i="5" s="1"/>
  <c r="A1635" i="5"/>
  <c r="E1631" i="5" l="1"/>
  <c r="D1632" i="5"/>
  <c r="B1635" i="5" a="1"/>
  <c r="B1635" i="5" s="1"/>
  <c r="C1635" i="5" a="1"/>
  <c r="C1635" i="5" s="1"/>
  <c r="A1636" i="5"/>
  <c r="E1632" i="5" l="1"/>
  <c r="D1633" i="5"/>
  <c r="C1636" i="5" a="1"/>
  <c r="C1636" i="5" s="1"/>
  <c r="A1637" i="5"/>
  <c r="B1636" i="5" a="1"/>
  <c r="B1636" i="5" s="1"/>
  <c r="E1633" i="5" l="1"/>
  <c r="D1634" i="5"/>
  <c r="B1637" i="5" a="1"/>
  <c r="B1637" i="5" s="1"/>
  <c r="C1637" i="5" a="1"/>
  <c r="C1637" i="5" s="1"/>
  <c r="A1638" i="5"/>
  <c r="E1634" i="5" l="1"/>
  <c r="D1635" i="5"/>
  <c r="A1639" i="5"/>
  <c r="B1638" i="5" a="1"/>
  <c r="B1638" i="5" s="1"/>
  <c r="C1638" i="5" a="1"/>
  <c r="C1638" i="5" s="1"/>
  <c r="E1635" i="5" l="1"/>
  <c r="D1636" i="5"/>
  <c r="B1639" i="5" a="1"/>
  <c r="B1639" i="5" s="1"/>
  <c r="C1639" i="5" a="1"/>
  <c r="C1639" i="5" s="1"/>
  <c r="A1640" i="5"/>
  <c r="E1636" i="5" l="1"/>
  <c r="D1637" i="5"/>
  <c r="A1641" i="5"/>
  <c r="B1640" i="5" a="1"/>
  <c r="B1640" i="5" s="1"/>
  <c r="C1640" i="5" a="1"/>
  <c r="C1640" i="5" s="1"/>
  <c r="E1637" i="5" l="1"/>
  <c r="D1638" i="5"/>
  <c r="B1641" i="5" a="1"/>
  <c r="B1641" i="5" s="1"/>
  <c r="C1641" i="5" a="1"/>
  <c r="C1641" i="5" s="1"/>
  <c r="A1642" i="5"/>
  <c r="E1638" i="5" l="1"/>
  <c r="D1639" i="5"/>
  <c r="B1642" i="5" a="1"/>
  <c r="B1642" i="5" s="1"/>
  <c r="C1642" i="5" a="1"/>
  <c r="C1642" i="5" s="1"/>
  <c r="A1643" i="5"/>
  <c r="E1639" i="5" l="1"/>
  <c r="D1640" i="5"/>
  <c r="C1643" i="5" a="1"/>
  <c r="C1643" i="5" s="1"/>
  <c r="A1644" i="5"/>
  <c r="B1643" i="5" a="1"/>
  <c r="B1643" i="5" s="1"/>
  <c r="E1640" i="5" l="1"/>
  <c r="D1641" i="5"/>
  <c r="B1644" i="5" a="1"/>
  <c r="B1644" i="5" s="1"/>
  <c r="C1644" i="5" a="1"/>
  <c r="C1644" i="5" s="1"/>
  <c r="A1645" i="5"/>
  <c r="E1641" i="5" l="1"/>
  <c r="D1642" i="5"/>
  <c r="A1646" i="5"/>
  <c r="B1645" i="5" a="1"/>
  <c r="B1645" i="5" s="1"/>
  <c r="C1645" i="5" a="1"/>
  <c r="C1645" i="5" s="1"/>
  <c r="E1642" i="5" l="1"/>
  <c r="D1643" i="5"/>
  <c r="B1646" i="5" a="1"/>
  <c r="B1646" i="5" s="1"/>
  <c r="C1646" i="5" a="1"/>
  <c r="C1646" i="5" s="1"/>
  <c r="A1647" i="5"/>
  <c r="E1643" i="5" l="1"/>
  <c r="D1644" i="5"/>
  <c r="A1648" i="5"/>
  <c r="B1647" i="5" a="1"/>
  <c r="B1647" i="5" s="1"/>
  <c r="C1647" i="5" a="1"/>
  <c r="C1647" i="5" s="1"/>
  <c r="E1644" i="5" l="1"/>
  <c r="D1645" i="5"/>
  <c r="B1648" i="5" a="1"/>
  <c r="B1648" i="5" s="1"/>
  <c r="C1648" i="5" a="1"/>
  <c r="C1648" i="5" s="1"/>
  <c r="A1649" i="5"/>
  <c r="E1645" i="5" l="1"/>
  <c r="D1646" i="5"/>
  <c r="B1649" i="5" a="1"/>
  <c r="B1649" i="5" s="1"/>
  <c r="C1649" i="5" a="1"/>
  <c r="C1649" i="5" s="1"/>
  <c r="A1650" i="5"/>
  <c r="E1646" i="5" l="1"/>
  <c r="D1647" i="5"/>
  <c r="B1650" i="5" a="1"/>
  <c r="B1650" i="5" s="1"/>
  <c r="C1650" i="5" a="1"/>
  <c r="C1650" i="5" s="1"/>
  <c r="A1651" i="5"/>
  <c r="E1647" i="5" l="1"/>
  <c r="D1648" i="5"/>
  <c r="B1651" i="5" a="1"/>
  <c r="B1651" i="5" s="1"/>
  <c r="C1651" i="5" a="1"/>
  <c r="C1651" i="5" s="1"/>
  <c r="A1652" i="5"/>
  <c r="E1648" i="5" l="1"/>
  <c r="D1649" i="5"/>
  <c r="C1652" i="5" a="1"/>
  <c r="C1652" i="5" s="1"/>
  <c r="A1653" i="5"/>
  <c r="B1652" i="5" a="1"/>
  <c r="B1652" i="5" s="1"/>
  <c r="E1649" i="5" l="1"/>
  <c r="D1650" i="5"/>
  <c r="B1653" i="5" a="1"/>
  <c r="B1653" i="5" s="1"/>
  <c r="C1653" i="5" a="1"/>
  <c r="C1653" i="5" s="1"/>
  <c r="A1654" i="5"/>
  <c r="E1650" i="5" l="1"/>
  <c r="D1651" i="5"/>
  <c r="A1655" i="5"/>
  <c r="B1654" i="5" a="1"/>
  <c r="B1654" i="5" s="1"/>
  <c r="C1654" i="5" a="1"/>
  <c r="C1654" i="5" s="1"/>
  <c r="E1651" i="5" l="1"/>
  <c r="D1652" i="5"/>
  <c r="B1655" i="5" a="1"/>
  <c r="B1655" i="5" s="1"/>
  <c r="C1655" i="5" a="1"/>
  <c r="C1655" i="5" s="1"/>
  <c r="A1656" i="5"/>
  <c r="E1652" i="5" l="1"/>
  <c r="D1653" i="5"/>
  <c r="A1657" i="5"/>
  <c r="B1656" i="5" a="1"/>
  <c r="B1656" i="5" s="1"/>
  <c r="C1656" i="5" a="1"/>
  <c r="C1656" i="5" s="1"/>
  <c r="E1653" i="5" l="1"/>
  <c r="D1654" i="5"/>
  <c r="B1657" i="5" a="1"/>
  <c r="B1657" i="5" s="1"/>
  <c r="C1657" i="5" a="1"/>
  <c r="C1657" i="5" s="1"/>
  <c r="A1658" i="5"/>
  <c r="E1654" i="5" l="1"/>
  <c r="D1655" i="5"/>
  <c r="B1658" i="5" a="1"/>
  <c r="B1658" i="5" s="1"/>
  <c r="C1658" i="5" a="1"/>
  <c r="C1658" i="5" s="1"/>
  <c r="A1659" i="5"/>
  <c r="E1655" i="5" l="1"/>
  <c r="D1656" i="5"/>
  <c r="C1659" i="5" a="1"/>
  <c r="C1659" i="5" s="1"/>
  <c r="A1660" i="5"/>
  <c r="B1659" i="5" a="1"/>
  <c r="B1659" i="5" s="1"/>
  <c r="E1656" i="5" l="1"/>
  <c r="D1657" i="5"/>
  <c r="B1660" i="5" a="1"/>
  <c r="B1660" i="5" s="1"/>
  <c r="C1660" i="5" a="1"/>
  <c r="C1660" i="5" s="1"/>
  <c r="A1661" i="5"/>
  <c r="E1657" i="5" l="1"/>
  <c r="D1658" i="5"/>
  <c r="A1662" i="5"/>
  <c r="B1661" i="5" a="1"/>
  <c r="B1661" i="5" s="1"/>
  <c r="C1661" i="5" a="1"/>
  <c r="C1661" i="5" s="1"/>
  <c r="E1658" i="5" l="1"/>
  <c r="D1659" i="5"/>
  <c r="B1662" i="5" a="1"/>
  <c r="B1662" i="5" s="1"/>
  <c r="C1662" i="5" a="1"/>
  <c r="C1662" i="5" s="1"/>
  <c r="A1663" i="5"/>
  <c r="E1659" i="5" l="1"/>
  <c r="D1660" i="5"/>
  <c r="A1664" i="5"/>
  <c r="B1663" i="5" a="1"/>
  <c r="B1663" i="5" s="1"/>
  <c r="C1663" i="5" a="1"/>
  <c r="C1663" i="5" s="1"/>
  <c r="E1660" i="5" l="1"/>
  <c r="D1661" i="5"/>
  <c r="B1664" i="5" a="1"/>
  <c r="B1664" i="5" s="1"/>
  <c r="C1664" i="5" a="1"/>
  <c r="C1664" i="5" s="1"/>
  <c r="A1665" i="5"/>
  <c r="E1661" i="5" l="1"/>
  <c r="D1662" i="5"/>
  <c r="B1665" i="5" a="1"/>
  <c r="B1665" i="5" s="1"/>
  <c r="C1665" i="5" a="1"/>
  <c r="C1665" i="5" s="1"/>
  <c r="A1666" i="5"/>
  <c r="E1662" i="5" l="1"/>
  <c r="D1663" i="5"/>
  <c r="B1666" i="5" a="1"/>
  <c r="B1666" i="5" s="1"/>
  <c r="C1666" i="5" a="1"/>
  <c r="C1666" i="5" s="1"/>
  <c r="A1667" i="5"/>
  <c r="E1663" i="5" l="1"/>
  <c r="D1664" i="5"/>
  <c r="B1667" i="5" a="1"/>
  <c r="B1667" i="5" s="1"/>
  <c r="C1667" i="5" a="1"/>
  <c r="C1667" i="5" s="1"/>
  <c r="A1668" i="5"/>
  <c r="E1664" i="5" l="1"/>
  <c r="D1665" i="5"/>
  <c r="C1668" i="5" a="1"/>
  <c r="C1668" i="5" s="1"/>
  <c r="A1669" i="5"/>
  <c r="B1668" i="5" a="1"/>
  <c r="B1668" i="5" s="1"/>
  <c r="E1665" i="5" l="1"/>
  <c r="D1666" i="5"/>
  <c r="B1669" i="5" a="1"/>
  <c r="B1669" i="5" s="1"/>
  <c r="C1669" i="5" a="1"/>
  <c r="C1669" i="5" s="1"/>
  <c r="A1670" i="5"/>
  <c r="E1666" i="5" l="1"/>
  <c r="D1667" i="5"/>
  <c r="A1671" i="5"/>
  <c r="B1670" i="5" a="1"/>
  <c r="B1670" i="5" s="1"/>
  <c r="C1670" i="5" a="1"/>
  <c r="C1670" i="5" s="1"/>
  <c r="E1667" i="5" l="1"/>
  <c r="D1668" i="5"/>
  <c r="B1671" i="5" a="1"/>
  <c r="B1671" i="5" s="1"/>
  <c r="C1671" i="5" a="1"/>
  <c r="C1671" i="5" s="1"/>
  <c r="A1672" i="5"/>
  <c r="E1668" i="5" l="1"/>
  <c r="D1669" i="5"/>
  <c r="A1673" i="5"/>
  <c r="B1672" i="5" a="1"/>
  <c r="B1672" i="5" s="1"/>
  <c r="C1672" i="5" a="1"/>
  <c r="C1672" i="5" s="1"/>
  <c r="E1669" i="5" l="1"/>
  <c r="D1670" i="5"/>
  <c r="B1673" i="5" a="1"/>
  <c r="B1673" i="5" s="1"/>
  <c r="C1673" i="5" a="1"/>
  <c r="C1673" i="5" s="1"/>
  <c r="A1674" i="5"/>
  <c r="E1670" i="5" l="1"/>
  <c r="D1671" i="5"/>
  <c r="B1674" i="5" a="1"/>
  <c r="B1674" i="5" s="1"/>
  <c r="C1674" i="5" a="1"/>
  <c r="C1674" i="5" s="1"/>
  <c r="A1675" i="5"/>
  <c r="E1671" i="5" l="1"/>
  <c r="D1672" i="5"/>
  <c r="C1675" i="5" a="1"/>
  <c r="C1675" i="5" s="1"/>
  <c r="A1676" i="5"/>
  <c r="B1675" i="5" a="1"/>
  <c r="B1675" i="5" s="1"/>
  <c r="E1672" i="5" l="1"/>
  <c r="D1673" i="5"/>
  <c r="B1676" i="5" a="1"/>
  <c r="B1676" i="5" s="1"/>
  <c r="C1676" i="5" a="1"/>
  <c r="C1676" i="5" s="1"/>
  <c r="A1677" i="5"/>
  <c r="E1673" i="5" l="1"/>
  <c r="D1674" i="5"/>
  <c r="A1678" i="5"/>
  <c r="B1677" i="5" a="1"/>
  <c r="B1677" i="5" s="1"/>
  <c r="C1677" i="5" a="1"/>
  <c r="C1677" i="5" s="1"/>
  <c r="E1674" i="5" l="1"/>
  <c r="D1675" i="5"/>
  <c r="B1678" i="5" a="1"/>
  <c r="B1678" i="5" s="1"/>
  <c r="C1678" i="5" a="1"/>
  <c r="C1678" i="5" s="1"/>
  <c r="A1679" i="5"/>
  <c r="E1675" i="5" l="1"/>
  <c r="D1676" i="5"/>
  <c r="A1680" i="5"/>
  <c r="B1679" i="5" a="1"/>
  <c r="B1679" i="5" s="1"/>
  <c r="C1679" i="5" a="1"/>
  <c r="C1679" i="5" s="1"/>
  <c r="E1676" i="5" l="1"/>
  <c r="D1677" i="5"/>
  <c r="B1680" i="5" a="1"/>
  <c r="B1680" i="5" s="1"/>
  <c r="C1680" i="5" a="1"/>
  <c r="C1680" i="5" s="1"/>
  <c r="A1681" i="5"/>
  <c r="E1677" i="5" l="1"/>
  <c r="D1678" i="5"/>
  <c r="B1681" i="5" a="1"/>
  <c r="B1681" i="5" s="1"/>
  <c r="C1681" i="5" a="1"/>
  <c r="C1681" i="5" s="1"/>
  <c r="A1682" i="5"/>
  <c r="E1678" i="5" l="1"/>
  <c r="D1679" i="5"/>
  <c r="B1682" i="5" a="1"/>
  <c r="B1682" i="5" s="1"/>
  <c r="C1682" i="5" a="1"/>
  <c r="C1682" i="5" s="1"/>
  <c r="A1683" i="5"/>
  <c r="E1679" i="5" l="1"/>
  <c r="D1680" i="5"/>
  <c r="B1683" i="5" a="1"/>
  <c r="B1683" i="5" s="1"/>
  <c r="C1683" i="5" a="1"/>
  <c r="C1683" i="5" s="1"/>
  <c r="A1684" i="5"/>
  <c r="E1680" i="5" l="1"/>
  <c r="D1681" i="5"/>
  <c r="C1684" i="5" a="1"/>
  <c r="C1684" i="5" s="1"/>
  <c r="A1685" i="5"/>
  <c r="B1684" i="5" a="1"/>
  <c r="B1684" i="5" s="1"/>
  <c r="E1681" i="5" l="1"/>
  <c r="D1682" i="5"/>
  <c r="B1685" i="5" a="1"/>
  <c r="B1685" i="5" s="1"/>
  <c r="C1685" i="5" a="1"/>
  <c r="C1685" i="5" s="1"/>
  <c r="A1686" i="5"/>
  <c r="E1682" i="5" l="1"/>
  <c r="D1683" i="5"/>
  <c r="A1687" i="5"/>
  <c r="B1686" i="5" a="1"/>
  <c r="B1686" i="5" s="1"/>
  <c r="C1686" i="5" a="1"/>
  <c r="C1686" i="5" s="1"/>
  <c r="E1683" i="5" l="1"/>
  <c r="D1684" i="5"/>
  <c r="B1687" i="5" a="1"/>
  <c r="B1687" i="5" s="1"/>
  <c r="C1687" i="5" a="1"/>
  <c r="C1687" i="5" s="1"/>
  <c r="A1688" i="5"/>
  <c r="E1684" i="5" l="1"/>
  <c r="D1685" i="5"/>
  <c r="A1689" i="5"/>
  <c r="B1688" i="5" a="1"/>
  <c r="B1688" i="5" s="1"/>
  <c r="C1688" i="5" a="1"/>
  <c r="C1688" i="5" s="1"/>
  <c r="E1685" i="5" l="1"/>
  <c r="D1686" i="5"/>
  <c r="B1689" i="5" a="1"/>
  <c r="B1689" i="5" s="1"/>
  <c r="C1689" i="5" a="1"/>
  <c r="C1689" i="5" s="1"/>
  <c r="A1690" i="5"/>
  <c r="E1686" i="5" l="1"/>
  <c r="D1687" i="5"/>
  <c r="B1690" i="5" a="1"/>
  <c r="B1690" i="5" s="1"/>
  <c r="C1690" i="5" a="1"/>
  <c r="C1690" i="5" s="1"/>
  <c r="A1691" i="5"/>
  <c r="E1687" i="5" l="1"/>
  <c r="D1688" i="5"/>
  <c r="C1691" i="5" a="1"/>
  <c r="C1691" i="5" s="1"/>
  <c r="A1692" i="5"/>
  <c r="B1691" i="5" a="1"/>
  <c r="B1691" i="5" s="1"/>
  <c r="E1688" i="5" l="1"/>
  <c r="D1689" i="5"/>
  <c r="B1692" i="5" a="1"/>
  <c r="B1692" i="5" s="1"/>
  <c r="C1692" i="5" a="1"/>
  <c r="C1692" i="5" s="1"/>
  <c r="A1693" i="5"/>
  <c r="E1689" i="5" l="1"/>
  <c r="D1690" i="5"/>
  <c r="A1694" i="5"/>
  <c r="B1693" i="5" a="1"/>
  <c r="B1693" i="5" s="1"/>
  <c r="C1693" i="5" a="1"/>
  <c r="C1693" i="5" s="1"/>
  <c r="E1690" i="5" l="1"/>
  <c r="D1691" i="5"/>
  <c r="B1694" i="5" a="1"/>
  <c r="B1694" i="5" s="1"/>
  <c r="C1694" i="5" a="1"/>
  <c r="C1694" i="5" s="1"/>
  <c r="A1695" i="5"/>
  <c r="E1691" i="5" l="1"/>
  <c r="D1692" i="5"/>
  <c r="A1696" i="5"/>
  <c r="B1695" i="5" a="1"/>
  <c r="B1695" i="5" s="1"/>
  <c r="C1695" i="5" a="1"/>
  <c r="C1695" i="5" s="1"/>
  <c r="E1692" i="5" l="1"/>
  <c r="D1693" i="5"/>
  <c r="B1696" i="5" a="1"/>
  <c r="B1696" i="5" s="1"/>
  <c r="C1696" i="5" a="1"/>
  <c r="C1696" i="5" s="1"/>
  <c r="A1697" i="5"/>
  <c r="E1693" i="5" l="1"/>
  <c r="D1694" i="5"/>
  <c r="B1697" i="5" a="1"/>
  <c r="B1697" i="5" s="1"/>
  <c r="C1697" i="5" a="1"/>
  <c r="C1697" i="5" s="1"/>
  <c r="A1698" i="5"/>
  <c r="E1694" i="5" l="1"/>
  <c r="D1695" i="5"/>
  <c r="B1698" i="5" a="1"/>
  <c r="B1698" i="5" s="1"/>
  <c r="C1698" i="5" a="1"/>
  <c r="C1698" i="5" s="1"/>
  <c r="A1699" i="5"/>
  <c r="E1695" i="5" l="1"/>
  <c r="D1696" i="5"/>
  <c r="B1699" i="5" a="1"/>
  <c r="B1699" i="5" s="1"/>
  <c r="C1699" i="5" a="1"/>
  <c r="C1699" i="5" s="1"/>
  <c r="A1700" i="5"/>
  <c r="E1696" i="5" l="1"/>
  <c r="D1697" i="5"/>
  <c r="C1700" i="5" a="1"/>
  <c r="C1700" i="5" s="1"/>
  <c r="A1701" i="5"/>
  <c r="B1700" i="5" a="1"/>
  <c r="B1700" i="5" s="1"/>
  <c r="E1697" i="5" l="1"/>
  <c r="D1698" i="5"/>
  <c r="B1701" i="5" a="1"/>
  <c r="B1701" i="5" s="1"/>
  <c r="C1701" i="5" a="1"/>
  <c r="C1701" i="5" s="1"/>
  <c r="A1702" i="5"/>
  <c r="E1698" i="5" l="1"/>
  <c r="D1699" i="5"/>
  <c r="A1703" i="5"/>
  <c r="B1702" i="5" a="1"/>
  <c r="B1702" i="5" s="1"/>
  <c r="C1702" i="5" a="1"/>
  <c r="C1702" i="5" s="1"/>
  <c r="E1699" i="5" l="1"/>
  <c r="D1700" i="5"/>
  <c r="B1703" i="5" a="1"/>
  <c r="B1703" i="5" s="1"/>
  <c r="C1703" i="5" a="1"/>
  <c r="C1703" i="5" s="1"/>
  <c r="A1704" i="5"/>
  <c r="E1700" i="5" l="1"/>
  <c r="D1701" i="5"/>
  <c r="A1705" i="5"/>
  <c r="B1704" i="5" a="1"/>
  <c r="B1704" i="5" s="1"/>
  <c r="C1704" i="5" a="1"/>
  <c r="C1704" i="5" s="1"/>
  <c r="E1701" i="5" l="1"/>
  <c r="D1702" i="5"/>
  <c r="B1705" i="5" a="1"/>
  <c r="B1705" i="5" s="1"/>
  <c r="C1705" i="5" a="1"/>
  <c r="C1705" i="5" s="1"/>
  <c r="A1706" i="5"/>
  <c r="E1702" i="5" l="1"/>
  <c r="D1703" i="5"/>
  <c r="C1706" i="5" a="1"/>
  <c r="C1706" i="5" s="1"/>
  <c r="B1706" i="5" a="1"/>
  <c r="B1706" i="5" s="1"/>
  <c r="A1707" i="5"/>
  <c r="E1703" i="5" l="1"/>
  <c r="D1704" i="5"/>
  <c r="C1707" i="5" a="1"/>
  <c r="C1707" i="5" s="1"/>
  <c r="A1708" i="5"/>
  <c r="B1707" i="5" a="1"/>
  <c r="B1707" i="5" s="1"/>
  <c r="E1704" i="5" l="1"/>
  <c r="D1705" i="5"/>
  <c r="B1708" i="5" a="1"/>
  <c r="B1708" i="5" s="1"/>
  <c r="A1709" i="5"/>
  <c r="C1708" i="5" a="1"/>
  <c r="C1708" i="5" s="1"/>
  <c r="E1705" i="5" l="1"/>
  <c r="D1706" i="5"/>
  <c r="A1710" i="5"/>
  <c r="B1709" i="5" a="1"/>
  <c r="B1709" i="5" s="1"/>
  <c r="C1709" i="5" a="1"/>
  <c r="C1709" i="5" s="1"/>
  <c r="E1706" i="5" l="1"/>
  <c r="D1707" i="5"/>
  <c r="B1710" i="5" a="1"/>
  <c r="B1710" i="5" s="1"/>
  <c r="C1710" i="5" a="1"/>
  <c r="C1710" i="5" s="1"/>
  <c r="A1711" i="5"/>
  <c r="E1707" i="5" l="1"/>
  <c r="D1708" i="5"/>
  <c r="A1712" i="5"/>
  <c r="B1711" i="5" a="1"/>
  <c r="B1711" i="5" s="1"/>
  <c r="C1711" i="5" a="1"/>
  <c r="C1711" i="5" s="1"/>
  <c r="E1708" i="5" l="1"/>
  <c r="D1709" i="5"/>
  <c r="B1712" i="5" a="1"/>
  <c r="B1712" i="5" s="1"/>
  <c r="C1712" i="5" a="1"/>
  <c r="C1712" i="5" s="1"/>
  <c r="A1713" i="5"/>
  <c r="E1709" i="5" l="1"/>
  <c r="D1710" i="5"/>
  <c r="A1714" i="5"/>
  <c r="B1713" i="5" a="1"/>
  <c r="B1713" i="5" s="1"/>
  <c r="C1713" i="5" a="1"/>
  <c r="C1713" i="5" s="1"/>
  <c r="E1710" i="5" l="1"/>
  <c r="D1711" i="5"/>
  <c r="B1714" i="5" a="1"/>
  <c r="B1714" i="5" s="1"/>
  <c r="C1714" i="5" a="1"/>
  <c r="C1714" i="5" s="1"/>
  <c r="A1715" i="5"/>
  <c r="E1711" i="5" l="1"/>
  <c r="D1712" i="5"/>
  <c r="B1715" i="5" a="1"/>
  <c r="B1715" i="5" s="1"/>
  <c r="C1715" i="5" a="1"/>
  <c r="C1715" i="5" s="1"/>
  <c r="A1716" i="5"/>
  <c r="E1712" i="5" l="1"/>
  <c r="D1713" i="5"/>
  <c r="C1716" i="5" a="1"/>
  <c r="C1716" i="5" s="1"/>
  <c r="A1717" i="5"/>
  <c r="B1716" i="5" a="1"/>
  <c r="B1716" i="5" s="1"/>
  <c r="E1713" i="5" l="1"/>
  <c r="D1714" i="5"/>
  <c r="B1717" i="5" a="1"/>
  <c r="B1717" i="5" s="1"/>
  <c r="C1717" i="5" a="1"/>
  <c r="C1717" i="5" s="1"/>
  <c r="A1718" i="5"/>
  <c r="E1714" i="5" l="1"/>
  <c r="D1715" i="5"/>
  <c r="A1719" i="5"/>
  <c r="C1718" i="5" a="1"/>
  <c r="C1718" i="5" s="1"/>
  <c r="B1718" i="5" a="1"/>
  <c r="B1718" i="5" s="1"/>
  <c r="E1715" i="5" l="1"/>
  <c r="D1716" i="5"/>
  <c r="B1719" i="5" a="1"/>
  <c r="B1719" i="5" s="1"/>
  <c r="C1719" i="5" a="1"/>
  <c r="C1719" i="5" s="1"/>
  <c r="A1720" i="5"/>
  <c r="E1716" i="5" l="1"/>
  <c r="D1717" i="5"/>
  <c r="A1721" i="5"/>
  <c r="B1720" i="5" a="1"/>
  <c r="B1720" i="5" s="1"/>
  <c r="C1720" i="5" a="1"/>
  <c r="C1720" i="5" s="1"/>
  <c r="E1717" i="5" l="1"/>
  <c r="D1718" i="5"/>
  <c r="B1721" i="5" a="1"/>
  <c r="B1721" i="5" s="1"/>
  <c r="C1721" i="5" a="1"/>
  <c r="C1721" i="5" s="1"/>
  <c r="A1722" i="5"/>
  <c r="E1718" i="5" l="1"/>
  <c r="D1719" i="5"/>
  <c r="A1723" i="5"/>
  <c r="B1722" i="5" a="1"/>
  <c r="B1722" i="5" s="1"/>
  <c r="C1722" i="5" a="1"/>
  <c r="C1722" i="5" s="1"/>
  <c r="E1719" i="5" l="1"/>
  <c r="D1720" i="5"/>
  <c r="B1723" i="5" a="1"/>
  <c r="B1723" i="5" s="1"/>
  <c r="C1723" i="5" a="1"/>
  <c r="C1723" i="5" s="1"/>
  <c r="A1724" i="5"/>
  <c r="E1720" i="5" l="1"/>
  <c r="D1721" i="5"/>
  <c r="B1724" i="5" a="1"/>
  <c r="B1724" i="5" s="1"/>
  <c r="C1724" i="5" a="1"/>
  <c r="C1724" i="5" s="1"/>
  <c r="A1725" i="5"/>
  <c r="E1721" i="5" l="1"/>
  <c r="D1722" i="5"/>
  <c r="C1725" i="5" a="1"/>
  <c r="C1725" i="5" s="1"/>
  <c r="A1726" i="5"/>
  <c r="B1725" i="5" a="1"/>
  <c r="B1725" i="5" s="1"/>
  <c r="E1722" i="5" l="1"/>
  <c r="D1723" i="5"/>
  <c r="B1726" i="5" a="1"/>
  <c r="B1726" i="5" s="1"/>
  <c r="C1726" i="5" a="1"/>
  <c r="C1726" i="5" s="1"/>
  <c r="A1727" i="5"/>
  <c r="E1723" i="5" l="1"/>
  <c r="D1724" i="5"/>
  <c r="A1728" i="5"/>
  <c r="B1727" i="5" a="1"/>
  <c r="B1727" i="5" s="1"/>
  <c r="C1727" i="5" a="1"/>
  <c r="C1727" i="5" s="1"/>
  <c r="E1724" i="5" l="1"/>
  <c r="D1725" i="5"/>
  <c r="B1728" i="5" a="1"/>
  <c r="B1728" i="5" s="1"/>
  <c r="C1728" i="5" a="1"/>
  <c r="C1728" i="5" s="1"/>
  <c r="A1729" i="5"/>
  <c r="E1725" i="5" l="1"/>
  <c r="D1726" i="5"/>
  <c r="A1730" i="5"/>
  <c r="B1729" i="5" a="1"/>
  <c r="B1729" i="5" s="1"/>
  <c r="C1729" i="5" a="1"/>
  <c r="C1729" i="5" s="1"/>
  <c r="E1726" i="5" l="1"/>
  <c r="D1727" i="5"/>
  <c r="B1730" i="5" a="1"/>
  <c r="B1730" i="5" s="1"/>
  <c r="C1730" i="5" a="1"/>
  <c r="C1730" i="5" s="1"/>
  <c r="A1731" i="5"/>
  <c r="E1727" i="5" l="1"/>
  <c r="D1728" i="5"/>
  <c r="B1731" i="5" a="1"/>
  <c r="B1731" i="5" s="1"/>
  <c r="C1731" i="5" a="1"/>
  <c r="C1731" i="5" s="1"/>
  <c r="A1732" i="5"/>
  <c r="E1728" i="5" l="1"/>
  <c r="D1729" i="5"/>
  <c r="C1732" i="5" a="1"/>
  <c r="C1732" i="5" s="1"/>
  <c r="A1733" i="5"/>
  <c r="B1732" i="5" a="1"/>
  <c r="B1732" i="5" s="1"/>
  <c r="E1729" i="5" l="1"/>
  <c r="D1730" i="5"/>
  <c r="B1733" i="5" a="1"/>
  <c r="B1733" i="5" s="1"/>
  <c r="C1733" i="5" a="1"/>
  <c r="C1733" i="5" s="1"/>
  <c r="A1734" i="5"/>
  <c r="E1730" i="5" l="1"/>
  <c r="D1731" i="5"/>
  <c r="A1735" i="5"/>
  <c r="B1734" i="5" a="1"/>
  <c r="B1734" i="5" s="1"/>
  <c r="C1734" i="5" a="1"/>
  <c r="C1734" i="5" s="1"/>
  <c r="E1731" i="5" l="1"/>
  <c r="D1732" i="5"/>
  <c r="B1735" i="5" a="1"/>
  <c r="B1735" i="5" s="1"/>
  <c r="C1735" i="5" a="1"/>
  <c r="C1735" i="5" s="1"/>
  <c r="A1736" i="5"/>
  <c r="E1732" i="5" l="1"/>
  <c r="D1733" i="5"/>
  <c r="A1737" i="5"/>
  <c r="B1736" i="5" a="1"/>
  <c r="B1736" i="5" s="1"/>
  <c r="C1736" i="5" a="1"/>
  <c r="C1736" i="5" s="1"/>
  <c r="E1733" i="5" l="1"/>
  <c r="D1734" i="5"/>
  <c r="B1737" i="5" a="1"/>
  <c r="B1737" i="5" s="1"/>
  <c r="C1737" i="5" a="1"/>
  <c r="C1737" i="5" s="1"/>
  <c r="A1738" i="5"/>
  <c r="E1734" i="5" l="1"/>
  <c r="D1735" i="5"/>
  <c r="B1738" i="5" a="1"/>
  <c r="B1738" i="5" s="1"/>
  <c r="C1738" i="5" a="1"/>
  <c r="C1738" i="5" s="1"/>
  <c r="A1739" i="5"/>
  <c r="E1735" i="5" l="1"/>
  <c r="D1736" i="5"/>
  <c r="B1739" i="5" a="1"/>
  <c r="B1739" i="5" s="1"/>
  <c r="C1739" i="5" a="1"/>
  <c r="C1739" i="5" s="1"/>
  <c r="A1740" i="5"/>
  <c r="E1736" i="5" l="1"/>
  <c r="D1737" i="5"/>
  <c r="B1740" i="5" a="1"/>
  <c r="B1740" i="5" s="1"/>
  <c r="C1740" i="5" a="1"/>
  <c r="C1740" i="5" s="1"/>
  <c r="A1741" i="5"/>
  <c r="E1737" i="5" l="1"/>
  <c r="D1738" i="5"/>
  <c r="C1741" i="5" a="1"/>
  <c r="C1741" i="5" s="1"/>
  <c r="A1742" i="5"/>
  <c r="B1741" i="5" a="1"/>
  <c r="B1741" i="5" s="1"/>
  <c r="E1738" i="5" l="1"/>
  <c r="D1739" i="5"/>
  <c r="B1742" i="5" a="1"/>
  <c r="B1742" i="5" s="1"/>
  <c r="C1742" i="5" a="1"/>
  <c r="C1742" i="5" s="1"/>
  <c r="A1743" i="5"/>
  <c r="E1739" i="5" l="1"/>
  <c r="D1740" i="5"/>
  <c r="A1744" i="5"/>
  <c r="B1743" i="5" a="1"/>
  <c r="B1743" i="5" s="1"/>
  <c r="C1743" i="5" a="1"/>
  <c r="C1743" i="5" s="1"/>
  <c r="E1740" i="5" l="1"/>
  <c r="D1741" i="5"/>
  <c r="B1744" i="5" a="1"/>
  <c r="B1744" i="5" s="1"/>
  <c r="C1744" i="5" a="1"/>
  <c r="C1744" i="5" s="1"/>
  <c r="A1745" i="5"/>
  <c r="E1741" i="5" l="1"/>
  <c r="D1742" i="5"/>
  <c r="A1746" i="5"/>
  <c r="B1745" i="5" a="1"/>
  <c r="B1745" i="5" s="1"/>
  <c r="C1745" i="5" a="1"/>
  <c r="C1745" i="5" s="1"/>
  <c r="E1742" i="5" l="1"/>
  <c r="D1743" i="5"/>
  <c r="B1746" i="5" a="1"/>
  <c r="B1746" i="5" s="1"/>
  <c r="C1746" i="5" a="1"/>
  <c r="C1746" i="5" s="1"/>
  <c r="A1747" i="5"/>
  <c r="E1743" i="5" l="1"/>
  <c r="D1744" i="5"/>
  <c r="B1747" i="5" a="1"/>
  <c r="B1747" i="5" s="1"/>
  <c r="C1747" i="5" a="1"/>
  <c r="C1747" i="5" s="1"/>
  <c r="A1748" i="5"/>
  <c r="E1744" i="5" l="1"/>
  <c r="D1745" i="5"/>
  <c r="C1748" i="5" a="1"/>
  <c r="C1748" i="5" s="1"/>
  <c r="A1749" i="5"/>
  <c r="B1748" i="5" a="1"/>
  <c r="B1748" i="5" s="1"/>
  <c r="E1745" i="5" l="1"/>
  <c r="D1746" i="5"/>
  <c r="B1749" i="5" a="1"/>
  <c r="B1749" i="5" s="1"/>
  <c r="C1749" i="5" a="1"/>
  <c r="C1749" i="5" s="1"/>
  <c r="A1750" i="5"/>
  <c r="E1746" i="5" l="1"/>
  <c r="D1747" i="5"/>
  <c r="A1751" i="5"/>
  <c r="B1750" i="5" a="1"/>
  <c r="B1750" i="5" s="1"/>
  <c r="C1750" i="5" a="1"/>
  <c r="C1750" i="5" s="1"/>
  <c r="E1747" i="5" l="1"/>
  <c r="D1748" i="5"/>
  <c r="B1751" i="5" a="1"/>
  <c r="B1751" i="5" s="1"/>
  <c r="C1751" i="5" a="1"/>
  <c r="C1751" i="5" s="1"/>
  <c r="A1752" i="5"/>
  <c r="E1748" i="5" l="1"/>
  <c r="D1749" i="5"/>
  <c r="A1753" i="5"/>
  <c r="B1752" i="5" a="1"/>
  <c r="B1752" i="5" s="1"/>
  <c r="C1752" i="5" a="1"/>
  <c r="C1752" i="5" s="1"/>
  <c r="E1749" i="5" l="1"/>
  <c r="D1750" i="5"/>
  <c r="B1753" i="5" a="1"/>
  <c r="B1753" i="5" s="1"/>
  <c r="C1753" i="5" a="1"/>
  <c r="C1753" i="5" s="1"/>
  <c r="A1754" i="5"/>
  <c r="E1750" i="5" l="1"/>
  <c r="D1751" i="5"/>
  <c r="B1754" i="5" a="1"/>
  <c r="B1754" i="5" s="1"/>
  <c r="C1754" i="5" a="1"/>
  <c r="C1754" i="5" s="1"/>
  <c r="A1755" i="5"/>
  <c r="E1751" i="5" l="1"/>
  <c r="D1752" i="5"/>
  <c r="B1755" i="5" a="1"/>
  <c r="B1755" i="5" s="1"/>
  <c r="C1755" i="5" a="1"/>
  <c r="C1755" i="5" s="1"/>
  <c r="A1756" i="5"/>
  <c r="E1752" i="5" l="1"/>
  <c r="D1753" i="5"/>
  <c r="B1756" i="5" a="1"/>
  <c r="B1756" i="5" s="1"/>
  <c r="C1756" i="5" a="1"/>
  <c r="C1756" i="5" s="1"/>
  <c r="A1757" i="5"/>
  <c r="E1753" i="5" l="1"/>
  <c r="D1754" i="5"/>
  <c r="C1757" i="5" a="1"/>
  <c r="C1757" i="5" s="1"/>
  <c r="A1758" i="5"/>
  <c r="B1757" i="5" a="1"/>
  <c r="B1757" i="5" s="1"/>
  <c r="E1754" i="5" l="1"/>
  <c r="D1755" i="5"/>
  <c r="B1758" i="5" a="1"/>
  <c r="B1758" i="5" s="1"/>
  <c r="C1758" i="5" a="1"/>
  <c r="C1758" i="5" s="1"/>
  <c r="A1759" i="5"/>
  <c r="E1755" i="5" l="1"/>
  <c r="D1756" i="5"/>
  <c r="A1760" i="5"/>
  <c r="B1759" i="5" a="1"/>
  <c r="B1759" i="5" s="1"/>
  <c r="C1759" i="5" a="1"/>
  <c r="C1759" i="5" s="1"/>
  <c r="E1756" i="5" l="1"/>
  <c r="D1757" i="5"/>
  <c r="B1760" i="5" a="1"/>
  <c r="B1760" i="5" s="1"/>
  <c r="C1760" i="5" a="1"/>
  <c r="C1760" i="5" s="1"/>
  <c r="A1761" i="5"/>
  <c r="E1757" i="5" l="1"/>
  <c r="D1758" i="5"/>
  <c r="A1762" i="5"/>
  <c r="B1761" i="5" a="1"/>
  <c r="B1761" i="5" s="1"/>
  <c r="C1761" i="5" a="1"/>
  <c r="C1761" i="5" s="1"/>
  <c r="E1758" i="5" l="1"/>
  <c r="D1759" i="5"/>
  <c r="B1762" i="5" a="1"/>
  <c r="B1762" i="5" s="1"/>
  <c r="C1762" i="5" a="1"/>
  <c r="C1762" i="5" s="1"/>
  <c r="A1763" i="5"/>
  <c r="E1759" i="5" l="1"/>
  <c r="D1760" i="5"/>
  <c r="B1763" i="5" a="1"/>
  <c r="B1763" i="5" s="1"/>
  <c r="C1763" i="5" a="1"/>
  <c r="C1763" i="5" s="1"/>
  <c r="A1764" i="5"/>
  <c r="E1760" i="5" l="1"/>
  <c r="D1761" i="5"/>
  <c r="C1764" i="5" a="1"/>
  <c r="C1764" i="5" s="1"/>
  <c r="A1765" i="5"/>
  <c r="B1764" i="5" a="1"/>
  <c r="B1764" i="5" s="1"/>
  <c r="E1761" i="5" l="1"/>
  <c r="D1762" i="5"/>
  <c r="B1765" i="5" a="1"/>
  <c r="B1765" i="5" s="1"/>
  <c r="C1765" i="5" a="1"/>
  <c r="C1765" i="5" s="1"/>
  <c r="A1766" i="5"/>
  <c r="E1762" i="5" l="1"/>
  <c r="D1763" i="5"/>
  <c r="A1767" i="5"/>
  <c r="B1766" i="5" a="1"/>
  <c r="B1766" i="5" s="1"/>
  <c r="C1766" i="5" a="1"/>
  <c r="C1766" i="5" s="1"/>
  <c r="E1763" i="5" l="1"/>
  <c r="D1764" i="5"/>
  <c r="B1767" i="5" a="1"/>
  <c r="B1767" i="5" s="1"/>
  <c r="C1767" i="5" a="1"/>
  <c r="C1767" i="5" s="1"/>
  <c r="A1768" i="5"/>
  <c r="E1764" i="5" l="1"/>
  <c r="D1765" i="5"/>
  <c r="A1769" i="5"/>
  <c r="B1768" i="5" a="1"/>
  <c r="B1768" i="5" s="1"/>
  <c r="C1768" i="5" a="1"/>
  <c r="C1768" i="5" s="1"/>
  <c r="E1765" i="5" l="1"/>
  <c r="D1766" i="5"/>
  <c r="B1769" i="5" a="1"/>
  <c r="B1769" i="5" s="1"/>
  <c r="C1769" i="5" a="1"/>
  <c r="C1769" i="5" s="1"/>
  <c r="A1770" i="5"/>
  <c r="E1766" i="5" l="1"/>
  <c r="D1767" i="5"/>
  <c r="B1770" i="5" a="1"/>
  <c r="B1770" i="5" s="1"/>
  <c r="C1770" i="5" a="1"/>
  <c r="C1770" i="5" s="1"/>
  <c r="A1771" i="5"/>
  <c r="E1767" i="5" l="1"/>
  <c r="D1768" i="5"/>
  <c r="B1771" i="5" a="1"/>
  <c r="B1771" i="5" s="1"/>
  <c r="C1771" i="5" a="1"/>
  <c r="C1771" i="5" s="1"/>
  <c r="A1772" i="5"/>
  <c r="E1768" i="5" l="1"/>
  <c r="D1769" i="5"/>
  <c r="B1772" i="5" a="1"/>
  <c r="B1772" i="5" s="1"/>
  <c r="C1772" i="5" a="1"/>
  <c r="C1772" i="5" s="1"/>
  <c r="A1773" i="5"/>
  <c r="E1769" i="5" l="1"/>
  <c r="D1770" i="5"/>
  <c r="C1773" i="5" a="1"/>
  <c r="C1773" i="5" s="1"/>
  <c r="A1774" i="5"/>
  <c r="B1773" i="5" a="1"/>
  <c r="B1773" i="5" s="1"/>
  <c r="E1770" i="5" l="1"/>
  <c r="D1771" i="5"/>
  <c r="B1774" i="5" a="1"/>
  <c r="B1774" i="5" s="1"/>
  <c r="C1774" i="5" a="1"/>
  <c r="C1774" i="5" s="1"/>
  <c r="A1775" i="5"/>
  <c r="E1771" i="5" l="1"/>
  <c r="D1772" i="5"/>
  <c r="A1776" i="5"/>
  <c r="B1775" i="5" a="1"/>
  <c r="B1775" i="5" s="1"/>
  <c r="C1775" i="5" a="1"/>
  <c r="C1775" i="5" s="1"/>
  <c r="E1772" i="5" l="1"/>
  <c r="D1773" i="5"/>
  <c r="B1776" i="5" a="1"/>
  <c r="B1776" i="5" s="1"/>
  <c r="C1776" i="5" a="1"/>
  <c r="C1776" i="5" s="1"/>
  <c r="A1777" i="5"/>
  <c r="E1773" i="5" l="1"/>
  <c r="D1774" i="5"/>
  <c r="A1778" i="5"/>
  <c r="B1777" i="5" a="1"/>
  <c r="B1777" i="5" s="1"/>
  <c r="C1777" i="5" a="1"/>
  <c r="C1777" i="5" s="1"/>
  <c r="E1774" i="5" l="1"/>
  <c r="D1775" i="5"/>
  <c r="B1778" i="5" a="1"/>
  <c r="B1778" i="5" s="1"/>
  <c r="C1778" i="5" a="1"/>
  <c r="C1778" i="5" s="1"/>
  <c r="A1779" i="5"/>
  <c r="E1775" i="5" l="1"/>
  <c r="D1776" i="5"/>
  <c r="B1779" i="5" a="1"/>
  <c r="B1779" i="5" s="1"/>
  <c r="C1779" i="5" a="1"/>
  <c r="C1779" i="5" s="1"/>
  <c r="A1780" i="5"/>
  <c r="E1776" i="5" l="1"/>
  <c r="D1777" i="5"/>
  <c r="C1780" i="5" a="1"/>
  <c r="C1780" i="5" s="1"/>
  <c r="A1781" i="5"/>
  <c r="B1780" i="5" a="1"/>
  <c r="B1780" i="5" s="1"/>
  <c r="E1777" i="5" l="1"/>
  <c r="D1778" i="5"/>
  <c r="B1781" i="5" a="1"/>
  <c r="B1781" i="5" s="1"/>
  <c r="C1781" i="5" a="1"/>
  <c r="C1781" i="5" s="1"/>
  <c r="A1782" i="5"/>
  <c r="E1778" i="5" l="1"/>
  <c r="D1779" i="5"/>
  <c r="A1783" i="5"/>
  <c r="B1782" i="5" a="1"/>
  <c r="B1782" i="5" s="1"/>
  <c r="C1782" i="5" a="1"/>
  <c r="C1782" i="5" s="1"/>
  <c r="E1779" i="5" l="1"/>
  <c r="D1780" i="5"/>
  <c r="B1783" i="5" a="1"/>
  <c r="B1783" i="5" s="1"/>
  <c r="C1783" i="5" a="1"/>
  <c r="C1783" i="5" s="1"/>
  <c r="A1784" i="5"/>
  <c r="E1780" i="5" l="1"/>
  <c r="D1781" i="5"/>
  <c r="A1785" i="5"/>
  <c r="B1784" i="5" a="1"/>
  <c r="B1784" i="5" s="1"/>
  <c r="C1784" i="5" a="1"/>
  <c r="C1784" i="5" s="1"/>
  <c r="E1781" i="5" l="1"/>
  <c r="D1782" i="5"/>
  <c r="B1785" i="5" a="1"/>
  <c r="B1785" i="5" s="1"/>
  <c r="C1785" i="5" a="1"/>
  <c r="C1785" i="5" s="1"/>
  <c r="A1786" i="5"/>
  <c r="E1782" i="5" l="1"/>
  <c r="D1783" i="5"/>
  <c r="B1786" i="5" a="1"/>
  <c r="B1786" i="5" s="1"/>
  <c r="C1786" i="5" a="1"/>
  <c r="C1786" i="5" s="1"/>
  <c r="A1787" i="5"/>
  <c r="E1783" i="5" l="1"/>
  <c r="D1784" i="5"/>
  <c r="B1787" i="5" a="1"/>
  <c r="B1787" i="5" s="1"/>
  <c r="C1787" i="5" a="1"/>
  <c r="C1787" i="5" s="1"/>
  <c r="A1788" i="5"/>
  <c r="E1784" i="5" l="1"/>
  <c r="D1785" i="5"/>
  <c r="B1788" i="5" a="1"/>
  <c r="B1788" i="5" s="1"/>
  <c r="C1788" i="5" a="1"/>
  <c r="C1788" i="5" s="1"/>
  <c r="A1789" i="5"/>
  <c r="E1785" i="5" l="1"/>
  <c r="D1786" i="5"/>
  <c r="C1789" i="5" a="1"/>
  <c r="C1789" i="5" s="1"/>
  <c r="A1790" i="5"/>
  <c r="B1789" i="5" a="1"/>
  <c r="B1789" i="5" s="1"/>
  <c r="E1786" i="5" l="1"/>
  <c r="D1787" i="5"/>
  <c r="B1790" i="5" a="1"/>
  <c r="B1790" i="5" s="1"/>
  <c r="C1790" i="5" a="1"/>
  <c r="C1790" i="5" s="1"/>
  <c r="A1791" i="5"/>
  <c r="E1787" i="5" l="1"/>
  <c r="D1788" i="5"/>
  <c r="A1792" i="5"/>
  <c r="B1791" i="5" a="1"/>
  <c r="B1791" i="5" s="1"/>
  <c r="C1791" i="5" a="1"/>
  <c r="C1791" i="5" s="1"/>
  <c r="E1788" i="5" l="1"/>
  <c r="D1789" i="5"/>
  <c r="B1792" i="5" a="1"/>
  <c r="B1792" i="5" s="1"/>
  <c r="C1792" i="5" a="1"/>
  <c r="C1792" i="5" s="1"/>
  <c r="A1793" i="5"/>
  <c r="E1789" i="5" l="1"/>
  <c r="D1790" i="5"/>
  <c r="A1794" i="5"/>
  <c r="B1793" i="5" a="1"/>
  <c r="B1793" i="5" s="1"/>
  <c r="C1793" i="5" a="1"/>
  <c r="C1793" i="5" s="1"/>
  <c r="E1790" i="5" l="1"/>
  <c r="D1791" i="5"/>
  <c r="B1794" i="5" a="1"/>
  <c r="B1794" i="5" s="1"/>
  <c r="C1794" i="5" a="1"/>
  <c r="C1794" i="5" s="1"/>
  <c r="A1795" i="5"/>
  <c r="E1791" i="5" l="1"/>
  <c r="D1792" i="5"/>
  <c r="B1795" i="5" a="1"/>
  <c r="B1795" i="5" s="1"/>
  <c r="C1795" i="5" a="1"/>
  <c r="C1795" i="5" s="1"/>
  <c r="A1796" i="5"/>
  <c r="E1792" i="5" l="1"/>
  <c r="D1793" i="5"/>
  <c r="C1796" i="5" a="1"/>
  <c r="C1796" i="5" s="1"/>
  <c r="A1797" i="5"/>
  <c r="B1796" i="5" a="1"/>
  <c r="B1796" i="5" s="1"/>
  <c r="E1793" i="5" l="1"/>
  <c r="D1794" i="5"/>
  <c r="B1797" i="5" a="1"/>
  <c r="B1797" i="5" s="1"/>
  <c r="C1797" i="5" a="1"/>
  <c r="C1797" i="5" s="1"/>
  <c r="A1798" i="5"/>
  <c r="E1794" i="5" l="1"/>
  <c r="D1795" i="5"/>
  <c r="A1799" i="5"/>
  <c r="B1798" i="5" a="1"/>
  <c r="B1798" i="5" s="1"/>
  <c r="C1798" i="5" a="1"/>
  <c r="C1798" i="5" s="1"/>
  <c r="E1795" i="5" l="1"/>
  <c r="D1796" i="5"/>
  <c r="B1799" i="5" a="1"/>
  <c r="B1799" i="5" s="1"/>
  <c r="C1799" i="5" a="1"/>
  <c r="C1799" i="5" s="1"/>
  <c r="A1800" i="5"/>
  <c r="E1796" i="5" l="1"/>
  <c r="D1797" i="5"/>
  <c r="A1801" i="5"/>
  <c r="B1800" i="5" a="1"/>
  <c r="B1800" i="5" s="1"/>
  <c r="C1800" i="5" a="1"/>
  <c r="C1800" i="5" s="1"/>
  <c r="E1797" i="5" l="1"/>
  <c r="D1798" i="5"/>
  <c r="B1801" i="5" a="1"/>
  <c r="B1801" i="5" s="1"/>
  <c r="C1801" i="5" a="1"/>
  <c r="C1801" i="5" s="1"/>
  <c r="A1802" i="5"/>
  <c r="E1798" i="5" l="1"/>
  <c r="D1799" i="5"/>
  <c r="B1802" i="5" a="1"/>
  <c r="B1802" i="5" s="1"/>
  <c r="C1802" i="5" a="1"/>
  <c r="C1802" i="5" s="1"/>
  <c r="A1803" i="5"/>
  <c r="E1799" i="5" l="1"/>
  <c r="D1800" i="5"/>
  <c r="B1803" i="5" a="1"/>
  <c r="B1803" i="5" s="1"/>
  <c r="C1803" i="5" a="1"/>
  <c r="C1803" i="5" s="1"/>
  <c r="A1804" i="5"/>
  <c r="E1800" i="5" l="1"/>
  <c r="D1801" i="5"/>
  <c r="B1804" i="5" a="1"/>
  <c r="B1804" i="5" s="1"/>
  <c r="C1804" i="5" a="1"/>
  <c r="C1804" i="5" s="1"/>
  <c r="A1805" i="5"/>
  <c r="E1801" i="5" l="1"/>
  <c r="D1802" i="5"/>
  <c r="C1805" i="5" a="1"/>
  <c r="C1805" i="5" s="1"/>
  <c r="A1806" i="5"/>
  <c r="B1805" i="5" a="1"/>
  <c r="B1805" i="5" s="1"/>
  <c r="E1802" i="5" l="1"/>
  <c r="D1803" i="5"/>
  <c r="B1806" i="5" a="1"/>
  <c r="B1806" i="5" s="1"/>
  <c r="C1806" i="5" a="1"/>
  <c r="C1806" i="5" s="1"/>
  <c r="A1807" i="5"/>
  <c r="E1803" i="5" l="1"/>
  <c r="D1804" i="5"/>
  <c r="A1808" i="5"/>
  <c r="B1807" i="5" a="1"/>
  <c r="B1807" i="5" s="1"/>
  <c r="C1807" i="5" a="1"/>
  <c r="C1807" i="5" s="1"/>
  <c r="E1804" i="5" l="1"/>
  <c r="D1805" i="5"/>
  <c r="B1808" i="5" a="1"/>
  <c r="B1808" i="5" s="1"/>
  <c r="C1808" i="5" a="1"/>
  <c r="C1808" i="5" s="1"/>
  <c r="A1809" i="5"/>
  <c r="E1805" i="5" l="1"/>
  <c r="D1806" i="5"/>
  <c r="A1810" i="5"/>
  <c r="B1809" i="5" a="1"/>
  <c r="B1809" i="5" s="1"/>
  <c r="C1809" i="5" a="1"/>
  <c r="C1809" i="5" s="1"/>
  <c r="E1806" i="5" l="1"/>
  <c r="D1807" i="5"/>
  <c r="B1810" i="5" a="1"/>
  <c r="B1810" i="5" s="1"/>
  <c r="C1810" i="5" a="1"/>
  <c r="C1810" i="5" s="1"/>
  <c r="A1811" i="5"/>
  <c r="E1807" i="5" l="1"/>
  <c r="D1808" i="5"/>
  <c r="B1811" i="5" a="1"/>
  <c r="B1811" i="5" s="1"/>
  <c r="C1811" i="5" a="1"/>
  <c r="C1811" i="5" s="1"/>
  <c r="A1812" i="5"/>
  <c r="E1808" i="5" l="1"/>
  <c r="D1809" i="5"/>
  <c r="C1812" i="5" a="1"/>
  <c r="C1812" i="5" s="1"/>
  <c r="A1813" i="5"/>
  <c r="B1812" i="5" a="1"/>
  <c r="B1812" i="5" s="1"/>
  <c r="E1809" i="5" l="1"/>
  <c r="D1810" i="5"/>
  <c r="B1813" i="5" a="1"/>
  <c r="B1813" i="5" s="1"/>
  <c r="C1813" i="5" a="1"/>
  <c r="C1813" i="5" s="1"/>
  <c r="A1814" i="5"/>
  <c r="E1810" i="5" l="1"/>
  <c r="D1811" i="5"/>
  <c r="A1815" i="5"/>
  <c r="B1814" i="5" a="1"/>
  <c r="B1814" i="5" s="1"/>
  <c r="C1814" i="5" a="1"/>
  <c r="C1814" i="5" s="1"/>
  <c r="E1811" i="5" l="1"/>
  <c r="D1812" i="5"/>
  <c r="B1815" i="5" a="1"/>
  <c r="B1815" i="5" s="1"/>
  <c r="C1815" i="5" a="1"/>
  <c r="C1815" i="5" s="1"/>
  <c r="A1816" i="5"/>
  <c r="E1812" i="5" l="1"/>
  <c r="D1813" i="5"/>
  <c r="A1817" i="5"/>
  <c r="B1816" i="5" a="1"/>
  <c r="B1816" i="5" s="1"/>
  <c r="C1816" i="5" a="1"/>
  <c r="C1816" i="5" s="1"/>
  <c r="E1813" i="5" l="1"/>
  <c r="D1814" i="5"/>
  <c r="B1817" i="5" a="1"/>
  <c r="B1817" i="5" s="1"/>
  <c r="C1817" i="5" a="1"/>
  <c r="C1817" i="5" s="1"/>
  <c r="A1818" i="5"/>
  <c r="E1814" i="5" l="1"/>
  <c r="D1815" i="5"/>
  <c r="B1818" i="5" a="1"/>
  <c r="B1818" i="5" s="1"/>
  <c r="C1818" i="5" a="1"/>
  <c r="C1818" i="5" s="1"/>
  <c r="A1819" i="5"/>
  <c r="E1815" i="5" l="1"/>
  <c r="D1816" i="5"/>
  <c r="B1819" i="5" a="1"/>
  <c r="B1819" i="5" s="1"/>
  <c r="C1819" i="5" a="1"/>
  <c r="C1819" i="5" s="1"/>
  <c r="A1820" i="5"/>
  <c r="E1816" i="5" l="1"/>
  <c r="D1817" i="5"/>
  <c r="B1820" i="5" a="1"/>
  <c r="B1820" i="5" s="1"/>
  <c r="C1820" i="5" a="1"/>
  <c r="C1820" i="5" s="1"/>
  <c r="A1821" i="5"/>
  <c r="E1817" i="5" l="1"/>
  <c r="D1818" i="5"/>
  <c r="C1821" i="5" a="1"/>
  <c r="C1821" i="5" s="1"/>
  <c r="A1822" i="5"/>
  <c r="B1821" i="5" a="1"/>
  <c r="B1821" i="5" s="1"/>
  <c r="E1818" i="5" l="1"/>
  <c r="D1819" i="5"/>
  <c r="B1822" i="5" a="1"/>
  <c r="B1822" i="5" s="1"/>
  <c r="C1822" i="5" a="1"/>
  <c r="C1822" i="5" s="1"/>
  <c r="A1823" i="5"/>
  <c r="E1819" i="5" l="1"/>
  <c r="D1820" i="5"/>
  <c r="A1824" i="5"/>
  <c r="B1823" i="5" a="1"/>
  <c r="B1823" i="5" s="1"/>
  <c r="C1823" i="5" a="1"/>
  <c r="C1823" i="5" s="1"/>
  <c r="E1820" i="5" l="1"/>
  <c r="D1821" i="5"/>
  <c r="B1824" i="5" a="1"/>
  <c r="B1824" i="5" s="1"/>
  <c r="C1824" i="5" a="1"/>
  <c r="C1824" i="5" s="1"/>
  <c r="A1825" i="5"/>
  <c r="E1821" i="5" l="1"/>
  <c r="D1822" i="5"/>
  <c r="A1826" i="5"/>
  <c r="B1825" i="5" a="1"/>
  <c r="B1825" i="5" s="1"/>
  <c r="C1825" i="5" a="1"/>
  <c r="C1825" i="5" s="1"/>
  <c r="E1822" i="5" l="1"/>
  <c r="D1823" i="5"/>
  <c r="B1826" i="5" a="1"/>
  <c r="B1826" i="5" s="1"/>
  <c r="C1826" i="5" a="1"/>
  <c r="C1826" i="5" s="1"/>
  <c r="A1827" i="5"/>
  <c r="E1823" i="5" l="1"/>
  <c r="D1824" i="5"/>
  <c r="B1827" i="5" a="1"/>
  <c r="B1827" i="5" s="1"/>
  <c r="C1827" i="5" a="1"/>
  <c r="C1827" i="5" s="1"/>
  <c r="A1828" i="5"/>
  <c r="E1824" i="5" l="1"/>
  <c r="D1825" i="5"/>
  <c r="C1828" i="5" a="1"/>
  <c r="C1828" i="5" s="1"/>
  <c r="A1829" i="5"/>
  <c r="B1828" i="5" a="1"/>
  <c r="B1828" i="5" s="1"/>
  <c r="E1825" i="5" l="1"/>
  <c r="D1826" i="5"/>
  <c r="B1829" i="5" a="1"/>
  <c r="B1829" i="5" s="1"/>
  <c r="C1829" i="5" a="1"/>
  <c r="C1829" i="5" s="1"/>
  <c r="A1830" i="5"/>
  <c r="E1826" i="5" l="1"/>
  <c r="D1827" i="5"/>
  <c r="A1831" i="5"/>
  <c r="B1830" i="5" a="1"/>
  <c r="B1830" i="5" s="1"/>
  <c r="C1830" i="5" a="1"/>
  <c r="C1830" i="5" s="1"/>
  <c r="E1827" i="5" l="1"/>
  <c r="D1828" i="5"/>
  <c r="B1831" i="5" a="1"/>
  <c r="B1831" i="5" s="1"/>
  <c r="C1831" i="5" a="1"/>
  <c r="C1831" i="5" s="1"/>
  <c r="A1832" i="5"/>
  <c r="E1828" i="5" l="1"/>
  <c r="D1829" i="5"/>
  <c r="A1833" i="5"/>
  <c r="B1832" i="5" a="1"/>
  <c r="B1832" i="5" s="1"/>
  <c r="C1832" i="5" a="1"/>
  <c r="C1832" i="5" s="1"/>
  <c r="E1829" i="5" l="1"/>
  <c r="D1830" i="5"/>
  <c r="B1833" i="5" a="1"/>
  <c r="B1833" i="5" s="1"/>
  <c r="C1833" i="5" a="1"/>
  <c r="C1833" i="5" s="1"/>
  <c r="A1834" i="5"/>
  <c r="E1830" i="5" l="1"/>
  <c r="D1831" i="5"/>
  <c r="B1834" i="5" a="1"/>
  <c r="B1834" i="5" s="1"/>
  <c r="C1834" i="5" a="1"/>
  <c r="C1834" i="5" s="1"/>
  <c r="A1835" i="5"/>
  <c r="E1831" i="5" l="1"/>
  <c r="D1832" i="5"/>
  <c r="B1835" i="5" a="1"/>
  <c r="B1835" i="5" s="1"/>
  <c r="C1835" i="5" a="1"/>
  <c r="C1835" i="5" s="1"/>
  <c r="A1836" i="5"/>
  <c r="E1832" i="5" l="1"/>
  <c r="D1833" i="5"/>
  <c r="B1836" i="5" a="1"/>
  <c r="B1836" i="5" s="1"/>
  <c r="C1836" i="5" a="1"/>
  <c r="C1836" i="5" s="1"/>
  <c r="A1837" i="5"/>
  <c r="E1833" i="5" l="1"/>
  <c r="D1834" i="5"/>
  <c r="C1837" i="5" a="1"/>
  <c r="C1837" i="5" s="1"/>
  <c r="A1838" i="5"/>
  <c r="B1837" i="5" a="1"/>
  <c r="B1837" i="5" s="1"/>
  <c r="E1834" i="5" l="1"/>
  <c r="D1835" i="5"/>
  <c r="B1838" i="5" a="1"/>
  <c r="B1838" i="5" s="1"/>
  <c r="C1838" i="5" a="1"/>
  <c r="C1838" i="5" s="1"/>
  <c r="A1839" i="5"/>
  <c r="E1835" i="5" l="1"/>
  <c r="D1836" i="5"/>
  <c r="A1840" i="5"/>
  <c r="B1839" i="5" a="1"/>
  <c r="B1839" i="5" s="1"/>
  <c r="C1839" i="5" a="1"/>
  <c r="C1839" i="5" s="1"/>
  <c r="E1836" i="5" l="1"/>
  <c r="D1837" i="5"/>
  <c r="B1840" i="5" a="1"/>
  <c r="B1840" i="5" s="1"/>
  <c r="C1840" i="5" a="1"/>
  <c r="C1840" i="5" s="1"/>
  <c r="A1841" i="5"/>
  <c r="E1837" i="5" l="1"/>
  <c r="D1838" i="5"/>
  <c r="A1842" i="5"/>
  <c r="B1841" i="5" a="1"/>
  <c r="B1841" i="5" s="1"/>
  <c r="C1841" i="5" a="1"/>
  <c r="C1841" i="5" s="1"/>
  <c r="E1838" i="5" l="1"/>
  <c r="D1839" i="5"/>
  <c r="B1842" i="5" a="1"/>
  <c r="B1842" i="5" s="1"/>
  <c r="C1842" i="5" a="1"/>
  <c r="C1842" i="5" s="1"/>
  <c r="A1843" i="5"/>
  <c r="E1839" i="5" l="1"/>
  <c r="D1840" i="5"/>
  <c r="B1843" i="5" a="1"/>
  <c r="B1843" i="5" s="1"/>
  <c r="C1843" i="5" a="1"/>
  <c r="C1843" i="5" s="1"/>
  <c r="A1844" i="5"/>
  <c r="E1840" i="5" l="1"/>
  <c r="D1841" i="5"/>
  <c r="C1844" i="5" a="1"/>
  <c r="C1844" i="5" s="1"/>
  <c r="A1845" i="5"/>
  <c r="B1844" i="5" a="1"/>
  <c r="B1844" i="5" s="1"/>
  <c r="E1841" i="5" l="1"/>
  <c r="D1842" i="5"/>
  <c r="B1845" i="5" a="1"/>
  <c r="B1845" i="5" s="1"/>
  <c r="C1845" i="5" a="1"/>
  <c r="C1845" i="5" s="1"/>
  <c r="A1846" i="5"/>
  <c r="E1842" i="5" l="1"/>
  <c r="D1843" i="5"/>
  <c r="A1847" i="5"/>
  <c r="B1846" i="5" a="1"/>
  <c r="B1846" i="5" s="1"/>
  <c r="C1846" i="5" a="1"/>
  <c r="C1846" i="5" s="1"/>
  <c r="E1843" i="5" l="1"/>
  <c r="D1844" i="5"/>
  <c r="B1847" i="5" a="1"/>
  <c r="B1847" i="5" s="1"/>
  <c r="C1847" i="5" a="1"/>
  <c r="C1847" i="5" s="1"/>
  <c r="A1848" i="5"/>
  <c r="E1844" i="5" l="1"/>
  <c r="D1845" i="5"/>
  <c r="A1849" i="5"/>
  <c r="B1848" i="5" a="1"/>
  <c r="B1848" i="5" s="1"/>
  <c r="C1848" i="5" a="1"/>
  <c r="C1848" i="5" s="1"/>
  <c r="E1845" i="5" l="1"/>
  <c r="D1846" i="5"/>
  <c r="B1849" i="5" a="1"/>
  <c r="B1849" i="5" s="1"/>
  <c r="C1849" i="5" a="1"/>
  <c r="C1849" i="5" s="1"/>
  <c r="A1850" i="5"/>
  <c r="E1846" i="5" l="1"/>
  <c r="D1847" i="5"/>
  <c r="B1850" i="5" a="1"/>
  <c r="B1850" i="5" s="1"/>
  <c r="C1850" i="5" a="1"/>
  <c r="C1850" i="5" s="1"/>
  <c r="A1851" i="5"/>
  <c r="E1847" i="5" l="1"/>
  <c r="D1848" i="5"/>
  <c r="B1851" i="5" a="1"/>
  <c r="B1851" i="5" s="1"/>
  <c r="C1851" i="5" a="1"/>
  <c r="C1851" i="5" s="1"/>
  <c r="A1852" i="5"/>
  <c r="E1848" i="5" l="1"/>
  <c r="D1849" i="5"/>
  <c r="B1852" i="5" a="1"/>
  <c r="B1852" i="5" s="1"/>
  <c r="C1852" i="5" a="1"/>
  <c r="C1852" i="5" s="1"/>
  <c r="A1853" i="5"/>
  <c r="E1849" i="5" l="1"/>
  <c r="D1850" i="5"/>
  <c r="C1853" i="5" a="1"/>
  <c r="C1853" i="5" s="1"/>
  <c r="A1854" i="5"/>
  <c r="B1853" i="5" a="1"/>
  <c r="B1853" i="5" s="1"/>
  <c r="E1850" i="5" l="1"/>
  <c r="D1851" i="5"/>
  <c r="B1854" i="5" a="1"/>
  <c r="B1854" i="5" s="1"/>
  <c r="C1854" i="5" a="1"/>
  <c r="C1854" i="5" s="1"/>
  <c r="A1855" i="5"/>
  <c r="E1851" i="5" l="1"/>
  <c r="D1852" i="5"/>
  <c r="A1856" i="5"/>
  <c r="B1855" i="5" a="1"/>
  <c r="B1855" i="5" s="1"/>
  <c r="C1855" i="5" a="1"/>
  <c r="C1855" i="5" s="1"/>
  <c r="E1852" i="5" l="1"/>
  <c r="D1853" i="5"/>
  <c r="B1856" i="5" a="1"/>
  <c r="B1856" i="5" s="1"/>
  <c r="C1856" i="5" a="1"/>
  <c r="C1856" i="5" s="1"/>
  <c r="A1857" i="5"/>
  <c r="E1853" i="5" l="1"/>
  <c r="D1854" i="5"/>
  <c r="A1858" i="5"/>
  <c r="B1857" i="5" a="1"/>
  <c r="B1857" i="5" s="1"/>
  <c r="C1857" i="5" a="1"/>
  <c r="C1857" i="5" s="1"/>
  <c r="E1854" i="5" l="1"/>
  <c r="D1855" i="5"/>
  <c r="B1858" i="5" a="1"/>
  <c r="B1858" i="5" s="1"/>
  <c r="C1858" i="5" a="1"/>
  <c r="C1858" i="5" s="1"/>
  <c r="A1859" i="5"/>
  <c r="E1855" i="5" l="1"/>
  <c r="D1856" i="5"/>
  <c r="B1859" i="5" a="1"/>
  <c r="B1859" i="5" s="1"/>
  <c r="C1859" i="5" a="1"/>
  <c r="C1859" i="5" s="1"/>
  <c r="A1860" i="5"/>
  <c r="E1856" i="5" l="1"/>
  <c r="D1857" i="5"/>
  <c r="C1860" i="5" a="1"/>
  <c r="C1860" i="5" s="1"/>
  <c r="A1861" i="5"/>
  <c r="B1860" i="5" a="1"/>
  <c r="B1860" i="5" s="1"/>
  <c r="E1857" i="5" l="1"/>
  <c r="D1858" i="5"/>
  <c r="B1861" i="5" a="1"/>
  <c r="B1861" i="5" s="1"/>
  <c r="C1861" i="5" a="1"/>
  <c r="C1861" i="5" s="1"/>
  <c r="A1862" i="5"/>
  <c r="E1858" i="5" l="1"/>
  <c r="D1859" i="5"/>
  <c r="A1863" i="5"/>
  <c r="B1862" i="5" a="1"/>
  <c r="B1862" i="5" s="1"/>
  <c r="C1862" i="5" a="1"/>
  <c r="C1862" i="5" s="1"/>
  <c r="E1859" i="5" l="1"/>
  <c r="D1860" i="5"/>
  <c r="B1863" i="5" a="1"/>
  <c r="B1863" i="5" s="1"/>
  <c r="C1863" i="5" a="1"/>
  <c r="C1863" i="5" s="1"/>
  <c r="A1864" i="5"/>
  <c r="E1860" i="5" l="1"/>
  <c r="D1861" i="5"/>
  <c r="A1865" i="5"/>
  <c r="B1864" i="5" a="1"/>
  <c r="B1864" i="5" s="1"/>
  <c r="C1864" i="5" a="1"/>
  <c r="C1864" i="5" s="1"/>
  <c r="E1861" i="5" l="1"/>
  <c r="D1862" i="5"/>
  <c r="B1865" i="5" a="1"/>
  <c r="B1865" i="5" s="1"/>
  <c r="C1865" i="5" a="1"/>
  <c r="C1865" i="5" s="1"/>
  <c r="A1866" i="5"/>
  <c r="E1862" i="5" l="1"/>
  <c r="D1863" i="5"/>
  <c r="B1866" i="5" a="1"/>
  <c r="B1866" i="5" s="1"/>
  <c r="C1866" i="5" a="1"/>
  <c r="C1866" i="5" s="1"/>
  <c r="A1867" i="5"/>
  <c r="E1863" i="5" l="1"/>
  <c r="D1864" i="5"/>
  <c r="B1867" i="5" a="1"/>
  <c r="B1867" i="5" s="1"/>
  <c r="C1867" i="5" a="1"/>
  <c r="C1867" i="5" s="1"/>
  <c r="A1868" i="5"/>
  <c r="E1864" i="5" l="1"/>
  <c r="D1865" i="5"/>
  <c r="B1868" i="5" a="1"/>
  <c r="B1868" i="5" s="1"/>
  <c r="C1868" i="5" a="1"/>
  <c r="C1868" i="5" s="1"/>
  <c r="A1869" i="5"/>
  <c r="E1865" i="5" l="1"/>
  <c r="D1866" i="5"/>
  <c r="C1869" i="5" a="1"/>
  <c r="C1869" i="5" s="1"/>
  <c r="A1870" i="5"/>
  <c r="B1869" i="5" a="1"/>
  <c r="B1869" i="5" s="1"/>
  <c r="E1866" i="5" l="1"/>
  <c r="D1867" i="5"/>
  <c r="B1870" i="5" a="1"/>
  <c r="B1870" i="5" s="1"/>
  <c r="C1870" i="5" a="1"/>
  <c r="C1870" i="5" s="1"/>
  <c r="A1871" i="5"/>
  <c r="E1867" i="5" l="1"/>
  <c r="D1868" i="5"/>
  <c r="A1872" i="5"/>
  <c r="B1871" i="5" a="1"/>
  <c r="B1871" i="5" s="1"/>
  <c r="C1871" i="5" a="1"/>
  <c r="C1871" i="5" s="1"/>
  <c r="E1868" i="5" l="1"/>
  <c r="D1869" i="5"/>
  <c r="B1872" i="5" a="1"/>
  <c r="B1872" i="5" s="1"/>
  <c r="C1872" i="5" a="1"/>
  <c r="C1872" i="5" s="1"/>
  <c r="A1873" i="5"/>
  <c r="E1869" i="5" l="1"/>
  <c r="D1870" i="5"/>
  <c r="A1874" i="5"/>
  <c r="B1873" i="5" a="1"/>
  <c r="B1873" i="5" s="1"/>
  <c r="C1873" i="5" a="1"/>
  <c r="C1873" i="5" s="1"/>
  <c r="E1870" i="5" l="1"/>
  <c r="D1871" i="5"/>
  <c r="B1874" i="5" a="1"/>
  <c r="B1874" i="5" s="1"/>
  <c r="C1874" i="5" a="1"/>
  <c r="C1874" i="5" s="1"/>
  <c r="A1875" i="5"/>
  <c r="E1871" i="5" l="1"/>
  <c r="D1872" i="5"/>
  <c r="B1875" i="5" a="1"/>
  <c r="B1875" i="5" s="1"/>
  <c r="C1875" i="5" a="1"/>
  <c r="C1875" i="5" s="1"/>
  <c r="A1876" i="5"/>
  <c r="E1872" i="5" l="1"/>
  <c r="D1873" i="5"/>
  <c r="C1876" i="5" a="1"/>
  <c r="C1876" i="5" s="1"/>
  <c r="A1877" i="5"/>
  <c r="B1876" i="5" a="1"/>
  <c r="B1876" i="5" s="1"/>
  <c r="E1873" i="5" l="1"/>
  <c r="D1874" i="5"/>
  <c r="B1877" i="5" a="1"/>
  <c r="B1877" i="5" s="1"/>
  <c r="A1878" i="5"/>
  <c r="C1877" i="5" a="1"/>
  <c r="C1877" i="5" s="1"/>
  <c r="E1874" i="5" l="1"/>
  <c r="D1875" i="5"/>
  <c r="A1879" i="5"/>
  <c r="B1878" i="5" a="1"/>
  <c r="B1878" i="5" s="1"/>
  <c r="C1878" i="5" a="1"/>
  <c r="C1878" i="5" s="1"/>
  <c r="E1875" i="5" l="1"/>
  <c r="D1876" i="5"/>
  <c r="B1879" i="5" a="1"/>
  <c r="B1879" i="5" s="1"/>
  <c r="C1879" i="5" a="1"/>
  <c r="C1879" i="5" s="1"/>
  <c r="A1880" i="5"/>
  <c r="E1876" i="5" l="1"/>
  <c r="D1877" i="5"/>
  <c r="A1881" i="5"/>
  <c r="B1880" i="5" a="1"/>
  <c r="B1880" i="5" s="1"/>
  <c r="C1880" i="5" a="1"/>
  <c r="C1880" i="5" s="1"/>
  <c r="E1877" i="5" l="1"/>
  <c r="D1878" i="5"/>
  <c r="B1881" i="5" a="1"/>
  <c r="B1881" i="5" s="1"/>
  <c r="C1881" i="5" a="1"/>
  <c r="C1881" i="5" s="1"/>
  <c r="A1882" i="5"/>
  <c r="E1878" i="5" l="1"/>
  <c r="D1879" i="5"/>
  <c r="B1882" i="5" a="1"/>
  <c r="B1882" i="5" s="1"/>
  <c r="C1882" i="5" a="1"/>
  <c r="C1882" i="5" s="1"/>
  <c r="A1883" i="5"/>
  <c r="E1879" i="5" l="1"/>
  <c r="D1880" i="5"/>
  <c r="B1883" i="5" a="1"/>
  <c r="B1883" i="5" s="1"/>
  <c r="C1883" i="5" a="1"/>
  <c r="C1883" i="5" s="1"/>
  <c r="A1884" i="5"/>
  <c r="E1880" i="5" l="1"/>
  <c r="D1881" i="5"/>
  <c r="B1884" i="5" a="1"/>
  <c r="B1884" i="5" s="1"/>
  <c r="C1884" i="5" a="1"/>
  <c r="C1884" i="5" s="1"/>
  <c r="A1885" i="5"/>
  <c r="E1881" i="5" l="1"/>
  <c r="D1882" i="5"/>
  <c r="C1885" i="5" a="1"/>
  <c r="C1885" i="5" s="1"/>
  <c r="A1886" i="5"/>
  <c r="B1885" i="5" a="1"/>
  <c r="B1885" i="5" s="1"/>
  <c r="E1882" i="5" l="1"/>
  <c r="D1883" i="5"/>
  <c r="B1886" i="5" a="1"/>
  <c r="B1886" i="5" s="1"/>
  <c r="C1886" i="5" a="1"/>
  <c r="C1886" i="5" s="1"/>
  <c r="A1887" i="5"/>
  <c r="E1883" i="5" l="1"/>
  <c r="D1884" i="5"/>
  <c r="A1888" i="5"/>
  <c r="B1887" i="5" a="1"/>
  <c r="B1887" i="5" s="1"/>
  <c r="C1887" i="5" a="1"/>
  <c r="C1887" i="5" s="1"/>
  <c r="E1884" i="5" l="1"/>
  <c r="D1885" i="5"/>
  <c r="B1888" i="5" a="1"/>
  <c r="B1888" i="5" s="1"/>
  <c r="C1888" i="5" a="1"/>
  <c r="C1888" i="5" s="1"/>
  <c r="A1889" i="5"/>
  <c r="E1885" i="5" l="1"/>
  <c r="D1886" i="5"/>
  <c r="A1890" i="5"/>
  <c r="B1889" i="5" a="1"/>
  <c r="B1889" i="5" s="1"/>
  <c r="C1889" i="5" a="1"/>
  <c r="C1889" i="5" s="1"/>
  <c r="E1886" i="5" l="1"/>
  <c r="D1887" i="5"/>
  <c r="B1890" i="5" a="1"/>
  <c r="B1890" i="5" s="1"/>
  <c r="C1890" i="5" a="1"/>
  <c r="C1890" i="5" s="1"/>
  <c r="A1891" i="5"/>
  <c r="E1887" i="5" l="1"/>
  <c r="D1888" i="5"/>
  <c r="C1891" i="5" a="1"/>
  <c r="C1891" i="5" s="1"/>
  <c r="A1892" i="5"/>
  <c r="B1891" i="5" a="1"/>
  <c r="B1891" i="5" s="1"/>
  <c r="E1888" i="5" l="1"/>
  <c r="D1889" i="5"/>
  <c r="C1892" i="5" a="1"/>
  <c r="C1892" i="5" s="1"/>
  <c r="A1893" i="5"/>
  <c r="B1892" i="5" a="1"/>
  <c r="B1892" i="5" s="1"/>
  <c r="E1889" i="5" l="1"/>
  <c r="D1890" i="5"/>
  <c r="B1893" i="5" a="1"/>
  <c r="B1893" i="5" s="1"/>
  <c r="A1894" i="5"/>
  <c r="C1893" i="5" a="1"/>
  <c r="C1893" i="5" s="1"/>
  <c r="E1890" i="5" l="1"/>
  <c r="D1891" i="5"/>
  <c r="A1895" i="5"/>
  <c r="B1894" i="5" a="1"/>
  <c r="B1894" i="5" s="1"/>
  <c r="C1894" i="5" a="1"/>
  <c r="C1894" i="5" s="1"/>
  <c r="E1891" i="5" l="1"/>
  <c r="D1892" i="5"/>
  <c r="B1895" i="5" a="1"/>
  <c r="B1895" i="5" s="1"/>
  <c r="C1895" i="5" a="1"/>
  <c r="C1895" i="5" s="1"/>
  <c r="A1896" i="5"/>
  <c r="E1892" i="5" l="1"/>
  <c r="D1893" i="5"/>
  <c r="A1897" i="5"/>
  <c r="C1896" i="5" a="1"/>
  <c r="C1896" i="5" s="1"/>
  <c r="B1896" i="5" a="1"/>
  <c r="B1896" i="5" s="1"/>
  <c r="E1893" i="5" l="1"/>
  <c r="D1894" i="5"/>
  <c r="B1897" i="5" a="1"/>
  <c r="B1897" i="5" s="1"/>
  <c r="C1897" i="5" a="1"/>
  <c r="C1897" i="5" s="1"/>
  <c r="A1898" i="5"/>
  <c r="E1894" i="5" l="1"/>
  <c r="D1895" i="5"/>
  <c r="B1898" i="5" a="1"/>
  <c r="B1898" i="5" s="1"/>
  <c r="C1898" i="5" a="1"/>
  <c r="C1898" i="5" s="1"/>
  <c r="A1899" i="5"/>
  <c r="E1895" i="5" l="1"/>
  <c r="D1896" i="5"/>
  <c r="B1899" i="5" a="1"/>
  <c r="B1899" i="5" s="1"/>
  <c r="C1899" i="5" a="1"/>
  <c r="C1899" i="5" s="1"/>
  <c r="A1900" i="5"/>
  <c r="E1896" i="5" l="1"/>
  <c r="D1897" i="5"/>
  <c r="B1900" i="5" a="1"/>
  <c r="B1900" i="5" s="1"/>
  <c r="C1900" i="5" a="1"/>
  <c r="C1900" i="5" s="1"/>
  <c r="A1901" i="5"/>
  <c r="E1897" i="5" l="1"/>
  <c r="D1898" i="5"/>
  <c r="C1901" i="5" a="1"/>
  <c r="C1901" i="5" s="1"/>
  <c r="A1902" i="5"/>
  <c r="B1901" i="5" a="1"/>
  <c r="B1901" i="5" s="1"/>
  <c r="E1898" i="5" l="1"/>
  <c r="D1899" i="5"/>
  <c r="B1902" i="5" a="1"/>
  <c r="B1902" i="5" s="1"/>
  <c r="C1902" i="5" a="1"/>
  <c r="C1902" i="5" s="1"/>
  <c r="A1903" i="5"/>
  <c r="E1899" i="5" l="1"/>
  <c r="D1900" i="5"/>
  <c r="A1904" i="5"/>
  <c r="B1903" i="5" a="1"/>
  <c r="B1903" i="5" s="1"/>
  <c r="C1903" i="5" a="1"/>
  <c r="C1903" i="5" s="1"/>
  <c r="E1900" i="5" l="1"/>
  <c r="D1901" i="5"/>
  <c r="B1904" i="5" a="1"/>
  <c r="B1904" i="5" s="1"/>
  <c r="C1904" i="5" a="1"/>
  <c r="C1904" i="5" s="1"/>
  <c r="A1905" i="5"/>
  <c r="E1901" i="5" l="1"/>
  <c r="D1902" i="5"/>
  <c r="A1906" i="5"/>
  <c r="B1905" i="5" a="1"/>
  <c r="B1905" i="5" s="1"/>
  <c r="C1905" i="5" a="1"/>
  <c r="C1905" i="5" s="1"/>
  <c r="E1902" i="5" l="1"/>
  <c r="D1903" i="5"/>
  <c r="B1906" i="5" a="1"/>
  <c r="B1906" i="5" s="1"/>
  <c r="C1906" i="5" a="1"/>
  <c r="C1906" i="5" s="1"/>
  <c r="A1907" i="5"/>
  <c r="E1903" i="5" l="1"/>
  <c r="D1904" i="5"/>
  <c r="C1907" i="5" a="1"/>
  <c r="C1907" i="5" s="1"/>
  <c r="A1908" i="5"/>
  <c r="B1907" i="5" a="1"/>
  <c r="B1907" i="5" s="1"/>
  <c r="E1904" i="5" l="1"/>
  <c r="D1905" i="5"/>
  <c r="C1908" i="5" a="1"/>
  <c r="C1908" i="5" s="1"/>
  <c r="A1909" i="5"/>
  <c r="B1908" i="5" a="1"/>
  <c r="B1908" i="5" s="1"/>
  <c r="E1905" i="5" l="1"/>
  <c r="D1906" i="5"/>
  <c r="B1909" i="5" a="1"/>
  <c r="B1909" i="5" s="1"/>
  <c r="A1910" i="5"/>
  <c r="C1909" i="5" a="1"/>
  <c r="C1909" i="5" s="1"/>
  <c r="E1906" i="5" l="1"/>
  <c r="D1907" i="5"/>
  <c r="A1911" i="5"/>
  <c r="B1910" i="5" a="1"/>
  <c r="B1910" i="5" s="1"/>
  <c r="C1910" i="5" a="1"/>
  <c r="C1910" i="5" s="1"/>
  <c r="E1907" i="5" l="1"/>
  <c r="D1908" i="5"/>
  <c r="B1911" i="5" a="1"/>
  <c r="B1911" i="5" s="1"/>
  <c r="C1911" i="5" a="1"/>
  <c r="C1911" i="5" s="1"/>
  <c r="A1912" i="5"/>
  <c r="E1908" i="5" l="1"/>
  <c r="D1909" i="5"/>
  <c r="A1913" i="5"/>
  <c r="B1912" i="5" a="1"/>
  <c r="B1912" i="5" s="1"/>
  <c r="C1912" i="5" a="1"/>
  <c r="C1912" i="5" s="1"/>
  <c r="E1909" i="5" l="1"/>
  <c r="D1910" i="5"/>
  <c r="B1913" i="5" a="1"/>
  <c r="B1913" i="5" s="1"/>
  <c r="C1913" i="5" a="1"/>
  <c r="C1913" i="5" s="1"/>
  <c r="A1914" i="5"/>
  <c r="E1910" i="5" l="1"/>
  <c r="D1911" i="5"/>
  <c r="B1914" i="5" a="1"/>
  <c r="B1914" i="5" s="1"/>
  <c r="C1914" i="5" a="1"/>
  <c r="C1914" i="5" s="1"/>
  <c r="A1915" i="5"/>
  <c r="E1911" i="5" l="1"/>
  <c r="D1912" i="5"/>
  <c r="B1915" i="5" a="1"/>
  <c r="B1915" i="5" s="1"/>
  <c r="C1915" i="5" a="1"/>
  <c r="C1915" i="5" s="1"/>
  <c r="A1916" i="5"/>
  <c r="E1912" i="5" l="1"/>
  <c r="D1913" i="5"/>
  <c r="B1916" i="5" a="1"/>
  <c r="B1916" i="5" s="1"/>
  <c r="C1916" i="5" a="1"/>
  <c r="C1916" i="5" s="1"/>
  <c r="A1917" i="5"/>
  <c r="E1913" i="5" l="1"/>
  <c r="D1914" i="5"/>
  <c r="C1917" i="5" a="1"/>
  <c r="C1917" i="5" s="1"/>
  <c r="A1918" i="5"/>
  <c r="B1917" i="5" a="1"/>
  <c r="B1917" i="5" s="1"/>
  <c r="E1914" i="5" l="1"/>
  <c r="D1915" i="5"/>
  <c r="B1918" i="5" a="1"/>
  <c r="B1918" i="5" s="1"/>
  <c r="C1918" i="5" a="1"/>
  <c r="C1918" i="5" s="1"/>
  <c r="A1919" i="5"/>
  <c r="E1915" i="5" l="1"/>
  <c r="D1916" i="5"/>
  <c r="A1920" i="5"/>
  <c r="B1919" i="5" a="1"/>
  <c r="B1919" i="5" s="1"/>
  <c r="C1919" i="5" a="1"/>
  <c r="C1919" i="5" s="1"/>
  <c r="E1916" i="5" l="1"/>
  <c r="D1917" i="5"/>
  <c r="B1920" i="5" a="1"/>
  <c r="B1920" i="5" s="1"/>
  <c r="C1920" i="5" a="1"/>
  <c r="C1920" i="5" s="1"/>
  <c r="A1921" i="5"/>
  <c r="E1917" i="5" l="1"/>
  <c r="D1918" i="5"/>
  <c r="A1922" i="5"/>
  <c r="B1921" i="5" a="1"/>
  <c r="B1921" i="5" s="1"/>
  <c r="C1921" i="5" a="1"/>
  <c r="C1921" i="5" s="1"/>
  <c r="E1918" i="5" l="1"/>
  <c r="D1919" i="5"/>
  <c r="B1922" i="5" a="1"/>
  <c r="B1922" i="5" s="1"/>
  <c r="C1922" i="5" a="1"/>
  <c r="C1922" i="5" s="1"/>
  <c r="A1923" i="5"/>
  <c r="E1919" i="5" l="1"/>
  <c r="D1920" i="5"/>
  <c r="C1923" i="5" a="1"/>
  <c r="C1923" i="5" s="1"/>
  <c r="B1923" i="5" a="1"/>
  <c r="B1923" i="5" s="1"/>
  <c r="A1924" i="5"/>
  <c r="E1920" i="5" l="1"/>
  <c r="D1921" i="5"/>
  <c r="C1924" i="5" a="1"/>
  <c r="C1924" i="5" s="1"/>
  <c r="A1925" i="5"/>
  <c r="B1924" i="5" a="1"/>
  <c r="B1924" i="5" s="1"/>
  <c r="E1921" i="5" l="1"/>
  <c r="D1922" i="5"/>
  <c r="B1925" i="5" a="1"/>
  <c r="B1925" i="5" s="1"/>
  <c r="A1926" i="5"/>
  <c r="C1925" i="5" a="1"/>
  <c r="C1925" i="5" s="1"/>
  <c r="E1922" i="5" l="1"/>
  <c r="D1923" i="5"/>
  <c r="A1927" i="5"/>
  <c r="B1926" i="5" a="1"/>
  <c r="B1926" i="5" s="1"/>
  <c r="C1926" i="5" a="1"/>
  <c r="C1926" i="5" s="1"/>
  <c r="E1923" i="5" l="1"/>
  <c r="D1924" i="5"/>
  <c r="B1927" i="5" a="1"/>
  <c r="B1927" i="5" s="1"/>
  <c r="C1927" i="5" a="1"/>
  <c r="C1927" i="5" s="1"/>
  <c r="A1928" i="5"/>
  <c r="E1924" i="5" l="1"/>
  <c r="D1925" i="5"/>
  <c r="A1929" i="5"/>
  <c r="C1928" i="5" a="1"/>
  <c r="C1928" i="5" s="1"/>
  <c r="B1928" i="5" a="1"/>
  <c r="B1928" i="5" s="1"/>
  <c r="E1925" i="5" l="1"/>
  <c r="D1926" i="5"/>
  <c r="B1929" i="5" a="1"/>
  <c r="B1929" i="5" s="1"/>
  <c r="C1929" i="5" a="1"/>
  <c r="C1929" i="5" s="1"/>
  <c r="A1930" i="5"/>
  <c r="E1926" i="5" l="1"/>
  <c r="D1927" i="5"/>
  <c r="B1930" i="5" a="1"/>
  <c r="B1930" i="5" s="1"/>
  <c r="C1930" i="5" a="1"/>
  <c r="C1930" i="5" s="1"/>
  <c r="A1931" i="5"/>
  <c r="E1927" i="5" l="1"/>
  <c r="D1928" i="5"/>
  <c r="B1931" i="5" a="1"/>
  <c r="B1931" i="5" s="1"/>
  <c r="C1931" i="5" a="1"/>
  <c r="C1931" i="5" s="1"/>
  <c r="A1932" i="5"/>
  <c r="E1928" i="5" l="1"/>
  <c r="D1929" i="5"/>
  <c r="B1932" i="5" a="1"/>
  <c r="B1932" i="5" s="1"/>
  <c r="A1933" i="5"/>
  <c r="C1932" i="5" a="1"/>
  <c r="C1932" i="5" s="1"/>
  <c r="E1929" i="5" l="1"/>
  <c r="D1930" i="5"/>
  <c r="C1933" i="5" a="1"/>
  <c r="C1933" i="5" s="1"/>
  <c r="B1933" i="5" a="1"/>
  <c r="B1933" i="5" s="1"/>
  <c r="A1934" i="5"/>
  <c r="E1930" i="5" l="1"/>
  <c r="D1931" i="5"/>
  <c r="B1934" i="5" a="1"/>
  <c r="B1934" i="5" s="1"/>
  <c r="C1934" i="5" a="1"/>
  <c r="C1934" i="5" s="1"/>
  <c r="A1935" i="5"/>
  <c r="E1931" i="5" l="1"/>
  <c r="D1932" i="5"/>
  <c r="A1936" i="5"/>
  <c r="B1935" i="5" a="1"/>
  <c r="B1935" i="5" s="1"/>
  <c r="C1935" i="5" a="1"/>
  <c r="C1935" i="5" s="1"/>
  <c r="E1932" i="5" l="1"/>
  <c r="D1933" i="5"/>
  <c r="C1936" i="5" a="1"/>
  <c r="C1936" i="5" s="1"/>
  <c r="A1937" i="5"/>
  <c r="B1936" i="5" a="1"/>
  <c r="B1936" i="5" s="1"/>
  <c r="E1933" i="5" l="1"/>
  <c r="D1934" i="5"/>
  <c r="B1937" i="5" a="1"/>
  <c r="B1937" i="5" s="1"/>
  <c r="C1937" i="5" a="1"/>
  <c r="C1937" i="5" s="1"/>
  <c r="A1938" i="5"/>
  <c r="E1934" i="5" l="1"/>
  <c r="D1935" i="5"/>
  <c r="A1939" i="5"/>
  <c r="B1938" i="5" a="1"/>
  <c r="B1938" i="5" s="1"/>
  <c r="C1938" i="5" a="1"/>
  <c r="C1938" i="5" s="1"/>
  <c r="E1935" i="5" l="1"/>
  <c r="D1936" i="5"/>
  <c r="B1939" i="5" a="1"/>
  <c r="B1939" i="5" s="1"/>
  <c r="C1939" i="5" a="1"/>
  <c r="C1939" i="5" s="1"/>
  <c r="A1940" i="5"/>
  <c r="E1936" i="5" l="1"/>
  <c r="D1937" i="5"/>
  <c r="B1940" i="5" a="1"/>
  <c r="B1940" i="5" s="1"/>
  <c r="C1940" i="5" a="1"/>
  <c r="C1940" i="5" s="1"/>
  <c r="A1941" i="5"/>
  <c r="E1937" i="5" l="1"/>
  <c r="D1938" i="5"/>
  <c r="B1941" i="5" a="1"/>
  <c r="B1941" i="5" s="1"/>
  <c r="A1942" i="5"/>
  <c r="C1941" i="5" a="1"/>
  <c r="C1941" i="5" s="1"/>
  <c r="E1938" i="5" l="1"/>
  <c r="D1939" i="5"/>
  <c r="B1942" i="5" a="1"/>
  <c r="B1942" i="5" s="1"/>
  <c r="C1942" i="5" a="1"/>
  <c r="C1942" i="5" s="1"/>
  <c r="A1943" i="5"/>
  <c r="E1939" i="5" l="1"/>
  <c r="D1940" i="5"/>
  <c r="C1943" i="5" a="1"/>
  <c r="C1943" i="5" s="1"/>
  <c r="B1943" i="5" a="1"/>
  <c r="B1943" i="5" s="1"/>
  <c r="A1944" i="5"/>
  <c r="E1940" i="5" l="1"/>
  <c r="D1941" i="5"/>
  <c r="B1944" i="5" a="1"/>
  <c r="B1944" i="5" s="1"/>
  <c r="C1944" i="5" a="1"/>
  <c r="C1944" i="5" s="1"/>
  <c r="A1945" i="5"/>
  <c r="E1941" i="5" l="1"/>
  <c r="D1942" i="5"/>
  <c r="B1945" i="5" a="1"/>
  <c r="B1945" i="5" s="1"/>
  <c r="C1945" i="5" a="1"/>
  <c r="C1945" i="5" s="1"/>
  <c r="A1946" i="5"/>
  <c r="E1942" i="5" l="1"/>
  <c r="D1943" i="5"/>
  <c r="A1947" i="5"/>
  <c r="B1946" i="5" a="1"/>
  <c r="B1946" i="5" s="1"/>
  <c r="C1946" i="5" a="1"/>
  <c r="C1946" i="5" s="1"/>
  <c r="E1943" i="5" l="1"/>
  <c r="D1944" i="5"/>
  <c r="C1947" i="5" a="1"/>
  <c r="C1947" i="5" s="1"/>
  <c r="B1947" i="5" a="1"/>
  <c r="B1947" i="5" s="1"/>
  <c r="A1948" i="5"/>
  <c r="E1944" i="5" l="1"/>
  <c r="D1945" i="5"/>
  <c r="B1948" i="5" a="1"/>
  <c r="B1948" i="5" s="1"/>
  <c r="C1948" i="5" a="1"/>
  <c r="C1948" i="5" s="1"/>
  <c r="A1949" i="5"/>
  <c r="E1945" i="5" l="1"/>
  <c r="D1946" i="5"/>
  <c r="B1949" i="5" a="1"/>
  <c r="B1949" i="5" s="1"/>
  <c r="C1949" i="5" a="1"/>
  <c r="C1949" i="5" s="1"/>
  <c r="A1950" i="5"/>
  <c r="E1946" i="5" l="1"/>
  <c r="D1947" i="5"/>
  <c r="B1950" i="5" a="1"/>
  <c r="B1950" i="5" s="1"/>
  <c r="C1950" i="5" a="1"/>
  <c r="C1950" i="5" s="1"/>
  <c r="A1951" i="5"/>
  <c r="E1947" i="5" l="1"/>
  <c r="D1948" i="5"/>
  <c r="C1951" i="5" a="1"/>
  <c r="C1951" i="5" s="1"/>
  <c r="A1952" i="5"/>
  <c r="B1951" i="5" a="1"/>
  <c r="B1951" i="5" s="1"/>
  <c r="E1948" i="5" l="1"/>
  <c r="D1949" i="5"/>
  <c r="B1952" i="5" a="1"/>
  <c r="B1952" i="5" s="1"/>
  <c r="C1952" i="5" a="1"/>
  <c r="C1952" i="5" s="1"/>
  <c r="A1953" i="5"/>
  <c r="E1949" i="5" l="1"/>
  <c r="D1950" i="5"/>
  <c r="A1954" i="5"/>
  <c r="B1953" i="5" a="1"/>
  <c r="B1953" i="5" s="1"/>
  <c r="C1953" i="5" a="1"/>
  <c r="C1953" i="5" s="1"/>
  <c r="E1950" i="5" l="1"/>
  <c r="D1951" i="5"/>
  <c r="B1954" i="5" a="1"/>
  <c r="B1954" i="5" s="1"/>
  <c r="C1954" i="5" a="1"/>
  <c r="C1954" i="5" s="1"/>
  <c r="A1955" i="5"/>
  <c r="E1951" i="5" l="1"/>
  <c r="D1952" i="5"/>
  <c r="A1956" i="5"/>
  <c r="B1955" i="5" a="1"/>
  <c r="B1955" i="5" s="1"/>
  <c r="C1955" i="5" a="1"/>
  <c r="C1955" i="5" s="1"/>
  <c r="E1952" i="5" l="1"/>
  <c r="D1953" i="5"/>
  <c r="B1956" i="5" a="1"/>
  <c r="B1956" i="5" s="1"/>
  <c r="C1956" i="5" a="1"/>
  <c r="C1956" i="5" s="1"/>
  <c r="A1957" i="5"/>
  <c r="E1953" i="5" l="1"/>
  <c r="D1954" i="5"/>
  <c r="B1957" i="5" a="1"/>
  <c r="B1957" i="5" s="1"/>
  <c r="C1957" i="5" a="1"/>
  <c r="C1957" i="5" s="1"/>
  <c r="A1958" i="5"/>
  <c r="E1954" i="5" l="1"/>
  <c r="D1955" i="5"/>
  <c r="C1958" i="5" a="1"/>
  <c r="C1958" i="5" s="1"/>
  <c r="A1959" i="5"/>
  <c r="B1958" i="5" a="1"/>
  <c r="B1958" i="5" s="1"/>
  <c r="E1955" i="5" l="1"/>
  <c r="D1956" i="5"/>
  <c r="B1959" i="5" a="1"/>
  <c r="B1959" i="5" s="1"/>
  <c r="C1959" i="5" a="1"/>
  <c r="C1959" i="5" s="1"/>
  <c r="A1960" i="5"/>
  <c r="E1956" i="5" l="1"/>
  <c r="D1957" i="5"/>
  <c r="A1961" i="5"/>
  <c r="B1960" i="5" a="1"/>
  <c r="B1960" i="5" s="1"/>
  <c r="C1960" i="5" a="1"/>
  <c r="C1960" i="5" s="1"/>
  <c r="E1957" i="5" l="1"/>
  <c r="D1958" i="5"/>
  <c r="B1961" i="5" a="1"/>
  <c r="B1961" i="5" s="1"/>
  <c r="C1961" i="5" a="1"/>
  <c r="C1961" i="5" s="1"/>
  <c r="A1962" i="5"/>
  <c r="E1958" i="5" l="1"/>
  <c r="D1959" i="5"/>
  <c r="A1963" i="5"/>
  <c r="B1962" i="5" a="1"/>
  <c r="B1962" i="5" s="1"/>
  <c r="C1962" i="5" a="1"/>
  <c r="C1962" i="5" s="1"/>
  <c r="E1959" i="5" l="1"/>
  <c r="D1960" i="5"/>
  <c r="B1963" i="5" a="1"/>
  <c r="B1963" i="5" s="1"/>
  <c r="C1963" i="5" a="1"/>
  <c r="C1963" i="5" s="1"/>
  <c r="A1964" i="5"/>
  <c r="E1960" i="5" l="1"/>
  <c r="D1961" i="5"/>
  <c r="B1964" i="5" a="1"/>
  <c r="B1964" i="5" s="1"/>
  <c r="C1964" i="5" a="1"/>
  <c r="C1964" i="5" s="1"/>
  <c r="A1965" i="5"/>
  <c r="E1961" i="5" l="1"/>
  <c r="D1962" i="5"/>
  <c r="B1965" i="5" a="1"/>
  <c r="B1965" i="5" s="1"/>
  <c r="C1965" i="5" a="1"/>
  <c r="C1965" i="5" s="1"/>
  <c r="A1966" i="5"/>
  <c r="E1962" i="5" l="1"/>
  <c r="D1963" i="5"/>
  <c r="B1966" i="5" a="1"/>
  <c r="B1966" i="5" s="1"/>
  <c r="C1966" i="5" a="1"/>
  <c r="C1966" i="5" s="1"/>
  <c r="A1967" i="5"/>
  <c r="E1963" i="5" l="1"/>
  <c r="D1964" i="5"/>
  <c r="C1967" i="5" a="1"/>
  <c r="C1967" i="5" s="1"/>
  <c r="A1968" i="5"/>
  <c r="B1967" i="5" a="1"/>
  <c r="B1967" i="5" s="1"/>
  <c r="E1964" i="5" l="1"/>
  <c r="D1965" i="5"/>
  <c r="B1968" i="5" a="1"/>
  <c r="B1968" i="5" s="1"/>
  <c r="C1968" i="5" a="1"/>
  <c r="C1968" i="5" s="1"/>
  <c r="A1969" i="5"/>
  <c r="E1965" i="5" l="1"/>
  <c r="D1966" i="5"/>
  <c r="A1970" i="5"/>
  <c r="B1969" i="5" a="1"/>
  <c r="B1969" i="5" s="1"/>
  <c r="C1969" i="5" a="1"/>
  <c r="C1969" i="5" s="1"/>
  <c r="E1966" i="5" l="1"/>
  <c r="D1967" i="5"/>
  <c r="B1970" i="5" a="1"/>
  <c r="B1970" i="5" s="1"/>
  <c r="C1970" i="5" a="1"/>
  <c r="C1970" i="5" s="1"/>
  <c r="A1971" i="5"/>
  <c r="E1967" i="5" l="1"/>
  <c r="D1968" i="5"/>
  <c r="A1972" i="5"/>
  <c r="B1971" i="5" a="1"/>
  <c r="B1971" i="5" s="1"/>
  <c r="C1971" i="5" a="1"/>
  <c r="C1971" i="5" s="1"/>
  <c r="E1968" i="5" l="1"/>
  <c r="D1969" i="5"/>
  <c r="B1972" i="5" a="1"/>
  <c r="B1972" i="5" s="1"/>
  <c r="C1972" i="5" a="1"/>
  <c r="C1972" i="5" s="1"/>
  <c r="A1973" i="5"/>
  <c r="E1969" i="5" l="1"/>
  <c r="D1970" i="5"/>
  <c r="B1973" i="5" a="1"/>
  <c r="B1973" i="5" s="1"/>
  <c r="C1973" i="5" a="1"/>
  <c r="C1973" i="5" s="1"/>
  <c r="A1974" i="5"/>
  <c r="E1970" i="5" l="1"/>
  <c r="D1971" i="5"/>
  <c r="C1974" i="5" a="1"/>
  <c r="C1974" i="5" s="1"/>
  <c r="A1975" i="5"/>
  <c r="B1974" i="5" a="1"/>
  <c r="B1974" i="5" s="1"/>
  <c r="E1971" i="5" l="1"/>
  <c r="D1972" i="5"/>
  <c r="B1975" i="5" a="1"/>
  <c r="B1975" i="5" s="1"/>
  <c r="C1975" i="5" a="1"/>
  <c r="C1975" i="5" s="1"/>
  <c r="A1976" i="5"/>
  <c r="E1972" i="5" l="1"/>
  <c r="D1973" i="5"/>
  <c r="A1977" i="5"/>
  <c r="B1976" i="5" a="1"/>
  <c r="B1976" i="5" s="1"/>
  <c r="C1976" i="5" a="1"/>
  <c r="C1976" i="5" s="1"/>
  <c r="E1973" i="5" l="1"/>
  <c r="D1974" i="5"/>
  <c r="B1977" i="5" a="1"/>
  <c r="B1977" i="5" s="1"/>
  <c r="C1977" i="5" a="1"/>
  <c r="C1977" i="5" s="1"/>
  <c r="A1978" i="5"/>
  <c r="E1974" i="5" l="1"/>
  <c r="D1975" i="5"/>
  <c r="A1979" i="5"/>
  <c r="B1978" i="5" a="1"/>
  <c r="B1978" i="5" s="1"/>
  <c r="C1978" i="5" a="1"/>
  <c r="C1978" i="5" s="1"/>
  <c r="E1975" i="5" l="1"/>
  <c r="D1976" i="5"/>
  <c r="B1979" i="5" a="1"/>
  <c r="B1979" i="5" s="1"/>
  <c r="C1979" i="5" a="1"/>
  <c r="C1979" i="5" s="1"/>
  <c r="A1980" i="5"/>
  <c r="E1976" i="5" l="1"/>
  <c r="D1977" i="5"/>
  <c r="B1980" i="5" a="1"/>
  <c r="B1980" i="5" s="1"/>
  <c r="C1980" i="5" a="1"/>
  <c r="C1980" i="5" s="1"/>
  <c r="A1981" i="5"/>
  <c r="E1977" i="5" l="1"/>
  <c r="D1978" i="5"/>
  <c r="B1981" i="5" a="1"/>
  <c r="B1981" i="5" s="1"/>
  <c r="C1981" i="5" a="1"/>
  <c r="C1981" i="5" s="1"/>
  <c r="A1982" i="5"/>
  <c r="E1978" i="5" l="1"/>
  <c r="D1979" i="5"/>
  <c r="B1982" i="5" a="1"/>
  <c r="B1982" i="5" s="1"/>
  <c r="C1982" i="5" a="1"/>
  <c r="C1982" i="5" s="1"/>
  <c r="A1983" i="5"/>
  <c r="E1979" i="5" l="1"/>
  <c r="D1980" i="5"/>
  <c r="C1983" i="5" a="1"/>
  <c r="C1983" i="5" s="1"/>
  <c r="A1984" i="5"/>
  <c r="B1983" i="5" a="1"/>
  <c r="B1983" i="5" s="1"/>
  <c r="E1980" i="5" l="1"/>
  <c r="D1981" i="5"/>
  <c r="B1984" i="5" a="1"/>
  <c r="B1984" i="5" s="1"/>
  <c r="C1984" i="5" a="1"/>
  <c r="C1984" i="5" s="1"/>
  <c r="A1985" i="5"/>
  <c r="E1981" i="5" l="1"/>
  <c r="D1982" i="5"/>
  <c r="A1986" i="5"/>
  <c r="B1985" i="5" a="1"/>
  <c r="B1985" i="5" s="1"/>
  <c r="C1985" i="5" a="1"/>
  <c r="C1985" i="5" s="1"/>
  <c r="E1982" i="5" l="1"/>
  <c r="D1983" i="5"/>
  <c r="B1986" i="5" a="1"/>
  <c r="B1986" i="5" s="1"/>
  <c r="C1986" i="5" a="1"/>
  <c r="C1986" i="5" s="1"/>
  <c r="A1987" i="5"/>
  <c r="E1983" i="5" l="1"/>
  <c r="D1984" i="5"/>
  <c r="A1988" i="5"/>
  <c r="B1987" i="5" a="1"/>
  <c r="B1987" i="5" s="1"/>
  <c r="C1987" i="5" a="1"/>
  <c r="C1987" i="5" s="1"/>
  <c r="E1984" i="5" l="1"/>
  <c r="D1985" i="5"/>
  <c r="B1988" i="5" a="1"/>
  <c r="B1988" i="5" s="1"/>
  <c r="C1988" i="5" a="1"/>
  <c r="C1988" i="5" s="1"/>
  <c r="A1989" i="5"/>
  <c r="E1985" i="5" l="1"/>
  <c r="D1986" i="5"/>
  <c r="B1989" i="5" a="1"/>
  <c r="B1989" i="5" s="1"/>
  <c r="C1989" i="5" a="1"/>
  <c r="C1989" i="5" s="1"/>
  <c r="A1990" i="5"/>
  <c r="E1986" i="5" l="1"/>
  <c r="D1987" i="5"/>
  <c r="C1990" i="5" a="1"/>
  <c r="C1990" i="5" s="1"/>
  <c r="A1991" i="5"/>
  <c r="B1990" i="5" a="1"/>
  <c r="B1990" i="5" s="1"/>
  <c r="E1987" i="5" l="1"/>
  <c r="D1988" i="5"/>
  <c r="B1991" i="5" a="1"/>
  <c r="B1991" i="5" s="1"/>
  <c r="C1991" i="5" a="1"/>
  <c r="C1991" i="5" s="1"/>
  <c r="A1992" i="5"/>
  <c r="E1988" i="5" l="1"/>
  <c r="D1989" i="5"/>
  <c r="A1993" i="5"/>
  <c r="B1992" i="5" a="1"/>
  <c r="B1992" i="5" s="1"/>
  <c r="C1992" i="5" a="1"/>
  <c r="C1992" i="5" s="1"/>
  <c r="E1989" i="5" l="1"/>
  <c r="D1990" i="5"/>
  <c r="B1993" i="5" a="1"/>
  <c r="B1993" i="5" s="1"/>
  <c r="C1993" i="5" a="1"/>
  <c r="C1993" i="5" s="1"/>
  <c r="A1994" i="5"/>
  <c r="E1990" i="5" l="1"/>
  <c r="D1991" i="5"/>
  <c r="A1995" i="5"/>
  <c r="B1994" i="5" a="1"/>
  <c r="B1994" i="5" s="1"/>
  <c r="C1994" i="5" a="1"/>
  <c r="C1994" i="5" s="1"/>
  <c r="E1991" i="5" l="1"/>
  <c r="D1992" i="5"/>
  <c r="B1995" i="5" a="1"/>
  <c r="B1995" i="5" s="1"/>
  <c r="C1995" i="5" a="1"/>
  <c r="C1995" i="5" s="1"/>
  <c r="A1996" i="5"/>
  <c r="E1992" i="5" l="1"/>
  <c r="D1993" i="5"/>
  <c r="B1996" i="5" a="1"/>
  <c r="B1996" i="5" s="1"/>
  <c r="C1996" i="5" a="1"/>
  <c r="C1996" i="5" s="1"/>
  <c r="A1997" i="5"/>
  <c r="E1993" i="5" l="1"/>
  <c r="D1994" i="5"/>
  <c r="B1997" i="5" a="1"/>
  <c r="B1997" i="5" s="1"/>
  <c r="C1997" i="5" a="1"/>
  <c r="C1997" i="5" s="1"/>
  <c r="A1998" i="5"/>
  <c r="E1994" i="5" l="1"/>
  <c r="D1995" i="5"/>
  <c r="B1998" i="5" a="1"/>
  <c r="B1998" i="5" s="1"/>
  <c r="C1998" i="5" a="1"/>
  <c r="C1998" i="5" s="1"/>
  <c r="A1999" i="5"/>
  <c r="E1995" i="5" l="1"/>
  <c r="D1996" i="5"/>
  <c r="C1999" i="5" a="1"/>
  <c r="C1999" i="5" s="1"/>
  <c r="A2000" i="5"/>
  <c r="B1999" i="5" a="1"/>
  <c r="B1999" i="5" s="1"/>
  <c r="E1996" i="5" l="1"/>
  <c r="D1997" i="5"/>
  <c r="B2000" i="5" a="1"/>
  <c r="B2000" i="5" s="1"/>
  <c r="C2000" i="5" a="1"/>
  <c r="C2000" i="5" s="1"/>
  <c r="A2001" i="5"/>
  <c r="E1997" i="5" l="1"/>
  <c r="D1998" i="5"/>
  <c r="A2002" i="5"/>
  <c r="B2001" i="5" a="1"/>
  <c r="B2001" i="5" s="1"/>
  <c r="C2001" i="5" a="1"/>
  <c r="C2001" i="5" s="1"/>
  <c r="E1998" i="5" l="1"/>
  <c r="D1999" i="5"/>
  <c r="B2002" i="5" a="1"/>
  <c r="B2002" i="5" s="1"/>
  <c r="C2002" i="5" a="1"/>
  <c r="C2002" i="5" s="1"/>
  <c r="A2003" i="5"/>
  <c r="E1999" i="5" l="1"/>
  <c r="D2000" i="5"/>
  <c r="A2004" i="5"/>
  <c r="B2003" i="5" a="1"/>
  <c r="B2003" i="5" s="1"/>
  <c r="C2003" i="5" a="1"/>
  <c r="C2003" i="5" s="1"/>
  <c r="E2000" i="5" l="1"/>
  <c r="D2001" i="5"/>
  <c r="B2004" i="5" a="1"/>
  <c r="B2004" i="5" s="1"/>
  <c r="C2004" i="5" a="1"/>
  <c r="C2004" i="5" s="1"/>
  <c r="A2005" i="5"/>
  <c r="E2001" i="5" l="1"/>
  <c r="D2002" i="5"/>
  <c r="B2005" i="5" a="1"/>
  <c r="B2005" i="5" s="1"/>
  <c r="C2005" i="5" a="1"/>
  <c r="C2005" i="5" s="1"/>
  <c r="A2006" i="5"/>
  <c r="E2002" i="5" l="1"/>
  <c r="D2003" i="5"/>
  <c r="C2006" i="5" a="1"/>
  <c r="C2006" i="5" s="1"/>
  <c r="A2007" i="5"/>
  <c r="B2006" i="5" a="1"/>
  <c r="B2006" i="5" s="1"/>
  <c r="E2003" i="5" l="1"/>
  <c r="D2004" i="5"/>
  <c r="B2007" i="5" a="1"/>
  <c r="B2007" i="5" s="1"/>
  <c r="C2007" i="5" a="1"/>
  <c r="C2007" i="5" s="1"/>
  <c r="A2008" i="5"/>
  <c r="E2004" i="5" l="1"/>
  <c r="D2005" i="5"/>
  <c r="A2009" i="5"/>
  <c r="B2008" i="5" a="1"/>
  <c r="B2008" i="5" s="1"/>
  <c r="C2008" i="5" a="1"/>
  <c r="C2008" i="5" s="1"/>
  <c r="E2005" i="5" l="1"/>
  <c r="D2006" i="5"/>
  <c r="B2009" i="5" a="1"/>
  <c r="B2009" i="5" s="1"/>
  <c r="C2009" i="5" a="1"/>
  <c r="C2009" i="5" s="1"/>
  <c r="A2010" i="5"/>
  <c r="E2006" i="5" l="1"/>
  <c r="D2007" i="5"/>
  <c r="A2011" i="5"/>
  <c r="B2010" i="5" a="1"/>
  <c r="B2010" i="5" s="1"/>
  <c r="C2010" i="5" a="1"/>
  <c r="C2010" i="5" s="1"/>
  <c r="E2007" i="5" l="1"/>
  <c r="D2008" i="5"/>
  <c r="B2011" i="5" a="1"/>
  <c r="B2011" i="5" s="1"/>
  <c r="C2011" i="5" a="1"/>
  <c r="C2011" i="5" s="1"/>
  <c r="A2012" i="5"/>
  <c r="E2008" i="5" l="1"/>
  <c r="D2009" i="5"/>
  <c r="B2012" i="5" a="1"/>
  <c r="B2012" i="5" s="1"/>
  <c r="C2012" i="5" a="1"/>
  <c r="C2012" i="5" s="1"/>
  <c r="A2013" i="5"/>
  <c r="E2009" i="5" l="1"/>
  <c r="D2010" i="5"/>
  <c r="B2013" i="5" a="1"/>
  <c r="B2013" i="5" s="1"/>
  <c r="C2013" i="5" a="1"/>
  <c r="C2013" i="5" s="1"/>
  <c r="A2014" i="5"/>
  <c r="E2010" i="5" l="1"/>
  <c r="D2011" i="5"/>
  <c r="B2014" i="5" a="1"/>
  <c r="B2014" i="5" s="1"/>
  <c r="C2014" i="5" a="1"/>
  <c r="C2014" i="5" s="1"/>
  <c r="A2015" i="5"/>
  <c r="E2011" i="5" l="1"/>
  <c r="D2012" i="5"/>
  <c r="C2015" i="5" a="1"/>
  <c r="C2015" i="5" s="1"/>
  <c r="A2016" i="5"/>
  <c r="B2015" i="5" a="1"/>
  <c r="B2015" i="5" s="1"/>
  <c r="E2012" i="5" l="1"/>
  <c r="D2013" i="5"/>
  <c r="B2016" i="5" a="1"/>
  <c r="B2016" i="5" s="1"/>
  <c r="C2016" i="5" a="1"/>
  <c r="C2016" i="5" s="1"/>
  <c r="A2017" i="5"/>
  <c r="E2013" i="5" l="1"/>
  <c r="D2014" i="5"/>
  <c r="A2018" i="5"/>
  <c r="B2017" i="5" a="1"/>
  <c r="B2017" i="5" s="1"/>
  <c r="C2017" i="5" a="1"/>
  <c r="C2017" i="5" s="1"/>
  <c r="E2014" i="5" l="1"/>
  <c r="D2015" i="5"/>
  <c r="B2018" i="5" a="1"/>
  <c r="B2018" i="5" s="1"/>
  <c r="C2018" i="5" a="1"/>
  <c r="C2018" i="5" s="1"/>
  <c r="A2019" i="5"/>
  <c r="E2015" i="5" l="1"/>
  <c r="D2016" i="5"/>
  <c r="A2020" i="5"/>
  <c r="B2019" i="5" a="1"/>
  <c r="B2019" i="5" s="1"/>
  <c r="C2019" i="5" a="1"/>
  <c r="C2019" i="5" s="1"/>
  <c r="E2016" i="5" l="1"/>
  <c r="D2017" i="5"/>
  <c r="B2020" i="5" a="1"/>
  <c r="B2020" i="5" s="1"/>
  <c r="C2020" i="5" a="1"/>
  <c r="C2020" i="5" s="1"/>
  <c r="A2021" i="5"/>
  <c r="E2017" i="5" l="1"/>
  <c r="D2018" i="5"/>
  <c r="B2021" i="5" a="1"/>
  <c r="B2021" i="5" s="1"/>
  <c r="C2021" i="5" a="1"/>
  <c r="C2021" i="5" s="1"/>
  <c r="A2022" i="5"/>
  <c r="E2018" i="5" l="1"/>
  <c r="D2019" i="5"/>
  <c r="C2022" i="5" a="1"/>
  <c r="C2022" i="5" s="1"/>
  <c r="A2023" i="5"/>
  <c r="B2022" i="5" a="1"/>
  <c r="B2022" i="5" s="1"/>
  <c r="E2019" i="5" l="1"/>
  <c r="D2020" i="5"/>
  <c r="B2023" i="5" a="1"/>
  <c r="B2023" i="5" s="1"/>
  <c r="C2023" i="5" a="1"/>
  <c r="C2023" i="5" s="1"/>
  <c r="A2024" i="5"/>
  <c r="E2020" i="5" l="1"/>
  <c r="D2021" i="5"/>
  <c r="A2025" i="5"/>
  <c r="B2024" i="5" a="1"/>
  <c r="B2024" i="5" s="1"/>
  <c r="C2024" i="5" a="1"/>
  <c r="C2024" i="5" s="1"/>
  <c r="E2021" i="5" l="1"/>
  <c r="D2022" i="5"/>
  <c r="B2025" i="5" a="1"/>
  <c r="B2025" i="5" s="1"/>
  <c r="C2025" i="5" a="1"/>
  <c r="C2025" i="5" s="1"/>
  <c r="A2026" i="5"/>
  <c r="E2022" i="5" l="1"/>
  <c r="D2023" i="5"/>
  <c r="A2027" i="5"/>
  <c r="B2026" i="5" a="1"/>
  <c r="B2026" i="5" s="1"/>
  <c r="C2026" i="5" a="1"/>
  <c r="C2026" i="5" s="1"/>
  <c r="E2023" i="5" l="1"/>
  <c r="D2024" i="5"/>
  <c r="B2027" i="5" a="1"/>
  <c r="B2027" i="5" s="1"/>
  <c r="C2027" i="5" a="1"/>
  <c r="C2027" i="5" s="1"/>
  <c r="A2028" i="5"/>
  <c r="E2024" i="5" l="1"/>
  <c r="D2025" i="5"/>
  <c r="B2028" i="5" a="1"/>
  <c r="B2028" i="5" s="1"/>
  <c r="C2028" i="5" a="1"/>
  <c r="C2028" i="5" s="1"/>
  <c r="A2029" i="5"/>
  <c r="E2025" i="5" l="1"/>
  <c r="D2026" i="5"/>
  <c r="B2029" i="5" a="1"/>
  <c r="B2029" i="5" s="1"/>
  <c r="C2029" i="5" a="1"/>
  <c r="C2029" i="5" s="1"/>
  <c r="A2030" i="5"/>
  <c r="E2026" i="5" l="1"/>
  <c r="D2027" i="5"/>
  <c r="B2030" i="5" a="1"/>
  <c r="B2030" i="5" s="1"/>
  <c r="C2030" i="5" a="1"/>
  <c r="C2030" i="5" s="1"/>
  <c r="A2031" i="5"/>
  <c r="E2027" i="5" l="1"/>
  <c r="D2028" i="5"/>
  <c r="C2031" i="5" a="1"/>
  <c r="C2031" i="5" s="1"/>
  <c r="A2032" i="5"/>
  <c r="B2031" i="5" a="1"/>
  <c r="B2031" i="5" s="1"/>
  <c r="E2028" i="5" l="1"/>
  <c r="D2029" i="5"/>
  <c r="B2032" i="5" a="1"/>
  <c r="B2032" i="5" s="1"/>
  <c r="C2032" i="5" a="1"/>
  <c r="C2032" i="5" s="1"/>
  <c r="A2033" i="5"/>
  <c r="E2029" i="5" l="1"/>
  <c r="D2030" i="5"/>
  <c r="A2034" i="5"/>
  <c r="B2033" i="5" a="1"/>
  <c r="B2033" i="5" s="1"/>
  <c r="C2033" i="5" a="1"/>
  <c r="C2033" i="5" s="1"/>
  <c r="E2030" i="5" l="1"/>
  <c r="D2031" i="5"/>
  <c r="B2034" i="5" a="1"/>
  <c r="B2034" i="5" s="1"/>
  <c r="C2034" i="5" a="1"/>
  <c r="C2034" i="5" s="1"/>
  <c r="A2035" i="5"/>
  <c r="E2031" i="5" l="1"/>
  <c r="D2032" i="5"/>
  <c r="A2036" i="5"/>
  <c r="B2035" i="5" a="1"/>
  <c r="B2035" i="5" s="1"/>
  <c r="C2035" i="5" a="1"/>
  <c r="C2035" i="5" s="1"/>
  <c r="E2032" i="5" l="1"/>
  <c r="D2033" i="5"/>
  <c r="B2036" i="5" a="1"/>
  <c r="B2036" i="5" s="1"/>
  <c r="C2036" i="5" a="1"/>
  <c r="C2036" i="5" s="1"/>
  <c r="A2037" i="5"/>
  <c r="E2033" i="5" l="1"/>
  <c r="D2034" i="5"/>
  <c r="B2037" i="5" a="1"/>
  <c r="B2037" i="5" s="1"/>
  <c r="C2037" i="5" a="1"/>
  <c r="C2037" i="5" s="1"/>
  <c r="A2038" i="5"/>
  <c r="E2034" i="5" l="1"/>
  <c r="D2035" i="5"/>
  <c r="C2038" i="5" a="1"/>
  <c r="C2038" i="5" s="1"/>
  <c r="A2039" i="5"/>
  <c r="B2038" i="5" a="1"/>
  <c r="B2038" i="5" s="1"/>
  <c r="E2035" i="5" l="1"/>
  <c r="D2036" i="5"/>
  <c r="B2039" i="5" a="1"/>
  <c r="B2039" i="5" s="1"/>
  <c r="C2039" i="5" a="1"/>
  <c r="C2039" i="5" s="1"/>
  <c r="A2040" i="5"/>
  <c r="E2036" i="5" l="1"/>
  <c r="D2037" i="5"/>
  <c r="A2041" i="5"/>
  <c r="B2040" i="5" a="1"/>
  <c r="B2040" i="5" s="1"/>
  <c r="C2040" i="5" a="1"/>
  <c r="C2040" i="5" s="1"/>
  <c r="E2037" i="5" l="1"/>
  <c r="D2038" i="5"/>
  <c r="B2041" i="5" a="1"/>
  <c r="B2041" i="5" s="1"/>
  <c r="C2041" i="5" a="1"/>
  <c r="C2041" i="5" s="1"/>
  <c r="A2042" i="5"/>
  <c r="E2038" i="5" l="1"/>
  <c r="D2039" i="5"/>
  <c r="A2043" i="5"/>
  <c r="B2042" i="5" a="1"/>
  <c r="B2042" i="5" s="1"/>
  <c r="C2042" i="5" a="1"/>
  <c r="C2042" i="5" s="1"/>
  <c r="E2039" i="5" l="1"/>
  <c r="D2040" i="5"/>
  <c r="B2043" i="5" a="1"/>
  <c r="B2043" i="5" s="1"/>
  <c r="C2043" i="5" a="1"/>
  <c r="C2043" i="5" s="1"/>
  <c r="A2044" i="5"/>
  <c r="E2040" i="5" l="1"/>
  <c r="D2041" i="5"/>
  <c r="B2044" i="5" a="1"/>
  <c r="B2044" i="5" s="1"/>
  <c r="C2044" i="5" a="1"/>
  <c r="C2044" i="5" s="1"/>
  <c r="A2045" i="5"/>
  <c r="E2041" i="5" l="1"/>
  <c r="D2042" i="5"/>
  <c r="B2045" i="5" a="1"/>
  <c r="B2045" i="5" s="1"/>
  <c r="C2045" i="5" a="1"/>
  <c r="C2045" i="5" s="1"/>
  <c r="A2046" i="5"/>
  <c r="E2042" i="5" l="1"/>
  <c r="D2043" i="5"/>
  <c r="B2046" i="5" a="1"/>
  <c r="B2046" i="5" s="1"/>
  <c r="C2046" i="5" a="1"/>
  <c r="C2046" i="5" s="1"/>
  <c r="A2047" i="5"/>
  <c r="E2043" i="5" l="1"/>
  <c r="D2044" i="5"/>
  <c r="C2047" i="5" a="1"/>
  <c r="C2047" i="5" s="1"/>
  <c r="A2048" i="5"/>
  <c r="B2047" i="5" a="1"/>
  <c r="B2047" i="5" s="1"/>
  <c r="E2044" i="5" l="1"/>
  <c r="D2045" i="5"/>
  <c r="B2048" i="5" a="1"/>
  <c r="B2048" i="5" s="1"/>
  <c r="C2048" i="5" a="1"/>
  <c r="C2048" i="5" s="1"/>
  <c r="A2049" i="5"/>
  <c r="E2045" i="5" l="1"/>
  <c r="D2046" i="5"/>
  <c r="A2050" i="5"/>
  <c r="B2049" i="5" a="1"/>
  <c r="B2049" i="5" s="1"/>
  <c r="C2049" i="5" a="1"/>
  <c r="C2049" i="5" s="1"/>
  <c r="E2046" i="5" l="1"/>
  <c r="D2047" i="5"/>
  <c r="B2050" i="5" a="1"/>
  <c r="B2050" i="5" s="1"/>
  <c r="C2050" i="5" a="1"/>
  <c r="C2050" i="5" s="1"/>
  <c r="A2051" i="5"/>
  <c r="E2047" i="5" l="1"/>
  <c r="D2048" i="5"/>
  <c r="A2052" i="5"/>
  <c r="B2051" i="5" a="1"/>
  <c r="B2051" i="5" s="1"/>
  <c r="C2051" i="5" a="1"/>
  <c r="C2051" i="5" s="1"/>
  <c r="E2048" i="5" l="1"/>
  <c r="D2049" i="5"/>
  <c r="B2052" i="5" a="1"/>
  <c r="B2052" i="5" s="1"/>
  <c r="C2052" i="5" a="1"/>
  <c r="C2052" i="5" s="1"/>
  <c r="A2053" i="5"/>
  <c r="E2049" i="5" l="1"/>
  <c r="D2050" i="5"/>
  <c r="B2053" i="5" a="1"/>
  <c r="B2053" i="5" s="1"/>
  <c r="C2053" i="5" a="1"/>
  <c r="C2053" i="5" s="1"/>
  <c r="A2054" i="5"/>
  <c r="E2050" i="5" l="1"/>
  <c r="D2051" i="5"/>
  <c r="C2054" i="5" a="1"/>
  <c r="C2054" i="5" s="1"/>
  <c r="A2055" i="5"/>
  <c r="B2054" i="5" a="1"/>
  <c r="B2054" i="5" s="1"/>
  <c r="E2051" i="5" l="1"/>
  <c r="D2052" i="5"/>
  <c r="B2055" i="5" a="1"/>
  <c r="B2055" i="5" s="1"/>
  <c r="C2055" i="5" a="1"/>
  <c r="C2055" i="5" s="1"/>
  <c r="A2056" i="5"/>
  <c r="E2052" i="5" l="1"/>
  <c r="D2053" i="5"/>
  <c r="A2057" i="5"/>
  <c r="B2056" i="5" a="1"/>
  <c r="B2056" i="5" s="1"/>
  <c r="C2056" i="5" a="1"/>
  <c r="C2056" i="5" s="1"/>
  <c r="E2053" i="5" l="1"/>
  <c r="D2054" i="5"/>
  <c r="B2057" i="5" a="1"/>
  <c r="B2057" i="5" s="1"/>
  <c r="C2057" i="5" a="1"/>
  <c r="C2057" i="5" s="1"/>
  <c r="A2058" i="5"/>
  <c r="E2054" i="5" l="1"/>
  <c r="D2055" i="5"/>
  <c r="A2059" i="5"/>
  <c r="B2058" i="5" a="1"/>
  <c r="B2058" i="5" s="1"/>
  <c r="C2058" i="5" a="1"/>
  <c r="C2058" i="5" s="1"/>
  <c r="E2055" i="5" l="1"/>
  <c r="D2056" i="5"/>
  <c r="B2059" i="5" a="1"/>
  <c r="B2059" i="5" s="1"/>
  <c r="C2059" i="5" a="1"/>
  <c r="C2059" i="5" s="1"/>
  <c r="A2060" i="5"/>
  <c r="E2056" i="5" l="1"/>
  <c r="D2057" i="5"/>
  <c r="B2060" i="5" a="1"/>
  <c r="B2060" i="5" s="1"/>
  <c r="C2060" i="5" a="1"/>
  <c r="C2060" i="5" s="1"/>
  <c r="A2061" i="5"/>
  <c r="E2057" i="5" l="1"/>
  <c r="D2058" i="5"/>
  <c r="B2061" i="5" a="1"/>
  <c r="B2061" i="5" s="1"/>
  <c r="C2061" i="5" a="1"/>
  <c r="C2061" i="5" s="1"/>
  <c r="A2062" i="5"/>
  <c r="E2058" i="5" l="1"/>
  <c r="D2059" i="5"/>
  <c r="B2062" i="5" a="1"/>
  <c r="B2062" i="5" s="1"/>
  <c r="C2062" i="5" a="1"/>
  <c r="C2062" i="5" s="1"/>
  <c r="A2063" i="5"/>
  <c r="E2059" i="5" l="1"/>
  <c r="D2060" i="5"/>
  <c r="C2063" i="5" a="1"/>
  <c r="C2063" i="5" s="1"/>
  <c r="A2064" i="5"/>
  <c r="B2063" i="5" a="1"/>
  <c r="B2063" i="5" s="1"/>
  <c r="E2060" i="5" l="1"/>
  <c r="D2061" i="5"/>
  <c r="B2064" i="5" a="1"/>
  <c r="B2064" i="5" s="1"/>
  <c r="C2064" i="5" a="1"/>
  <c r="C2064" i="5" s="1"/>
  <c r="A2065" i="5"/>
  <c r="E2061" i="5" l="1"/>
  <c r="D2062" i="5"/>
  <c r="A2066" i="5"/>
  <c r="B2065" i="5" a="1"/>
  <c r="B2065" i="5" s="1"/>
  <c r="C2065" i="5" a="1"/>
  <c r="C2065" i="5" s="1"/>
  <c r="E2062" i="5" l="1"/>
  <c r="D2063" i="5"/>
  <c r="B2066" i="5" a="1"/>
  <c r="B2066" i="5" s="1"/>
  <c r="C2066" i="5" a="1"/>
  <c r="C2066" i="5" s="1"/>
  <c r="A2067" i="5"/>
  <c r="E2063" i="5" l="1"/>
  <c r="D2064" i="5"/>
  <c r="A2068" i="5"/>
  <c r="B2067" i="5" a="1"/>
  <c r="B2067" i="5" s="1"/>
  <c r="C2067" i="5" a="1"/>
  <c r="C2067" i="5" s="1"/>
  <c r="E2064" i="5" l="1"/>
  <c r="D2065" i="5"/>
  <c r="B2068" i="5" a="1"/>
  <c r="B2068" i="5" s="1"/>
  <c r="C2068" i="5" a="1"/>
  <c r="C2068" i="5" s="1"/>
  <c r="A2069" i="5"/>
  <c r="E2065" i="5" l="1"/>
  <c r="D2066" i="5"/>
  <c r="B2069" i="5" a="1"/>
  <c r="B2069" i="5" s="1"/>
  <c r="C2069" i="5" a="1"/>
  <c r="C2069" i="5" s="1"/>
  <c r="A2070" i="5"/>
  <c r="E2066" i="5" l="1"/>
  <c r="D2067" i="5"/>
  <c r="C2070" i="5" a="1"/>
  <c r="C2070" i="5" s="1"/>
  <c r="A2071" i="5"/>
  <c r="B2070" i="5" a="1"/>
  <c r="B2070" i="5" s="1"/>
  <c r="E2067" i="5" l="1"/>
  <c r="D2068" i="5"/>
  <c r="B2071" i="5" a="1"/>
  <c r="B2071" i="5" s="1"/>
  <c r="C2071" i="5" a="1"/>
  <c r="C2071" i="5" s="1"/>
  <c r="A2072" i="5"/>
  <c r="E2068" i="5" l="1"/>
  <c r="D2069" i="5"/>
  <c r="A2073" i="5"/>
  <c r="B2072" i="5" a="1"/>
  <c r="B2072" i="5" s="1"/>
  <c r="C2072" i="5" a="1"/>
  <c r="C2072" i="5" s="1"/>
  <c r="E2069" i="5" l="1"/>
  <c r="D2070" i="5"/>
  <c r="B2073" i="5" a="1"/>
  <c r="B2073" i="5" s="1"/>
  <c r="C2073" i="5" a="1"/>
  <c r="C2073" i="5" s="1"/>
  <c r="A2074" i="5"/>
  <c r="E2070" i="5" l="1"/>
  <c r="D2071" i="5"/>
  <c r="A2075" i="5"/>
  <c r="B2074" i="5" a="1"/>
  <c r="B2074" i="5" s="1"/>
  <c r="C2074" i="5" a="1"/>
  <c r="C2074" i="5" s="1"/>
  <c r="E2071" i="5" l="1"/>
  <c r="D2072" i="5"/>
  <c r="B2075" i="5" a="1"/>
  <c r="B2075" i="5" s="1"/>
  <c r="C2075" i="5" a="1"/>
  <c r="C2075" i="5" s="1"/>
  <c r="A2076" i="5"/>
  <c r="E2072" i="5" l="1"/>
  <c r="D2073" i="5"/>
  <c r="B2076" i="5" a="1"/>
  <c r="B2076" i="5" s="1"/>
  <c r="C2076" i="5" a="1"/>
  <c r="C2076" i="5" s="1"/>
  <c r="A2077" i="5"/>
  <c r="E2073" i="5" l="1"/>
  <c r="D2074" i="5"/>
  <c r="B2077" i="5" a="1"/>
  <c r="B2077" i="5" s="1"/>
  <c r="C2077" i="5" a="1"/>
  <c r="C2077" i="5" s="1"/>
  <c r="A2078" i="5"/>
  <c r="E2074" i="5" l="1"/>
  <c r="D2075" i="5"/>
  <c r="B2078" i="5" a="1"/>
  <c r="B2078" i="5" s="1"/>
  <c r="C2078" i="5" a="1"/>
  <c r="C2078" i="5" s="1"/>
  <c r="A2079" i="5"/>
  <c r="E2075" i="5" l="1"/>
  <c r="D2076" i="5"/>
  <c r="C2079" i="5" a="1"/>
  <c r="C2079" i="5" s="1"/>
  <c r="A2080" i="5"/>
  <c r="B2079" i="5" a="1"/>
  <c r="B2079" i="5" s="1"/>
  <c r="E2076" i="5" l="1"/>
  <c r="D2077" i="5"/>
  <c r="B2080" i="5" a="1"/>
  <c r="B2080" i="5" s="1"/>
  <c r="C2080" i="5" a="1"/>
  <c r="C2080" i="5" s="1"/>
  <c r="A2081" i="5"/>
  <c r="E2077" i="5" l="1"/>
  <c r="D2078" i="5"/>
  <c r="A2082" i="5"/>
  <c r="B2081" i="5" a="1"/>
  <c r="B2081" i="5" s="1"/>
  <c r="C2081" i="5" a="1"/>
  <c r="C2081" i="5" s="1"/>
  <c r="E2078" i="5" l="1"/>
  <c r="D2079" i="5"/>
  <c r="B2082" i="5" a="1"/>
  <c r="B2082" i="5" s="1"/>
  <c r="C2082" i="5" a="1"/>
  <c r="C2082" i="5" s="1"/>
  <c r="A2083" i="5"/>
  <c r="E2079" i="5" l="1"/>
  <c r="D2080" i="5"/>
  <c r="A2084" i="5"/>
  <c r="B2083" i="5" a="1"/>
  <c r="B2083" i="5" s="1"/>
  <c r="C2083" i="5" a="1"/>
  <c r="C2083" i="5" s="1"/>
  <c r="E2080" i="5" l="1"/>
  <c r="D2081" i="5"/>
  <c r="B2084" i="5" a="1"/>
  <c r="B2084" i="5" s="1"/>
  <c r="C2084" i="5" a="1"/>
  <c r="C2084" i="5" s="1"/>
  <c r="A2085" i="5"/>
  <c r="E2081" i="5" l="1"/>
  <c r="D2082" i="5"/>
  <c r="B2085" i="5" a="1"/>
  <c r="B2085" i="5" s="1"/>
  <c r="C2085" i="5" a="1"/>
  <c r="C2085" i="5" s="1"/>
  <c r="A2086" i="5"/>
  <c r="E2082" i="5" l="1"/>
  <c r="D2083" i="5"/>
  <c r="C2086" i="5" a="1"/>
  <c r="C2086" i="5" s="1"/>
  <c r="A2087" i="5"/>
  <c r="B2086" i="5" a="1"/>
  <c r="B2086" i="5" s="1"/>
  <c r="E2083" i="5" l="1"/>
  <c r="D2084" i="5"/>
  <c r="B2087" i="5" a="1"/>
  <c r="B2087" i="5" s="1"/>
  <c r="C2087" i="5" a="1"/>
  <c r="C2087" i="5" s="1"/>
  <c r="A2088" i="5"/>
  <c r="E2084" i="5" l="1"/>
  <c r="D2085" i="5"/>
  <c r="A2089" i="5"/>
  <c r="B2088" i="5" a="1"/>
  <c r="B2088" i="5" s="1"/>
  <c r="C2088" i="5" a="1"/>
  <c r="C2088" i="5" s="1"/>
  <c r="E2085" i="5" l="1"/>
  <c r="D2086" i="5"/>
  <c r="B2089" i="5" a="1"/>
  <c r="B2089" i="5" s="1"/>
  <c r="C2089" i="5" a="1"/>
  <c r="C2089" i="5" s="1"/>
  <c r="A2090" i="5"/>
  <c r="E2086" i="5" l="1"/>
  <c r="D2087" i="5"/>
  <c r="A2091" i="5"/>
  <c r="B2090" i="5" a="1"/>
  <c r="B2090" i="5" s="1"/>
  <c r="C2090" i="5" a="1"/>
  <c r="C2090" i="5" s="1"/>
  <c r="E2087" i="5" l="1"/>
  <c r="D2088" i="5"/>
  <c r="B2091" i="5" a="1"/>
  <c r="B2091" i="5" s="1"/>
  <c r="C2091" i="5" a="1"/>
  <c r="C2091" i="5" s="1"/>
  <c r="A2092" i="5"/>
  <c r="E2088" i="5" l="1"/>
  <c r="D2089" i="5"/>
  <c r="B2092" i="5" a="1"/>
  <c r="B2092" i="5" s="1"/>
  <c r="C2092" i="5" a="1"/>
  <c r="C2092" i="5" s="1"/>
  <c r="A2093" i="5"/>
  <c r="E2089" i="5" l="1"/>
  <c r="D2090" i="5"/>
  <c r="B2093" i="5" a="1"/>
  <c r="B2093" i="5" s="1"/>
  <c r="C2093" i="5" a="1"/>
  <c r="C2093" i="5" s="1"/>
  <c r="A2094" i="5"/>
  <c r="E2090" i="5" l="1"/>
  <c r="D2091" i="5"/>
  <c r="B2094" i="5" a="1"/>
  <c r="B2094" i="5" s="1"/>
  <c r="C2094" i="5" a="1"/>
  <c r="C2094" i="5" s="1"/>
  <c r="A2095" i="5"/>
  <c r="E2091" i="5" l="1"/>
  <c r="D2092" i="5"/>
  <c r="C2095" i="5" a="1"/>
  <c r="C2095" i="5" s="1"/>
  <c r="A2096" i="5"/>
  <c r="B2095" i="5" a="1"/>
  <c r="B2095" i="5" s="1"/>
  <c r="E2092" i="5" l="1"/>
  <c r="D2093" i="5"/>
  <c r="B2096" i="5" a="1"/>
  <c r="B2096" i="5" s="1"/>
  <c r="C2096" i="5" a="1"/>
  <c r="C2096" i="5" s="1"/>
  <c r="A2097" i="5"/>
  <c r="E2093" i="5" l="1"/>
  <c r="D2094" i="5"/>
  <c r="A2098" i="5"/>
  <c r="B2097" i="5" a="1"/>
  <c r="B2097" i="5" s="1"/>
  <c r="C2097" i="5" a="1"/>
  <c r="C2097" i="5" s="1"/>
  <c r="E2094" i="5" l="1"/>
  <c r="D2095" i="5"/>
  <c r="B2098" i="5" a="1"/>
  <c r="B2098" i="5" s="1"/>
  <c r="C2098" i="5" a="1"/>
  <c r="C2098" i="5" s="1"/>
  <c r="A2099" i="5"/>
  <c r="E2095" i="5" l="1"/>
  <c r="D2096" i="5"/>
  <c r="A2100" i="5"/>
  <c r="B2099" i="5" a="1"/>
  <c r="B2099" i="5" s="1"/>
  <c r="C2099" i="5" a="1"/>
  <c r="C2099" i="5" s="1"/>
  <c r="E2096" i="5" l="1"/>
  <c r="D2097" i="5"/>
  <c r="B2100" i="5" a="1"/>
  <c r="B2100" i="5" s="1"/>
  <c r="C2100" i="5" a="1"/>
  <c r="C2100" i="5" s="1"/>
  <c r="A2101" i="5"/>
  <c r="E2097" i="5" l="1"/>
  <c r="D2098" i="5"/>
  <c r="B2101" i="5" a="1"/>
  <c r="B2101" i="5" s="1"/>
  <c r="C2101" i="5" a="1"/>
  <c r="C2101" i="5" s="1"/>
  <c r="A2102" i="5"/>
  <c r="E2098" i="5" l="1"/>
  <c r="D2099" i="5"/>
  <c r="C2102" i="5" a="1"/>
  <c r="C2102" i="5" s="1"/>
  <c r="A2103" i="5"/>
  <c r="B2102" i="5" a="1"/>
  <c r="B2102" i="5" s="1"/>
  <c r="E2099" i="5" l="1"/>
  <c r="D2100" i="5"/>
  <c r="B2103" i="5" a="1"/>
  <c r="B2103" i="5" s="1"/>
  <c r="C2103" i="5" a="1"/>
  <c r="C2103" i="5" s="1"/>
  <c r="A2104" i="5"/>
  <c r="E2100" i="5" l="1"/>
  <c r="D2101" i="5"/>
  <c r="A2105" i="5"/>
  <c r="B2104" i="5" a="1"/>
  <c r="B2104" i="5" s="1"/>
  <c r="C2104" i="5" a="1"/>
  <c r="C2104" i="5" s="1"/>
  <c r="E2101" i="5" l="1"/>
  <c r="D2102" i="5"/>
  <c r="B2105" i="5" a="1"/>
  <c r="B2105" i="5" s="1"/>
  <c r="C2105" i="5" a="1"/>
  <c r="C2105" i="5" s="1"/>
  <c r="A2106" i="5"/>
  <c r="E2102" i="5" l="1"/>
  <c r="D2103" i="5"/>
  <c r="A2107" i="5"/>
  <c r="B2106" i="5" a="1"/>
  <c r="B2106" i="5" s="1"/>
  <c r="C2106" i="5" a="1"/>
  <c r="C2106" i="5" s="1"/>
  <c r="E2103" i="5" l="1"/>
  <c r="D2104" i="5"/>
  <c r="B2107" i="5" a="1"/>
  <c r="B2107" i="5" s="1"/>
  <c r="C2107" i="5" a="1"/>
  <c r="C2107" i="5" s="1"/>
  <c r="A2108" i="5"/>
  <c r="E2104" i="5" l="1"/>
  <c r="D2105" i="5"/>
  <c r="B2108" i="5" a="1"/>
  <c r="B2108" i="5" s="1"/>
  <c r="C2108" i="5" a="1"/>
  <c r="C2108" i="5" s="1"/>
  <c r="A2109" i="5"/>
  <c r="E2105" i="5" l="1"/>
  <c r="D2106" i="5"/>
  <c r="B2109" i="5" a="1"/>
  <c r="B2109" i="5" s="1"/>
  <c r="C2109" i="5" a="1"/>
  <c r="C2109" i="5" s="1"/>
  <c r="A2110" i="5"/>
  <c r="E2106" i="5" l="1"/>
  <c r="D2107" i="5"/>
  <c r="B2110" i="5" a="1"/>
  <c r="B2110" i="5" s="1"/>
  <c r="C2110" i="5" a="1"/>
  <c r="C2110" i="5" s="1"/>
  <c r="A2111" i="5"/>
  <c r="E2107" i="5" l="1"/>
  <c r="D2108" i="5"/>
  <c r="C2111" i="5" a="1"/>
  <c r="C2111" i="5" s="1"/>
  <c r="A2112" i="5"/>
  <c r="B2111" i="5" a="1"/>
  <c r="B2111" i="5" s="1"/>
  <c r="E2108" i="5" l="1"/>
  <c r="D2109" i="5"/>
  <c r="B2112" i="5" a="1"/>
  <c r="B2112" i="5" s="1"/>
  <c r="C2112" i="5" a="1"/>
  <c r="C2112" i="5" s="1"/>
  <c r="A2113" i="5"/>
  <c r="E2109" i="5" l="1"/>
  <c r="D2110" i="5"/>
  <c r="A2114" i="5"/>
  <c r="B2113" i="5" a="1"/>
  <c r="B2113" i="5" s="1"/>
  <c r="C2113" i="5" a="1"/>
  <c r="C2113" i="5" s="1"/>
  <c r="E2110" i="5" l="1"/>
  <c r="D2111" i="5"/>
  <c r="B2114" i="5" a="1"/>
  <c r="B2114" i="5" s="1"/>
  <c r="C2114" i="5" a="1"/>
  <c r="C2114" i="5" s="1"/>
  <c r="A2115" i="5"/>
  <c r="E2111" i="5" l="1"/>
  <c r="D2112" i="5"/>
  <c r="A2116" i="5"/>
  <c r="B2115" i="5" a="1"/>
  <c r="B2115" i="5" s="1"/>
  <c r="C2115" i="5" a="1"/>
  <c r="C2115" i="5" s="1"/>
  <c r="E2112" i="5" l="1"/>
  <c r="D2113" i="5"/>
  <c r="B2116" i="5" a="1"/>
  <c r="B2116" i="5" s="1"/>
  <c r="C2116" i="5" a="1"/>
  <c r="C2116" i="5" s="1"/>
  <c r="A2117" i="5"/>
  <c r="E2113" i="5" l="1"/>
  <c r="D2114" i="5"/>
  <c r="B2117" i="5" a="1"/>
  <c r="B2117" i="5" s="1"/>
  <c r="C2117" i="5" a="1"/>
  <c r="C2117" i="5" s="1"/>
  <c r="A2118" i="5"/>
  <c r="E2114" i="5" l="1"/>
  <c r="D2115" i="5"/>
  <c r="C2118" i="5" a="1"/>
  <c r="C2118" i="5" s="1"/>
  <c r="A2119" i="5"/>
  <c r="B2118" i="5" a="1"/>
  <c r="B2118" i="5" s="1"/>
  <c r="E2115" i="5" l="1"/>
  <c r="D2116" i="5"/>
  <c r="B2119" i="5" a="1"/>
  <c r="B2119" i="5" s="1"/>
  <c r="C2119" i="5" a="1"/>
  <c r="C2119" i="5" s="1"/>
  <c r="A2120" i="5"/>
  <c r="E2116" i="5" l="1"/>
  <c r="D2117" i="5"/>
  <c r="A2121" i="5"/>
  <c r="B2120" i="5" a="1"/>
  <c r="B2120" i="5" s="1"/>
  <c r="C2120" i="5" a="1"/>
  <c r="C2120" i="5" s="1"/>
  <c r="E2117" i="5" l="1"/>
  <c r="D2118" i="5"/>
  <c r="B2121" i="5" a="1"/>
  <c r="B2121" i="5" s="1"/>
  <c r="C2121" i="5" a="1"/>
  <c r="C2121" i="5" s="1"/>
  <c r="A2122" i="5"/>
  <c r="E2118" i="5" l="1"/>
  <c r="D2119" i="5"/>
  <c r="A2123" i="5"/>
  <c r="B2122" i="5" a="1"/>
  <c r="B2122" i="5" s="1"/>
  <c r="C2122" i="5" a="1"/>
  <c r="C2122" i="5" s="1"/>
  <c r="E2119" i="5" l="1"/>
  <c r="D2120" i="5"/>
  <c r="B2123" i="5" a="1"/>
  <c r="B2123" i="5" s="1"/>
  <c r="C2123" i="5" a="1"/>
  <c r="C2123" i="5" s="1"/>
  <c r="A2124" i="5"/>
  <c r="E2120" i="5" l="1"/>
  <c r="D2121" i="5"/>
  <c r="B2124" i="5" a="1"/>
  <c r="B2124" i="5" s="1"/>
  <c r="C2124" i="5" a="1"/>
  <c r="C2124" i="5" s="1"/>
  <c r="A2125" i="5"/>
  <c r="E2121" i="5" l="1"/>
  <c r="D2122" i="5"/>
  <c r="B2125" i="5" a="1"/>
  <c r="B2125" i="5" s="1"/>
  <c r="C2125" i="5" a="1"/>
  <c r="C2125" i="5" s="1"/>
  <c r="A2126" i="5"/>
  <c r="E2122" i="5" l="1"/>
  <c r="D2123" i="5"/>
  <c r="B2126" i="5" a="1"/>
  <c r="B2126" i="5" s="1"/>
  <c r="C2126" i="5" a="1"/>
  <c r="C2126" i="5" s="1"/>
  <c r="A2127" i="5"/>
  <c r="E2123" i="5" l="1"/>
  <c r="D2124" i="5"/>
  <c r="C2127" i="5" a="1"/>
  <c r="C2127" i="5" s="1"/>
  <c r="A2128" i="5"/>
  <c r="B2127" i="5" a="1"/>
  <c r="B2127" i="5" s="1"/>
  <c r="E2124" i="5" l="1"/>
  <c r="D2125" i="5"/>
  <c r="B2128" i="5" a="1"/>
  <c r="B2128" i="5" s="1"/>
  <c r="C2128" i="5" a="1"/>
  <c r="C2128" i="5" s="1"/>
  <c r="A2129" i="5"/>
  <c r="E2125" i="5" l="1"/>
  <c r="D2126" i="5"/>
  <c r="A2130" i="5"/>
  <c r="B2129" i="5" a="1"/>
  <c r="B2129" i="5" s="1"/>
  <c r="C2129" i="5" a="1"/>
  <c r="C2129" i="5" s="1"/>
  <c r="E2126" i="5" l="1"/>
  <c r="D2127" i="5"/>
  <c r="B2130" i="5" a="1"/>
  <c r="B2130" i="5" s="1"/>
  <c r="C2130" i="5" a="1"/>
  <c r="C2130" i="5" s="1"/>
  <c r="A2131" i="5"/>
  <c r="E2127" i="5" l="1"/>
  <c r="D2128" i="5"/>
  <c r="A2132" i="5"/>
  <c r="B2131" i="5" a="1"/>
  <c r="B2131" i="5" s="1"/>
  <c r="C2131" i="5" a="1"/>
  <c r="C2131" i="5" s="1"/>
  <c r="E2128" i="5" l="1"/>
  <c r="D2129" i="5"/>
  <c r="B2132" i="5" a="1"/>
  <c r="B2132" i="5" s="1"/>
  <c r="C2132" i="5" a="1"/>
  <c r="C2132" i="5" s="1"/>
  <c r="A2133" i="5"/>
  <c r="E2129" i="5" l="1"/>
  <c r="D2130" i="5"/>
  <c r="B2133" i="5" a="1"/>
  <c r="B2133" i="5" s="1"/>
  <c r="C2133" i="5" a="1"/>
  <c r="C2133" i="5" s="1"/>
  <c r="A2134" i="5"/>
  <c r="E2130" i="5" l="1"/>
  <c r="D2131" i="5"/>
  <c r="C2134" i="5" a="1"/>
  <c r="C2134" i="5" s="1"/>
  <c r="A2135" i="5"/>
  <c r="B2134" i="5" a="1"/>
  <c r="B2134" i="5" s="1"/>
  <c r="E2131" i="5" l="1"/>
  <c r="D2132" i="5"/>
  <c r="B2135" i="5" a="1"/>
  <c r="B2135" i="5" s="1"/>
  <c r="C2135" i="5" a="1"/>
  <c r="C2135" i="5" s="1"/>
  <c r="A2136" i="5"/>
  <c r="E2132" i="5" l="1"/>
  <c r="D2133" i="5"/>
  <c r="A2137" i="5"/>
  <c r="B2136" i="5" a="1"/>
  <c r="B2136" i="5" s="1"/>
  <c r="C2136" i="5" a="1"/>
  <c r="C2136" i="5" s="1"/>
  <c r="E2133" i="5" l="1"/>
  <c r="D2134" i="5"/>
  <c r="B2137" i="5" a="1"/>
  <c r="B2137" i="5" s="1"/>
  <c r="C2137" i="5" a="1"/>
  <c r="C2137" i="5" s="1"/>
  <c r="A2138" i="5"/>
  <c r="E2134" i="5" l="1"/>
  <c r="D2135" i="5"/>
  <c r="A2139" i="5"/>
  <c r="B2138" i="5" a="1"/>
  <c r="B2138" i="5" s="1"/>
  <c r="C2138" i="5" a="1"/>
  <c r="C2138" i="5" s="1"/>
  <c r="E2135" i="5" l="1"/>
  <c r="D2136" i="5"/>
  <c r="B2139" i="5" a="1"/>
  <c r="B2139" i="5" s="1"/>
  <c r="C2139" i="5" a="1"/>
  <c r="C2139" i="5" s="1"/>
  <c r="A2140" i="5"/>
  <c r="E2136" i="5" l="1"/>
  <c r="D2137" i="5"/>
  <c r="B2140" i="5" a="1"/>
  <c r="B2140" i="5" s="1"/>
  <c r="C2140" i="5" a="1"/>
  <c r="C2140" i="5" s="1"/>
  <c r="A2141" i="5"/>
  <c r="E2137" i="5" l="1"/>
  <c r="D2138" i="5"/>
  <c r="B2141" i="5" a="1"/>
  <c r="B2141" i="5" s="1"/>
  <c r="C2141" i="5" a="1"/>
  <c r="C2141" i="5" s="1"/>
  <c r="A2142" i="5"/>
  <c r="E2138" i="5" l="1"/>
  <c r="D2139" i="5"/>
  <c r="B2142" i="5" a="1"/>
  <c r="B2142" i="5" s="1"/>
  <c r="C2142" i="5" a="1"/>
  <c r="C2142" i="5" s="1"/>
  <c r="A2143" i="5"/>
  <c r="E2139" i="5" l="1"/>
  <c r="D2140" i="5"/>
  <c r="C2143" i="5" a="1"/>
  <c r="C2143" i="5" s="1"/>
  <c r="A2144" i="5"/>
  <c r="B2143" i="5" a="1"/>
  <c r="B2143" i="5" s="1"/>
  <c r="E2140" i="5" l="1"/>
  <c r="D2141" i="5"/>
  <c r="B2144" i="5" a="1"/>
  <c r="B2144" i="5" s="1"/>
  <c r="C2144" i="5" a="1"/>
  <c r="C2144" i="5" s="1"/>
  <c r="A2145" i="5"/>
  <c r="E2141" i="5" l="1"/>
  <c r="D2142" i="5"/>
  <c r="A2146" i="5"/>
  <c r="B2145" i="5" a="1"/>
  <c r="B2145" i="5" s="1"/>
  <c r="C2145" i="5" a="1"/>
  <c r="C2145" i="5" s="1"/>
  <c r="E2142" i="5" l="1"/>
  <c r="D2143" i="5"/>
  <c r="B2146" i="5" a="1"/>
  <c r="B2146" i="5" s="1"/>
  <c r="C2146" i="5" a="1"/>
  <c r="C2146" i="5" s="1"/>
  <c r="A2147" i="5"/>
  <c r="E2143" i="5" l="1"/>
  <c r="D2144" i="5"/>
  <c r="A2148" i="5"/>
  <c r="B2147" i="5" a="1"/>
  <c r="B2147" i="5" s="1"/>
  <c r="C2147" i="5" a="1"/>
  <c r="C2147" i="5" s="1"/>
  <c r="E2144" i="5" l="1"/>
  <c r="D2145" i="5"/>
  <c r="B2148" i="5" a="1"/>
  <c r="B2148" i="5" s="1"/>
  <c r="C2148" i="5" a="1"/>
  <c r="C2148" i="5" s="1"/>
  <c r="A2149" i="5"/>
  <c r="E2145" i="5" l="1"/>
  <c r="D2146" i="5"/>
  <c r="B2149" i="5" a="1"/>
  <c r="B2149" i="5" s="1"/>
  <c r="C2149" i="5" a="1"/>
  <c r="C2149" i="5" s="1"/>
  <c r="A2150" i="5"/>
  <c r="E2146" i="5" l="1"/>
  <c r="D2147" i="5"/>
  <c r="C2150" i="5" a="1"/>
  <c r="C2150" i="5" s="1"/>
  <c r="A2151" i="5"/>
  <c r="B2150" i="5" a="1"/>
  <c r="B2150" i="5" s="1"/>
  <c r="E2147" i="5" l="1"/>
  <c r="D2148" i="5"/>
  <c r="B2151" i="5" a="1"/>
  <c r="B2151" i="5" s="1"/>
  <c r="C2151" i="5" a="1"/>
  <c r="C2151" i="5" s="1"/>
  <c r="A2152" i="5"/>
  <c r="E2148" i="5" l="1"/>
  <c r="D2149" i="5"/>
  <c r="A2153" i="5"/>
  <c r="B2152" i="5" a="1"/>
  <c r="B2152" i="5" s="1"/>
  <c r="C2152" i="5" a="1"/>
  <c r="C2152" i="5" s="1"/>
  <c r="E2149" i="5" l="1"/>
  <c r="D2150" i="5"/>
  <c r="B2153" i="5" a="1"/>
  <c r="B2153" i="5" s="1"/>
  <c r="C2153" i="5" a="1"/>
  <c r="C2153" i="5" s="1"/>
  <c r="A2154" i="5"/>
  <c r="E2150" i="5" l="1"/>
  <c r="D2151" i="5"/>
  <c r="A2155" i="5"/>
  <c r="B2154" i="5" a="1"/>
  <c r="B2154" i="5" s="1"/>
  <c r="C2154" i="5" a="1"/>
  <c r="C2154" i="5" s="1"/>
  <c r="E2151" i="5" l="1"/>
  <c r="D2152" i="5"/>
  <c r="B2155" i="5" a="1"/>
  <c r="B2155" i="5" s="1"/>
  <c r="C2155" i="5" a="1"/>
  <c r="C2155" i="5" s="1"/>
  <c r="A2156" i="5"/>
  <c r="E2152" i="5" l="1"/>
  <c r="D2153" i="5"/>
  <c r="B2156" i="5" a="1"/>
  <c r="B2156" i="5" s="1"/>
  <c r="C2156" i="5" a="1"/>
  <c r="C2156" i="5" s="1"/>
  <c r="A2157" i="5"/>
  <c r="E2153" i="5" l="1"/>
  <c r="D2154" i="5"/>
  <c r="B2157" i="5" a="1"/>
  <c r="B2157" i="5" s="1"/>
  <c r="C2157" i="5" a="1"/>
  <c r="C2157" i="5" s="1"/>
  <c r="A2158" i="5"/>
  <c r="E2154" i="5" l="1"/>
  <c r="D2155" i="5"/>
  <c r="B2158" i="5" a="1"/>
  <c r="B2158" i="5" s="1"/>
  <c r="C2158" i="5" a="1"/>
  <c r="C2158" i="5" s="1"/>
  <c r="A2159" i="5"/>
  <c r="E2155" i="5" l="1"/>
  <c r="D2156" i="5"/>
  <c r="C2159" i="5" a="1"/>
  <c r="C2159" i="5" s="1"/>
  <c r="A2160" i="5"/>
  <c r="B2159" i="5" a="1"/>
  <c r="B2159" i="5" s="1"/>
  <c r="E2156" i="5" l="1"/>
  <c r="D2157" i="5"/>
  <c r="B2160" i="5" a="1"/>
  <c r="B2160" i="5" s="1"/>
  <c r="C2160" i="5" a="1"/>
  <c r="C2160" i="5" s="1"/>
  <c r="A2161" i="5"/>
  <c r="E2157" i="5" l="1"/>
  <c r="D2158" i="5"/>
  <c r="A2162" i="5"/>
  <c r="B2161" i="5" a="1"/>
  <c r="B2161" i="5" s="1"/>
  <c r="C2161" i="5" a="1"/>
  <c r="C2161" i="5" s="1"/>
  <c r="E2158" i="5" l="1"/>
  <c r="D2159" i="5"/>
  <c r="B2162" i="5" a="1"/>
  <c r="B2162" i="5" s="1"/>
  <c r="C2162" i="5" a="1"/>
  <c r="C2162" i="5" s="1"/>
  <c r="A2163" i="5"/>
  <c r="E2159" i="5" l="1"/>
  <c r="D2160" i="5"/>
  <c r="A2164" i="5"/>
  <c r="B2163" i="5" a="1"/>
  <c r="B2163" i="5" s="1"/>
  <c r="C2163" i="5" a="1"/>
  <c r="C2163" i="5" s="1"/>
  <c r="E2160" i="5" l="1"/>
  <c r="D2161" i="5"/>
  <c r="B2164" i="5" a="1"/>
  <c r="B2164" i="5" s="1"/>
  <c r="C2164" i="5" a="1"/>
  <c r="C2164" i="5" s="1"/>
  <c r="A2165" i="5"/>
  <c r="E2161" i="5" l="1"/>
  <c r="D2162" i="5"/>
  <c r="B2165" i="5" a="1"/>
  <c r="B2165" i="5" s="1"/>
  <c r="C2165" i="5" a="1"/>
  <c r="C2165" i="5" s="1"/>
  <c r="A2166" i="5"/>
  <c r="E2162" i="5" l="1"/>
  <c r="D2163" i="5"/>
  <c r="C2166" i="5" a="1"/>
  <c r="C2166" i="5" s="1"/>
  <c r="A2167" i="5"/>
  <c r="B2166" i="5" a="1"/>
  <c r="B2166" i="5" s="1"/>
  <c r="E2163" i="5" l="1"/>
  <c r="D2164" i="5"/>
  <c r="B2167" i="5" a="1"/>
  <c r="B2167" i="5" s="1"/>
  <c r="C2167" i="5" a="1"/>
  <c r="C2167" i="5" s="1"/>
  <c r="A2168" i="5"/>
  <c r="E2164" i="5" l="1"/>
  <c r="D2165" i="5"/>
  <c r="A2169" i="5"/>
  <c r="B2168" i="5" a="1"/>
  <c r="B2168" i="5" s="1"/>
  <c r="C2168" i="5" a="1"/>
  <c r="C2168" i="5" s="1"/>
  <c r="E2165" i="5" l="1"/>
  <c r="D2166" i="5"/>
  <c r="B2169" i="5" a="1"/>
  <c r="B2169" i="5" s="1"/>
  <c r="C2169" i="5" a="1"/>
  <c r="C2169" i="5" s="1"/>
  <c r="A2170" i="5"/>
  <c r="E2166" i="5" l="1"/>
  <c r="D2167" i="5"/>
  <c r="A2171" i="5"/>
  <c r="B2170" i="5" a="1"/>
  <c r="B2170" i="5" s="1"/>
  <c r="C2170" i="5" a="1"/>
  <c r="C2170" i="5" s="1"/>
  <c r="E2167" i="5" l="1"/>
  <c r="D2168" i="5"/>
  <c r="B2171" i="5" a="1"/>
  <c r="B2171" i="5" s="1"/>
  <c r="C2171" i="5" a="1"/>
  <c r="C2171" i="5" s="1"/>
  <c r="A2172" i="5"/>
  <c r="E2168" i="5" l="1"/>
  <c r="D2169" i="5"/>
  <c r="B2172" i="5" a="1"/>
  <c r="B2172" i="5" s="1"/>
  <c r="C2172" i="5" a="1"/>
  <c r="C2172" i="5" s="1"/>
  <c r="A2173" i="5"/>
  <c r="E2169" i="5" l="1"/>
  <c r="D2170" i="5"/>
  <c r="B2173" i="5" a="1"/>
  <c r="B2173" i="5" s="1"/>
  <c r="C2173" i="5" a="1"/>
  <c r="C2173" i="5" s="1"/>
  <c r="A2174" i="5"/>
  <c r="E2170" i="5" l="1"/>
  <c r="D2171" i="5"/>
  <c r="B2174" i="5" a="1"/>
  <c r="B2174" i="5" s="1"/>
  <c r="C2174" i="5" a="1"/>
  <c r="C2174" i="5" s="1"/>
  <c r="A2175" i="5"/>
  <c r="E2171" i="5" l="1"/>
  <c r="D2172" i="5"/>
  <c r="C2175" i="5" a="1"/>
  <c r="C2175" i="5" s="1"/>
  <c r="A2176" i="5"/>
  <c r="B2175" i="5" a="1"/>
  <c r="B2175" i="5" s="1"/>
  <c r="E2172" i="5" l="1"/>
  <c r="D2173" i="5"/>
  <c r="B2176" i="5" a="1"/>
  <c r="B2176" i="5" s="1"/>
  <c r="C2176" i="5" a="1"/>
  <c r="C2176" i="5" s="1"/>
  <c r="A2177" i="5"/>
  <c r="E2173" i="5" l="1"/>
  <c r="D2174" i="5"/>
  <c r="A2178" i="5"/>
  <c r="B2177" i="5" a="1"/>
  <c r="B2177" i="5" s="1"/>
  <c r="C2177" i="5" a="1"/>
  <c r="C2177" i="5" s="1"/>
  <c r="E2174" i="5" l="1"/>
  <c r="D2175" i="5"/>
  <c r="B2178" i="5" a="1"/>
  <c r="B2178" i="5" s="1"/>
  <c r="C2178" i="5" a="1"/>
  <c r="C2178" i="5" s="1"/>
  <c r="A2179" i="5"/>
  <c r="E2175" i="5" l="1"/>
  <c r="D2176" i="5"/>
  <c r="A2180" i="5"/>
  <c r="B2179" i="5" a="1"/>
  <c r="B2179" i="5" s="1"/>
  <c r="C2179" i="5" a="1"/>
  <c r="C2179" i="5" s="1"/>
  <c r="E2176" i="5" l="1"/>
  <c r="D2177" i="5"/>
  <c r="B2180" i="5" a="1"/>
  <c r="B2180" i="5" s="1"/>
  <c r="C2180" i="5" a="1"/>
  <c r="C2180" i="5" s="1"/>
  <c r="A2181" i="5"/>
  <c r="E2177" i="5" l="1"/>
  <c r="D2178" i="5"/>
  <c r="B2181" i="5" a="1"/>
  <c r="B2181" i="5" s="1"/>
  <c r="C2181" i="5" a="1"/>
  <c r="C2181" i="5" s="1"/>
  <c r="A2182" i="5"/>
  <c r="E2178" i="5" l="1"/>
  <c r="D2179" i="5"/>
  <c r="C2182" i="5" a="1"/>
  <c r="C2182" i="5" s="1"/>
  <c r="A2183" i="5"/>
  <c r="B2182" i="5" a="1"/>
  <c r="B2182" i="5" s="1"/>
  <c r="E2179" i="5" l="1"/>
  <c r="D2180" i="5"/>
  <c r="B2183" i="5" a="1"/>
  <c r="B2183" i="5" s="1"/>
  <c r="C2183" i="5" a="1"/>
  <c r="C2183" i="5" s="1"/>
  <c r="A2184" i="5"/>
  <c r="E2180" i="5" l="1"/>
  <c r="D2181" i="5"/>
  <c r="A2185" i="5"/>
  <c r="B2184" i="5" a="1"/>
  <c r="B2184" i="5" s="1"/>
  <c r="C2184" i="5" a="1"/>
  <c r="C2184" i="5" s="1"/>
  <c r="E2181" i="5" l="1"/>
  <c r="D2182" i="5"/>
  <c r="B2185" i="5" a="1"/>
  <c r="B2185" i="5" s="1"/>
  <c r="C2185" i="5" a="1"/>
  <c r="C2185" i="5" s="1"/>
  <c r="A2186" i="5"/>
  <c r="E2182" i="5" l="1"/>
  <c r="D2183" i="5"/>
  <c r="A2187" i="5"/>
  <c r="B2186" i="5" a="1"/>
  <c r="B2186" i="5" s="1"/>
  <c r="C2186" i="5" a="1"/>
  <c r="C2186" i="5" s="1"/>
  <c r="E2183" i="5" l="1"/>
  <c r="D2184" i="5"/>
  <c r="B2187" i="5" a="1"/>
  <c r="B2187" i="5" s="1"/>
  <c r="C2187" i="5" a="1"/>
  <c r="C2187" i="5" s="1"/>
  <c r="A2188" i="5"/>
  <c r="E2184" i="5" l="1"/>
  <c r="D2185" i="5"/>
  <c r="B2188" i="5" a="1"/>
  <c r="B2188" i="5" s="1"/>
  <c r="C2188" i="5" a="1"/>
  <c r="C2188" i="5" s="1"/>
  <c r="A2189" i="5"/>
  <c r="E2185" i="5" l="1"/>
  <c r="D2186" i="5"/>
  <c r="B2189" i="5" a="1"/>
  <c r="B2189" i="5" s="1"/>
  <c r="C2189" i="5" a="1"/>
  <c r="C2189" i="5" s="1"/>
  <c r="A2190" i="5"/>
  <c r="E2186" i="5" l="1"/>
  <c r="D2187" i="5"/>
  <c r="B2190" i="5" a="1"/>
  <c r="B2190" i="5" s="1"/>
  <c r="C2190" i="5" a="1"/>
  <c r="C2190" i="5" s="1"/>
  <c r="A2191" i="5"/>
  <c r="E2187" i="5" l="1"/>
  <c r="D2188" i="5"/>
  <c r="C2191" i="5" a="1"/>
  <c r="C2191" i="5" s="1"/>
  <c r="A2192" i="5"/>
  <c r="B2191" i="5" a="1"/>
  <c r="B2191" i="5" s="1"/>
  <c r="E2188" i="5" l="1"/>
  <c r="D2189" i="5"/>
  <c r="B2192" i="5" a="1"/>
  <c r="B2192" i="5" s="1"/>
  <c r="C2192" i="5" a="1"/>
  <c r="C2192" i="5" s="1"/>
  <c r="A2193" i="5"/>
  <c r="E2189" i="5" l="1"/>
  <c r="D2190" i="5"/>
  <c r="A2194" i="5"/>
  <c r="B2193" i="5" a="1"/>
  <c r="B2193" i="5" s="1"/>
  <c r="C2193" i="5" a="1"/>
  <c r="C2193" i="5" s="1"/>
  <c r="E2190" i="5" l="1"/>
  <c r="D2191" i="5"/>
  <c r="B2194" i="5" a="1"/>
  <c r="B2194" i="5" s="1"/>
  <c r="C2194" i="5" a="1"/>
  <c r="C2194" i="5" s="1"/>
  <c r="A2195" i="5"/>
  <c r="E2191" i="5" l="1"/>
  <c r="D2192" i="5"/>
  <c r="A2196" i="5"/>
  <c r="B2195" i="5" a="1"/>
  <c r="B2195" i="5" s="1"/>
  <c r="C2195" i="5" a="1"/>
  <c r="C2195" i="5" s="1"/>
  <c r="E2192" i="5" l="1"/>
  <c r="D2193" i="5"/>
  <c r="B2196" i="5" a="1"/>
  <c r="B2196" i="5" s="1"/>
  <c r="C2196" i="5" a="1"/>
  <c r="C2196" i="5" s="1"/>
  <c r="A2197" i="5"/>
  <c r="E2193" i="5" l="1"/>
  <c r="D2194" i="5"/>
  <c r="B2197" i="5" a="1"/>
  <c r="B2197" i="5" s="1"/>
  <c r="C2197" i="5" a="1"/>
  <c r="C2197" i="5" s="1"/>
  <c r="A2198" i="5"/>
  <c r="E2194" i="5" l="1"/>
  <c r="D2195" i="5"/>
  <c r="C2198" i="5" a="1"/>
  <c r="C2198" i="5" s="1"/>
  <c r="A2199" i="5"/>
  <c r="B2198" i="5" a="1"/>
  <c r="B2198" i="5" s="1"/>
  <c r="E2195" i="5" l="1"/>
  <c r="D2196" i="5"/>
  <c r="B2199" i="5" a="1"/>
  <c r="B2199" i="5" s="1"/>
  <c r="C2199" i="5" a="1"/>
  <c r="C2199" i="5" s="1"/>
  <c r="A2200" i="5"/>
  <c r="E2196" i="5" l="1"/>
  <c r="D2197" i="5"/>
  <c r="A2201" i="5"/>
  <c r="B2200" i="5" a="1"/>
  <c r="B2200" i="5" s="1"/>
  <c r="C2200" i="5" a="1"/>
  <c r="C2200" i="5" s="1"/>
  <c r="E2197" i="5" l="1"/>
  <c r="D2198" i="5"/>
  <c r="B2201" i="5" a="1"/>
  <c r="B2201" i="5" s="1"/>
  <c r="C2201" i="5" a="1"/>
  <c r="C2201" i="5" s="1"/>
  <c r="A2202" i="5"/>
  <c r="E2198" i="5" l="1"/>
  <c r="D2199" i="5"/>
  <c r="A2203" i="5"/>
  <c r="B2202" i="5" a="1"/>
  <c r="B2202" i="5" s="1"/>
  <c r="C2202" i="5" a="1"/>
  <c r="C2202" i="5" s="1"/>
  <c r="E2199" i="5" l="1"/>
  <c r="D2200" i="5"/>
  <c r="B2203" i="5" a="1"/>
  <c r="B2203" i="5" s="1"/>
  <c r="C2203" i="5" a="1"/>
  <c r="C2203" i="5" s="1"/>
  <c r="A2204" i="5"/>
  <c r="E2200" i="5" l="1"/>
  <c r="D2201" i="5"/>
  <c r="B2204" i="5" a="1"/>
  <c r="B2204" i="5" s="1"/>
  <c r="C2204" i="5" a="1"/>
  <c r="C2204" i="5" s="1"/>
  <c r="A2205" i="5"/>
  <c r="E2201" i="5" l="1"/>
  <c r="D2202" i="5"/>
  <c r="B2205" i="5" a="1"/>
  <c r="B2205" i="5" s="1"/>
  <c r="C2205" i="5" a="1"/>
  <c r="C2205" i="5" s="1"/>
  <c r="A2206" i="5"/>
  <c r="E2202" i="5" l="1"/>
  <c r="D2203" i="5"/>
  <c r="B2206" i="5" a="1"/>
  <c r="B2206" i="5" s="1"/>
  <c r="C2206" i="5" a="1"/>
  <c r="C2206" i="5" s="1"/>
  <c r="A2207" i="5"/>
  <c r="E2203" i="5" l="1"/>
  <c r="D2204" i="5"/>
  <c r="C2207" i="5" a="1"/>
  <c r="C2207" i="5" s="1"/>
  <c r="A2208" i="5"/>
  <c r="B2207" i="5" a="1"/>
  <c r="B2207" i="5" s="1"/>
  <c r="E2204" i="5" l="1"/>
  <c r="D2205" i="5"/>
  <c r="B2208" i="5" a="1"/>
  <c r="B2208" i="5" s="1"/>
  <c r="C2208" i="5" a="1"/>
  <c r="C2208" i="5" s="1"/>
  <c r="A2209" i="5"/>
  <c r="E2205" i="5" l="1"/>
  <c r="D2206" i="5"/>
  <c r="A2210" i="5"/>
  <c r="B2209" i="5" a="1"/>
  <c r="B2209" i="5" s="1"/>
  <c r="C2209" i="5" a="1"/>
  <c r="C2209" i="5" s="1"/>
  <c r="E2206" i="5" l="1"/>
  <c r="D2207" i="5"/>
  <c r="B2210" i="5" a="1"/>
  <c r="B2210" i="5" s="1"/>
  <c r="C2210" i="5" a="1"/>
  <c r="C2210" i="5" s="1"/>
  <c r="A2211" i="5"/>
  <c r="E2207" i="5" l="1"/>
  <c r="D2208" i="5"/>
  <c r="A2212" i="5"/>
  <c r="B2211" i="5" a="1"/>
  <c r="B2211" i="5" s="1"/>
  <c r="C2211" i="5" a="1"/>
  <c r="C2211" i="5" s="1"/>
  <c r="E2208" i="5" l="1"/>
  <c r="D2209" i="5"/>
  <c r="B2212" i="5" a="1"/>
  <c r="B2212" i="5" s="1"/>
  <c r="C2212" i="5" a="1"/>
  <c r="C2212" i="5" s="1"/>
  <c r="A2213" i="5"/>
  <c r="E2209" i="5" l="1"/>
  <c r="D2210" i="5"/>
  <c r="B2213" i="5" a="1"/>
  <c r="B2213" i="5" s="1"/>
  <c r="C2213" i="5" a="1"/>
  <c r="C2213" i="5" s="1"/>
  <c r="A2214" i="5"/>
  <c r="E2210" i="5" l="1"/>
  <c r="D2211" i="5"/>
  <c r="C2214" i="5" a="1"/>
  <c r="C2214" i="5" s="1"/>
  <c r="A2215" i="5"/>
  <c r="B2214" i="5" a="1"/>
  <c r="B2214" i="5" s="1"/>
  <c r="E2211" i="5" l="1"/>
  <c r="D2212" i="5"/>
  <c r="B2215" i="5" a="1"/>
  <c r="B2215" i="5" s="1"/>
  <c r="C2215" i="5" a="1"/>
  <c r="C2215" i="5" s="1"/>
  <c r="A2216" i="5"/>
  <c r="E2212" i="5" l="1"/>
  <c r="D2213" i="5"/>
  <c r="A2217" i="5"/>
  <c r="B2216" i="5" a="1"/>
  <c r="B2216" i="5" s="1"/>
  <c r="C2216" i="5" a="1"/>
  <c r="C2216" i="5" s="1"/>
  <c r="E2213" i="5" l="1"/>
  <c r="D2214" i="5"/>
  <c r="B2217" i="5" a="1"/>
  <c r="B2217" i="5" s="1"/>
  <c r="C2217" i="5" a="1"/>
  <c r="C2217" i="5" s="1"/>
  <c r="A2218" i="5"/>
  <c r="E2214" i="5" l="1"/>
  <c r="D2215" i="5"/>
  <c r="A2219" i="5"/>
  <c r="B2218" i="5" a="1"/>
  <c r="B2218" i="5" s="1"/>
  <c r="C2218" i="5" a="1"/>
  <c r="C2218" i="5" s="1"/>
  <c r="E2215" i="5" l="1"/>
  <c r="D2216" i="5"/>
  <c r="B2219" i="5" a="1"/>
  <c r="B2219" i="5" s="1"/>
  <c r="C2219" i="5" a="1"/>
  <c r="C2219" i="5" s="1"/>
  <c r="A2220" i="5"/>
  <c r="E2216" i="5" l="1"/>
  <c r="D2217" i="5"/>
  <c r="B2220" i="5" a="1"/>
  <c r="B2220" i="5" s="1"/>
  <c r="C2220" i="5" a="1"/>
  <c r="C2220" i="5" s="1"/>
  <c r="A2221" i="5"/>
  <c r="E2217" i="5" l="1"/>
  <c r="D2218" i="5"/>
  <c r="B2221" i="5" a="1"/>
  <c r="B2221" i="5" s="1"/>
  <c r="C2221" i="5" a="1"/>
  <c r="C2221" i="5" s="1"/>
  <c r="A2222" i="5"/>
  <c r="E2218" i="5" l="1"/>
  <c r="D2219" i="5"/>
  <c r="B2222" i="5" a="1"/>
  <c r="B2222" i="5" s="1"/>
  <c r="C2222" i="5" a="1"/>
  <c r="C2222" i="5" s="1"/>
  <c r="A2223" i="5"/>
  <c r="E2219" i="5" l="1"/>
  <c r="D2220" i="5"/>
  <c r="C2223" i="5" a="1"/>
  <c r="C2223" i="5" s="1"/>
  <c r="A2224" i="5"/>
  <c r="B2223" i="5" a="1"/>
  <c r="B2223" i="5" s="1"/>
  <c r="E2220" i="5" l="1"/>
  <c r="D2221" i="5"/>
  <c r="B2224" i="5" a="1"/>
  <c r="B2224" i="5" s="1"/>
  <c r="C2224" i="5" a="1"/>
  <c r="C2224" i="5" s="1"/>
  <c r="A2225" i="5"/>
  <c r="E2221" i="5" l="1"/>
  <c r="D2222" i="5"/>
  <c r="B2225" i="5" a="1"/>
  <c r="B2225" i="5" s="1"/>
  <c r="C2225" i="5" a="1"/>
  <c r="C2225" i="5" s="1"/>
  <c r="E2222" i="5" l="1"/>
  <c r="D2223" i="5"/>
  <c r="I8" i="5" a="1"/>
  <c r="I8" i="5" s="1"/>
  <c r="I9" i="5" s="1" a="1"/>
  <c r="I9" i="5" s="1"/>
  <c r="E2223" i="5" l="1"/>
  <c r="D2224" i="5"/>
  <c r="E2224" i="5" l="1"/>
  <c r="D2225" i="5"/>
  <c r="E2225" i="5" s="1"/>
  <c r="I4" i="5"/>
  <c r="I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<sst xmlns="http://schemas.openxmlformats.org/spreadsheetml/2006/main" count="17988" uniqueCount="7305">
  <si>
    <t>ACCOUNTNUM</t>
  </si>
  <si>
    <t>Top Group</t>
  </si>
  <si>
    <t>NAME</t>
  </si>
  <si>
    <t>VENDOR GROUP</t>
  </si>
  <si>
    <t>Address</t>
  </si>
  <si>
    <t>CURRENCY</t>
  </si>
  <si>
    <t>SUM_AMOUNT</t>
  </si>
  <si>
    <t>Generalized Category</t>
  </si>
  <si>
    <t>Category</t>
  </si>
  <si>
    <t>Additional Services</t>
  </si>
  <si>
    <t>80% Spend</t>
  </si>
  <si>
    <t>Morgan Stanley</t>
  </si>
  <si>
    <t>TRAD</t>
  </si>
  <si>
    <t>1 New York Plz;41st floor;New York NY 10004-1901;USA</t>
  </si>
  <si>
    <t>USD</t>
  </si>
  <si>
    <t>Financial &amp; Accounting Services</t>
  </si>
  <si>
    <t>Investment Banking &amp; Financial Services</t>
  </si>
  <si>
    <t>Wealth Management, Investment Banking, Trading, Research, Asset Management</t>
  </si>
  <si>
    <t>Tombras</t>
  </si>
  <si>
    <t>MARKETING</t>
  </si>
  <si>
    <t>PO Box 896838;Charlotte NC 28289;USA</t>
  </si>
  <si>
    <t>Marketing &amp; Advertising</t>
  </si>
  <si>
    <t>Full-Service Advertising Agency</t>
  </si>
  <si>
    <t>Brand Strategy, Media Planning, Digital Marketing, Creative Services, Data Analytics, Social Media</t>
  </si>
  <si>
    <t>Blackhawk Transport Inc</t>
  </si>
  <si>
    <t>FRGT</t>
  </si>
  <si>
    <t>PO Box 667;Racine WI 53401-0667;USA</t>
  </si>
  <si>
    <t>Freight &amp; Transportation</t>
  </si>
  <si>
    <t>Trucking, Logistics, Freight Services</t>
  </si>
  <si>
    <t>Xn Financial -us</t>
  </si>
  <si>
    <t>INSURANCE</t>
  </si>
  <si>
    <t>USA</t>
  </si>
  <si>
    <t>Insurance &amp; Financial Services</t>
  </si>
  <si>
    <t>Insurance Services, Financial Products, Risk Management</t>
  </si>
  <si>
    <t>Ryder Transportation Services-CHIC</t>
  </si>
  <si>
    <t>PO Box 96723;Chicago IL 60693 6723;USA</t>
  </si>
  <si>
    <t>Fleet, Vehicle &amp; Auto Services</t>
  </si>
  <si>
    <t>Truck Leasing &amp; Fleet Management</t>
  </si>
  <si>
    <t>Truck Leasing, Fleet Maintenance, Dedicated Transportation, Used Truck Sales</t>
  </si>
  <si>
    <t>C R England Inc</t>
  </si>
  <si>
    <t>PO Box 952407;Saint Louis MO 63195 2407;USA</t>
  </si>
  <si>
    <t>Freight &amp; Trucking Services</t>
  </si>
  <si>
    <t>Refrigerated Transport, Truckload Shipping, Logistics</t>
  </si>
  <si>
    <t>Schneider National Carriers, Inc.</t>
  </si>
  <si>
    <t>PO Box 2545;Green Bay WI 54306-2545;USA</t>
  </si>
  <si>
    <t>Truckload &amp; Logistics Services</t>
  </si>
  <si>
    <t>Truckload, Intermodal, Logistics, Dedicated Trucking, Freight Brokerage, Supply Chain</t>
  </si>
  <si>
    <t>Averitt Express</t>
  </si>
  <si>
    <t>PO Box 102197;Atlanta GA 30368 2197;USA</t>
  </si>
  <si>
    <t>LTL &amp; Truckload Freight</t>
  </si>
  <si>
    <t>Less-Than-Truckload Shipping, Full Truckload, Expedited Freight, Supply Chain Solutions</t>
  </si>
  <si>
    <t>USA Truck LLC</t>
  </si>
  <si>
    <t>3200 INDUSTRIAL PARK RD;VAN BUREN AR 72956-6110;USA</t>
  </si>
  <si>
    <t>Truckload, Dedicated, Intermodal, Logistics, Brokerage, Freight Services</t>
  </si>
  <si>
    <t>Concentrix Solutions Corporation</t>
  </si>
  <si>
    <t>44111 Nobel Dr;Fremont CA 94538-3173;USA</t>
  </si>
  <si>
    <t>General Services</t>
  </si>
  <si>
    <t>Business Process Outsourcing (BPO)</t>
  </si>
  <si>
    <t>Customer Experience, Technical Support, Digital Engineering, AI Solutions</t>
  </si>
  <si>
    <t>NFI</t>
  </si>
  <si>
    <t>PO Box 417727;Boston MA 02241-7727;USA</t>
  </si>
  <si>
    <t>Third-Party Logistics (3PL)</t>
  </si>
  <si>
    <t>Warehousing, Transportation, Dedicated Fleet, Supply Chain Solutions, Drayage</t>
  </si>
  <si>
    <t>WEX Bank</t>
  </si>
  <si>
    <t>PO Box 6293;Carol Stream IL 60197;USA</t>
  </si>
  <si>
    <t>Fleet Payment Solutions</t>
  </si>
  <si>
    <t>Fleet Cards, Fuel Cards, Payment Processing, Expense Management, Corporate Payments</t>
  </si>
  <si>
    <t>Fidelity 401K</t>
  </si>
  <si>
    <t>Retirement Plan Administration</t>
  </si>
  <si>
    <t>401(k) Plans, Investment Management, Retirement Planning, Benefits Administration</t>
  </si>
  <si>
    <t>Marsh Usa Inc</t>
  </si>
  <si>
    <t>PO Box 846015;Dallas TX 75284-6015;USA</t>
  </si>
  <si>
    <t>Insurance &amp; Risk Management</t>
  </si>
  <si>
    <t>Insurance Brokerage &amp; Risk Management</t>
  </si>
  <si>
    <t>Commercial Insurance, Risk Advisory, Employee Benefits, Claims Management, Cyber Insurance</t>
  </si>
  <si>
    <t>Cass Information Systems, Inc</t>
  </si>
  <si>
    <t>PO Box 17617;Saint Louis MO 63178-7617;USA</t>
  </si>
  <si>
    <t>Auto Repair Services</t>
  </si>
  <si>
    <t>Vehicle Maintenance, Auto Repair, Fleet Services</t>
  </si>
  <si>
    <t>Liberty Mutual Insurance</t>
  </si>
  <si>
    <t>PO Box 1449;New York NY 10116-1449;USA</t>
  </si>
  <si>
    <t>Property &amp; Casualty Insurance</t>
  </si>
  <si>
    <t>Auto Insurance, Home Insurance, Life Insurance, Business Insurance, Workers' Comp</t>
  </si>
  <si>
    <t>Salesforce.com</t>
  </si>
  <si>
    <t>PO Box 203141;Dallas TX 75320-3141;USA</t>
  </si>
  <si>
    <t>Technology &amp; Software</t>
  </si>
  <si>
    <t>Cloud CRM &amp; Business Software Platform</t>
  </si>
  <si>
    <t>Sales Cloud, Service Cloud, Marketing Cloud, Commerce Cloud, AI (Einstein), Analytics, AppExchange</t>
  </si>
  <si>
    <t>Express Scripts, Inc</t>
  </si>
  <si>
    <t>BENEFITS</t>
  </si>
  <si>
    <t>21653 Network Place;Chicago IL 60673;USA</t>
  </si>
  <si>
    <t>Pharmacy Benefit Management (PBM)</t>
  </si>
  <si>
    <t>Prescription Management, Mail-Order Pharmacy, Specialty Pharmacy, Drug Cost Management</t>
  </si>
  <si>
    <t>Ernst &amp; Young LLP</t>
  </si>
  <si>
    <t>PO BOX 933514;Atlanta GA 31193-3514;USA</t>
  </si>
  <si>
    <t>Consulting &amp; Professional Services</t>
  </si>
  <si>
    <t>Professional Services &amp; Consulting (Big Four)</t>
  </si>
  <si>
    <t>Audit, Tax Advisory, Consulting, Strategy &amp; Transactions, Digital Transformation</t>
  </si>
  <si>
    <t>J Hawk Inc</t>
  </si>
  <si>
    <t>1619 W Luthy Dr;Peoria IL 61615 1602;USA</t>
  </si>
  <si>
    <t>Flatbed Hauling, Heavy Equipment Transport, Logistics</t>
  </si>
  <si>
    <t>Microsoft Licensing Gp</t>
  </si>
  <si>
    <t>1950 N STEMMONS FWY;STE 5010 LB #842467;Dallas TX 75207;USA</t>
  </si>
  <si>
    <t>Software Licensing &amp; Cloud Computing</t>
  </si>
  <si>
    <t>Microsoft 365, Azure, Windows, Office Suite, Enterprise Software Licensing</t>
  </si>
  <si>
    <t>Armstrong Transport Group Inc</t>
  </si>
  <si>
    <t>PO Box 735227;Dallas TX 75373-5227;USA</t>
  </si>
  <si>
    <t>Freight Brokerage &amp; Logistics</t>
  </si>
  <si>
    <t>Truckload Shipping, LTL, Intermodal, Carrier Network</t>
  </si>
  <si>
    <t>Hogan Dedicated Services, Inc.</t>
  </si>
  <si>
    <t>2150 Schuetz Rd;Suite 210;Saint Louis MO 63146-3504;USA</t>
  </si>
  <si>
    <t>Dedicated Trucking &amp; Freight</t>
  </si>
  <si>
    <t>Temperature-Controlled Transport, Live-Animal Hauling, Tanker Operations, Expedited Delivery, Fleet Management</t>
  </si>
  <si>
    <t>Total Transportation of MS, LLC</t>
  </si>
  <si>
    <t>PO Box 933813;Atlanta GA 31193-3813;USA</t>
  </si>
  <si>
    <t>Truckload, Flatbed, Dedicated Trucking, Logistics, Intermodal</t>
  </si>
  <si>
    <t>Maverick Transporation LLC</t>
  </si>
  <si>
    <t>PO Box 16173;Little Rock AR 72231-6173;USA</t>
  </si>
  <si>
    <t>Truckload, LTL, Intermodal, Dedicated Fleet, Logistics</t>
  </si>
  <si>
    <t>Pasha Group</t>
  </si>
  <si>
    <t>PO Box 741142;Los Angeles CA 90074-1142;USA</t>
  </si>
  <si>
    <t>Transportation &amp; Logistics Management</t>
  </si>
  <si>
    <t>Auto Shipping, Ocean Transport, Warehousing, Drayage, Supply Chain Solutions, Port Operations</t>
  </si>
  <si>
    <t>Prologis, L.P</t>
  </si>
  <si>
    <t>RENT</t>
  </si>
  <si>
    <t>1800 Wazee St;Suite 500;Denver CO 80202-1577;USA</t>
  </si>
  <si>
    <t>Rent Space</t>
  </si>
  <si>
    <t>Industrial Real Estate Investment</t>
  </si>
  <si>
    <t>Industrial Real Estate, Warehouse, Distribution, REIT Operations</t>
  </si>
  <si>
    <t>Sea Box Inc.</t>
  </si>
  <si>
    <t>1 Sea Box Dr.;Cinnaminson NJ 08077;USA</t>
  </si>
  <si>
    <t>Real Estate &amp; Property</t>
  </si>
  <si>
    <t>Container &amp; Modular Storage Solutions</t>
  </si>
  <si>
    <t>Shipping Containers, Modular Buildings, ISO Containers, Custom Modifications</t>
  </si>
  <si>
    <t>Global Logistics Group, LLC</t>
  </si>
  <si>
    <t>125 Woodstream Blvd;Suite 301;Stafford VA 22556;USA</t>
  </si>
  <si>
    <t>Freight &amp; Logistics</t>
  </si>
  <si>
    <t>Trucking, Supply Chain Management, Freight Forwarding, Government Logistics</t>
  </si>
  <si>
    <t>Frank Consolidated Enterprises LLC</t>
  </si>
  <si>
    <t>666 GARLAND PL;DES PLAINES IL 60016-4725;USA</t>
  </si>
  <si>
    <t>Construction &amp; Contracting</t>
  </si>
  <si>
    <t>General Contracting &amp; Maintenance</t>
  </si>
  <si>
    <t>Building Maintenance, General Contracting, Facility Services, Renovation</t>
  </si>
  <si>
    <t>Gallagher Bassett Services, Inc.</t>
  </si>
  <si>
    <t>15763 COLLECTIONS CENTER DRIVE;CHICAGO IL 60693-0001;USA</t>
  </si>
  <si>
    <t>Claims Management &amp; TPA</t>
  </si>
  <si>
    <t>Workers' Comp Claims, Liability Claims, Risk Management, Medical Cost Containment</t>
  </si>
  <si>
    <t>Dynamic Wave, LLC</t>
  </si>
  <si>
    <t>680 E. North Ave;Carol Stream IL 60188;USA</t>
  </si>
  <si>
    <t>Trucking, Logistics, Expedited Freight</t>
  </si>
  <si>
    <t>AFCO Credit-Direct</t>
  </si>
  <si>
    <t>150 N Field Drive;Suite 190;Lake Forest IL 60045;USA</t>
  </si>
  <si>
    <t>Insurance Premium Financing</t>
  </si>
  <si>
    <t>Payment Processing, Premium Billing, Agent/Broker Tools</t>
  </si>
  <si>
    <t>Lion Industrial Properties LP</t>
  </si>
  <si>
    <t>1717 McKinney Ave;Ste 1900;Dallas TX 75202;USA</t>
  </si>
  <si>
    <t>Commercial Property Lease</t>
  </si>
  <si>
    <t>Industrial Real Estate, Property Management</t>
  </si>
  <si>
    <t>Penske</t>
  </si>
  <si>
    <t>P.O. BOX 827380;Philadelphia PA 19182;USA</t>
  </si>
  <si>
    <t>Full-Service Truck Leasing, Fleet Maintenance, Truck Rental, Used Truck Sales, 24/7 Roadside Assistance</t>
  </si>
  <si>
    <t>Legacy Support Services</t>
  </si>
  <si>
    <t>601 Texas Central Parkway;Waco TX 76712;USA</t>
  </si>
  <si>
    <t>Payroll &amp; HR Services</t>
  </si>
  <si>
    <t>Technical Support, Help Desk, IT Infrastructure, Network Management</t>
  </si>
  <si>
    <t>000526</t>
  </si>
  <si>
    <t>Ryder Truck Rental Canada</t>
  </si>
  <si>
    <t>PO BOX 9464 STN A;TORONTO ON M5W 4E1;CAN</t>
  </si>
  <si>
    <t>CAD</t>
  </si>
  <si>
    <t>Truck Rental Services</t>
  </si>
  <si>
    <t>Truck Rental, Commercial Vehicles, Fleet Solutions</t>
  </si>
  <si>
    <t>Concept Logistics</t>
  </si>
  <si>
    <t>701 Seneca St ;Suite 140F;Buffalo NY 14210;USA</t>
  </si>
  <si>
    <t>LTL Shipping, Truckload, Intermodal, Supply Chain Management</t>
  </si>
  <si>
    <t>Los Angeles County Employees Retirement</t>
  </si>
  <si>
    <t>300 N LAKE AVE;Ste. 850;PASADENA CA 91101-4109;USA</t>
  </si>
  <si>
    <t>Public Employee Retirement System</t>
  </si>
  <si>
    <t>Pension Administration, Retirement Benefits, Investment Management</t>
  </si>
  <si>
    <t>Pacab LLC</t>
  </si>
  <si>
    <t>LOCKBOX #15693;15693 COLLECTIONS CENTER DR;Chicago IL 60693;USA</t>
  </si>
  <si>
    <t>Real Estate, Property Management</t>
  </si>
  <si>
    <t>HYG Financial Services, Inc.</t>
  </si>
  <si>
    <t>PO Box 77102;Minneapolis MN 55480;USA</t>
  </si>
  <si>
    <t>Lift Truck Financing</t>
  </si>
  <si>
    <t>Forklift Leasing, Equipment Loans, Fleet Financing, Asset Remarketing</t>
  </si>
  <si>
    <t>BTC II Holdco, LLC</t>
  </si>
  <si>
    <t>900 WILSHIRE BLVD;STE 2400;LOS ANGELES CA 90017-4701;USA</t>
  </si>
  <si>
    <t>Real Estate Investment, Property Management</t>
  </si>
  <si>
    <t>Boyle at 54th, LLC</t>
  </si>
  <si>
    <t>3010 Old Ranch Pkwy;Suite 470;Seal Beach CA 90740-2764;USA</t>
  </si>
  <si>
    <t>Gateway Logistics, Inc.</t>
  </si>
  <si>
    <t>4250 Creek Rd;Cincinnati OH 45241-2956;USA</t>
  </si>
  <si>
    <t>Trucking, Supply Chain, Warehousing, Freight Brokerage</t>
  </si>
  <si>
    <t>Terreno Realty Corporation</t>
  </si>
  <si>
    <t>101 MONTGOMERY ST;STE 200;SAN FRANCISCO CA 94104-4151;USA</t>
  </si>
  <si>
    <t>Industrial Real Estate Investment (REIT)</t>
  </si>
  <si>
    <t>Industrial Property, Warehouse, Distribution, Logistics Real Estate, Net Lease</t>
  </si>
  <si>
    <t>Gateway Pacific Vista LLC</t>
  </si>
  <si>
    <t>PO Box 209233;Austin TX 78720;USA</t>
  </si>
  <si>
    <t>1800 Wazee Street;Suite 500;Denver CO 80202;USA</t>
  </si>
  <si>
    <t>Dyer Business Park c/o Shea Ctr Cor</t>
  </si>
  <si>
    <t>130 Vantis Dr;Ste 200;Aliso Viejo CA 92656-2691;USA</t>
  </si>
  <si>
    <t>Real Estate, Business Park, Property Management</t>
  </si>
  <si>
    <t>FKQ Marketing</t>
  </si>
  <si>
    <t>15351 Roosevelt Blvd;Clearwater FL 33760 3534;USA</t>
  </si>
  <si>
    <t>Advertising, Branding, Media Planning, Digital Marketing, Creative Services</t>
  </si>
  <si>
    <t>Rexford Industrial Realty LP</t>
  </si>
  <si>
    <t>11620 Wilshire Blvd;Suite 1000;Los Angeles CA 90025-1706;USA</t>
  </si>
  <si>
    <t>Industrial Property Acquisition, Warehouse Development, REIT Operations, Leasing</t>
  </si>
  <si>
    <t>Greatwide Dallas Mavis LLC</t>
  </si>
  <si>
    <t>PO BOX 405828;Atlanta GA 30384-5828;USA</t>
  </si>
  <si>
    <t>Flatbed Trucking, Specialized Freight, Heavy Haul, Logistics</t>
  </si>
  <si>
    <t>DD Rich</t>
  </si>
  <si>
    <t>301 W Indiana Ave;Bonifay FL 32425-1952;USA</t>
  </si>
  <si>
    <t>Trucking, Hotshot Delivery, Flatbed Hauling</t>
  </si>
  <si>
    <t>Logistic Dynamics LLC</t>
  </si>
  <si>
    <t>PO Box 675297;Detroit MI 48267;USA</t>
  </si>
  <si>
    <t>Truckload Shipping, LTL, Intermodal, Third-Party Logistics (3PL)</t>
  </si>
  <si>
    <t>ReliaStar Life insurance Co.</t>
  </si>
  <si>
    <t>3702 Paysphere Circle;Chicago IL 60674;USA</t>
  </si>
  <si>
    <t>Life Insurance Services</t>
  </si>
  <si>
    <t>Life Insurance, Annuities, Employee Benefits, Retirement Plans</t>
  </si>
  <si>
    <t>J.P.Morgan REIT Operating Part LP</t>
  </si>
  <si>
    <t>277 Park Avenue, 9th Floor;New York NY 10172;USA</t>
  </si>
  <si>
    <t>Real Estate Investment Trust (REIT)</t>
  </si>
  <si>
    <t>Commercial Real Estate, Property Investment, Asset Management</t>
  </si>
  <si>
    <t>National Financial Services LLC</t>
  </si>
  <si>
    <t>245 SUMMER ST;BOSTON MA 02210-1133;USA</t>
  </si>
  <si>
    <t>Financial Services</t>
  </si>
  <si>
    <t>Brokerage Clearing, Custody, Execution Services, Investment Platform</t>
  </si>
  <si>
    <t>Yale Materials Handling Corp</t>
  </si>
  <si>
    <t>PO Box 74008435;Chicago IL 60674-8435;USA</t>
  </si>
  <si>
    <t>Industrial Equipment &amp; Supply</t>
  </si>
  <si>
    <t>Material Handling Equipment</t>
  </si>
  <si>
    <t>Forklifts, Reach Trucks, Pallet Jacks, Parts, Service, Material Handling</t>
  </si>
  <si>
    <t>Cintas National Rental A/R</t>
  </si>
  <si>
    <t>PO Box 639990;Cincinnati OH 45263-9990;USA</t>
  </si>
  <si>
    <t>Real Estate, Property Management, Asset Management</t>
  </si>
  <si>
    <t>Fleming Business Park LLC</t>
  </si>
  <si>
    <t>2101 Woodside Rd;Woodside CA 94062-1110;USA</t>
  </si>
  <si>
    <t>Five9 Inc.</t>
  </si>
  <si>
    <t>FILE 2361;1801 W Olympic Blvd;Pasadena CA 91199-0001;USA</t>
  </si>
  <si>
    <t>Cloud Contact Center (CCaaS)</t>
  </si>
  <si>
    <t>Intelligent Virtual Agent, Workforce Optimization, Omnichannel Engagement, AI Analytics</t>
  </si>
  <si>
    <t>Best Bay Logistics Inc</t>
  </si>
  <si>
    <t>BROKER</t>
  </si>
  <si>
    <t>PO Box 511423;Los Angeles CA 90051-7978;USA</t>
  </si>
  <si>
    <t>Freight Brokerage</t>
  </si>
  <si>
    <t>Freight Brokerage, Logistics Coordination, Carrier Management</t>
  </si>
  <si>
    <t>PS Business Parks, LP</t>
  </si>
  <si>
    <t>233 S WACKER DR;STE 4700;CHICAGO IL 60606-7147;USA</t>
  </si>
  <si>
    <t>Industrial Parks, Office Space, Flex Space, Property Management</t>
  </si>
  <si>
    <t>Ryder Truck Rental INC</t>
  </si>
  <si>
    <t>6000 WINDWARD PKWY;ALPHARETTA GA 30005-4181;USA</t>
  </si>
  <si>
    <t>Truck Rental &amp; Leasing</t>
  </si>
  <si>
    <t>Truck Rental, Leasing, Fleet Maintenance, Used Trucks</t>
  </si>
  <si>
    <t>Tata Consultancy Services Limited</t>
  </si>
  <si>
    <t>379 Thornall St;Edison NJ 08837-2225;USA</t>
  </si>
  <si>
    <t>IT Services &amp; Consulting</t>
  </si>
  <si>
    <t>IT Consulting, Cloud Migration, Digital Transformation, Software Development, AI/ML, Cybersecurity</t>
  </si>
  <si>
    <t>Bridge FLL, LLC</t>
  </si>
  <si>
    <t>PO Box 735124;PPF Industrial 1300 SW 32nd Court LLC;735124 Network Place;Chicago IL 60673-5124;USA</t>
  </si>
  <si>
    <t>2065 George St</t>
  </si>
  <si>
    <t>3347 Michelson Drive;Suite 200;Irvine CA 92612;USA</t>
  </si>
  <si>
    <t>ListEngage, LLC</t>
  </si>
  <si>
    <t>5 Edgell Road;Suite 20;Framingham MA 01701;USA</t>
  </si>
  <si>
    <t>Salesforce Marketing Cloud Consulting</t>
  </si>
  <si>
    <t>Digital Strategy, CRM Consulting, Email Marketing, Marketing Automation</t>
  </si>
  <si>
    <t>Greyway Global LLC</t>
  </si>
  <si>
    <t>12620 BEACH BLVD;Ste 3-280;JACKSONVILLE FL 32246-7131;USA</t>
  </si>
  <si>
    <t>Freight Brokerage, Global Shipping, Supply Chain Management</t>
  </si>
  <si>
    <t>LBA LVF IX Aggregator, LLC</t>
  </si>
  <si>
    <t>3347 Michelson Drive,;Suite 200;Irvine CA 92612;USA</t>
  </si>
  <si>
    <t>Veritas Logistics</t>
  </si>
  <si>
    <t>4557 MONTGOMERY RD;RM 200;CINCINNATI OH 45212-3100;USA</t>
  </si>
  <si>
    <t>Truckload, LTL, Logistics, Freight Brokerage, Supply Chain</t>
  </si>
  <si>
    <t>American Express</t>
  </si>
  <si>
    <t>TRAVEL MANAGEMENT SERVICES;PO BOX 360001;Ft Lauderdale FL 33336;USA</t>
  </si>
  <si>
    <t>Corporate Card &amp; Payment Services</t>
  </si>
  <si>
    <t>Expense Management, Travel Rewards, Business Credit Cards, Membership Rewards</t>
  </si>
  <si>
    <t>Sandell Holdings LLC</t>
  </si>
  <si>
    <t>3348 Paradise Dr;Belvedere Tiburon CA 94920-1213;USA</t>
  </si>
  <si>
    <t>Nirro LLC</t>
  </si>
  <si>
    <t>5456 NW 44th Way;Coconut Creek FL 33073-5025;USA</t>
  </si>
  <si>
    <t>General Contracting</t>
  </si>
  <si>
    <t>Construction, Maintenance, Building Services</t>
  </si>
  <si>
    <t>Lima Truck Brokers LLC</t>
  </si>
  <si>
    <t>201 N Elizabeth St;Lima OH 45050;USA</t>
  </si>
  <si>
    <t>Freight Brokerage &amp; Trucking</t>
  </si>
  <si>
    <t>Truckload Shipping, LTL, Freight Brokerage, Logistics</t>
  </si>
  <si>
    <t>Build to Core Industrial Partn</t>
  </si>
  <si>
    <t>Po Box 95534;Grapevine TX 76099;USA</t>
  </si>
  <si>
    <t>PBI Post Dist. LLC</t>
  </si>
  <si>
    <t>687 Old Willets Path;Hauppauge NY 11788-4118;USA</t>
  </si>
  <si>
    <t>VMD Industrial V LLC</t>
  </si>
  <si>
    <t>733 Turnpike Street;Route 114;North Andover MA 01845;USA</t>
  </si>
  <si>
    <t>Real Estate, Industrial Property, Property Management</t>
  </si>
  <si>
    <t>Coast 2 Coast Logistics LLC</t>
  </si>
  <si>
    <t>1017 N Riverside Ave;Ste 107;Medford OR 97501 4692;USA</t>
  </si>
  <si>
    <t>Load Scheduling, Trucking, LTL Shipping</t>
  </si>
  <si>
    <t>Bestpass, Inc.</t>
  </si>
  <si>
    <t>500 New Karner Road;Albany NY 12205;USA</t>
  </si>
  <si>
    <t>Fleet Toll Management</t>
  </si>
  <si>
    <t>Toll Consolidation, Transponder Services, Fleet Analytics, Violation Management</t>
  </si>
  <si>
    <t>Teachers Ins&amp; Anny Assoc of America</t>
  </si>
  <si>
    <t>Attn: Tim Studer;300 W Pratt St ;Ste 520;Baltimore MD 21201-6500;USA</t>
  </si>
  <si>
    <t>Real Estate Investment, Property Management, Commercial Leasing</t>
  </si>
  <si>
    <t>Miller Dedicated Services</t>
  </si>
  <si>
    <t>1824 Route 38;Lumberton NJ 08048;USA</t>
  </si>
  <si>
    <t>Dedicated Fleet, Truckload Shipping, Logistics, Transportation</t>
  </si>
  <si>
    <t>Invesco U.S. Income REIT, LLC</t>
  </si>
  <si>
    <t>2300 N. Field Street, Suite 1200;Dallas TX 75201;USA</t>
  </si>
  <si>
    <t>Real Estate Investment, Property Management, Office/Commercial Space</t>
  </si>
  <si>
    <t>Bristol Warehouse LLC</t>
  </si>
  <si>
    <t>280 Daines St;Ste 300;Birmingham MI 48009-6243;USA</t>
  </si>
  <si>
    <t>Majestic Realty Co.</t>
  </si>
  <si>
    <t>13191 Crossroads Pkwy N;Fl 6;La Puente CA 91746 3421;USA</t>
  </si>
  <si>
    <t>Commercial Real Estate Development</t>
  </si>
  <si>
    <t>Industrial Properties, Office Space, Retail Space, Property Management</t>
  </si>
  <si>
    <t>94 Business Park Drive Associates</t>
  </si>
  <si>
    <t>c/o Mandlebaum &amp; Mandlebaum;354 Eisenhower Parkway;Suite 1900;Livingston NJ 07039;USA</t>
  </si>
  <si>
    <t>Industrial Real Estate, Business Park Space</t>
  </si>
  <si>
    <t>000558</t>
  </si>
  <si>
    <t>Orlando Corporation</t>
  </si>
  <si>
    <t>6205-B Airport Rd 5th Floor;Mississauga ON L4V 1E3;CAN</t>
  </si>
  <si>
    <t>Industrial Real Estate, Office Space, Property Development</t>
  </si>
  <si>
    <t>E Thomas Harvey III</t>
  </si>
  <si>
    <t>405 E Marsh Lane;Suite 1;Newport DE 19804;USA</t>
  </si>
  <si>
    <t>BA One REIT LLC</t>
  </si>
  <si>
    <t>101 W ELM ST;Suite 600;CONSHOHOCKEN PA 19428-2075;USA</t>
  </si>
  <si>
    <t>Sullivan &amp; Cromwell LLP</t>
  </si>
  <si>
    <t>LEGAL</t>
  </si>
  <si>
    <t>Attn: Treaury Dept/Rm 2021;125 Broad Street;New York NY 10004;USA</t>
  </si>
  <si>
    <t>Legal Services</t>
  </si>
  <si>
    <t>Full-Service Law Firm</t>
  </si>
  <si>
    <t>M&amp;A, Capital Markets, Securities, Litigation, Financial Restructuring, Tax, IP, Real Estate</t>
  </si>
  <si>
    <t>Wheels Leasing Canada LTD</t>
  </si>
  <si>
    <t>6733 Mississauga Rd, Suite 310 ;Mississauga ON L5N 6J5;CAN</t>
  </si>
  <si>
    <t>Fleet Leasing &amp; Management</t>
  </si>
  <si>
    <t>Fleet Leasing, Fleet Management, Driver Solutions, Vehicle Remarketing, Fleet Analytics</t>
  </si>
  <si>
    <t>Simon Kucher &amp; Partners</t>
  </si>
  <si>
    <t>201 Washington St,;One Boston Pl, Suite 3301;BOSTON MA 02108-4407;USA</t>
  </si>
  <si>
    <t>Pricing &amp; Growth Strategy Consulting</t>
  </si>
  <si>
    <t>Revenue Growth, Commercial Strategy, Pricing Optimization, M&amp;A Advisory, Market Entry Strategy</t>
  </si>
  <si>
    <t>GFI Big Joe LLC</t>
  </si>
  <si>
    <t>PO Box 75917;Baltimore MD 21275-5917;USA</t>
  </si>
  <si>
    <t>Standard Ins Co (Life/Disability)</t>
  </si>
  <si>
    <t>PO Box 3789;Portland OR 97208;USA</t>
  </si>
  <si>
    <t>Group Insurance &amp; Employee Benefits</t>
  </si>
  <si>
    <t>Life Insurance, Disability Insurance, Dental, Vision, Retirement Plans, Absence Management</t>
  </si>
  <si>
    <t>GuidePoint Security Holdings LLC</t>
  </si>
  <si>
    <t>1900 RESTON METRO PLZ; Suite 701;RESTON VA 20190-5218;USA</t>
  </si>
  <si>
    <t>Cybersecurity Consulting &amp; Solutions</t>
  </si>
  <si>
    <t>Cloud Security, Identity &amp; Access Management, Endpoint Security, Incident Response, Network Security, Managed Security</t>
  </si>
  <si>
    <t>LMO Creekside Dist., LLC</t>
  </si>
  <si>
    <t>687 Old Willets Path;Suite C;Hauppauge NY 11788-4118;USA</t>
  </si>
  <si>
    <t>Industrial Real Estate, Distribution Facilities</t>
  </si>
  <si>
    <t>Aetna Life Insurance Company Medical</t>
  </si>
  <si>
    <t>151 FARMINGTON AVE;HARTFORD CT 06156-0001;USA</t>
  </si>
  <si>
    <t>Health Insurance &amp; Benefits</t>
  </si>
  <si>
    <t>Medical Plans, Dental, Vision, Wellness Programs</t>
  </si>
  <si>
    <t>Mode Transportation, LLC</t>
  </si>
  <si>
    <t>PO Box 654371;Dallas TX 75265;USA</t>
  </si>
  <si>
    <t>LTL, Truckload, Intermodal, Temperature-Controlled, Supply Chain Solutions</t>
  </si>
  <si>
    <t>HDC Properties Hanua Logistic Ctr</t>
  </si>
  <si>
    <t>1250 Kapiolani Blvd.;Honolulu HI 96814;USA</t>
  </si>
  <si>
    <t>Industrial Real Estate, Logistics Facilities, Warehouse Space</t>
  </si>
  <si>
    <t>Ankura Consulting Group LLC</t>
  </si>
  <si>
    <t>PO Box 74007043;Chicago IL 60674;USA</t>
  </si>
  <si>
    <t>Business Consulting</t>
  </si>
  <si>
    <t>Management Consulting, Advisory Services, CFO</t>
  </si>
  <si>
    <t>BGO Diversified Property Fund REIT LLC</t>
  </si>
  <si>
    <t>7315 Wisconsin Ave;Suite 350W;Bethesda MD 20814;USA</t>
  </si>
  <si>
    <t>SML Relocation LLC</t>
  </si>
  <si>
    <t>411 1ST AVE S;STE 501;SEATTLE WA 98104-2860;USA</t>
  </si>
  <si>
    <t>Moving Services</t>
  </si>
  <si>
    <t>Relocation &amp; Moving Services</t>
  </si>
  <si>
    <t>Corporate Relocation, Household Goods Moving, Destination Services</t>
  </si>
  <si>
    <t>RG Industries dba RG Group</t>
  </si>
  <si>
    <t>650 N State St;York PA 17403-1032;USA</t>
  </si>
  <si>
    <t>Motion Control &amp; Fluid Power Solutions</t>
  </si>
  <si>
    <t>Hydraulic &amp; Pneumatic Systems, Automation, Robotics, Electromechanical Solutions</t>
  </si>
  <si>
    <t>Motus Freight LLC</t>
  </si>
  <si>
    <t>119 Fairfield Avenue;Suite 410;Bellevue KY 41073;USA</t>
  </si>
  <si>
    <t>Truckload, LTL, Expedited Freight, Supply Chain Solutions</t>
  </si>
  <si>
    <t>Grizz Logistics</t>
  </si>
  <si>
    <t>5000-18 Hwy 17 S ;#263;Fleming Island FL 32003;USA</t>
  </si>
  <si>
    <t>Freight Brokerage, Trucking, Transportation, Expedited Delivery</t>
  </si>
  <si>
    <t>New Age Holdings LLC</t>
  </si>
  <si>
    <t>PO Box 1296;Jacksonville IL 62651-1296;USA</t>
  </si>
  <si>
    <t>Jing Jiang Asian-Pacific Special Mt</t>
  </si>
  <si>
    <t>No. 19 Cheng Xi Ave;Jingjiang City;Jiangsu Province;Peoples Republic of China 214500;USA</t>
  </si>
  <si>
    <t>Specialty Metal Manufacturing</t>
  </si>
  <si>
    <t>Precision Metal Parts, Forging, Machining, Industrial Components</t>
  </si>
  <si>
    <t>000936</t>
  </si>
  <si>
    <t>CREIT Management LP in Trust for CREIT Alberta Industrial</t>
  </si>
  <si>
    <t>1030, 355-4th Avenue SW Calgary Place;Calgary AB T2P 0J1;CAN</t>
  </si>
  <si>
    <t>625 Universtiy Leasehold Owner, LLC</t>
  </si>
  <si>
    <t>C/O WS Development Assoc.;33 Boylston ST. Ste. 3000;Chestnut Hill MA 02467;USA</t>
  </si>
  <si>
    <t>Retail Real Estate, Mixed-Use Development, Property Management</t>
  </si>
  <si>
    <t>Pac West Equities dba PW Fund Do not use - use 152202</t>
  </si>
  <si>
    <t>555 Capitol Mall;Suite 900;Sacramento CA 95814;USA</t>
  </si>
  <si>
    <t>UKG Inc.</t>
  </si>
  <si>
    <t>PO Box 930953;Atlanta GA 31193-0953;USA</t>
  </si>
  <si>
    <t>Workforce Management / HCM Platform</t>
  </si>
  <si>
    <t>Payroll, HR, Talent Management, Workforce Analytics, Time &amp; Attendance, Benefits Admin</t>
  </si>
  <si>
    <t>29899 SW Boones Ferry Rd Co LLC</t>
  </si>
  <si>
    <t>PO Box 743130;Los Angeles CA 90074-3130;USA</t>
  </si>
  <si>
    <t>Rastegar Rel Fund Mgt Infinity Park</t>
  </si>
  <si>
    <t>11044 Research Blvd;Ste D-110;Austin TX 78759;USA</t>
  </si>
  <si>
    <t>Werner Enterprises Inc</t>
  </si>
  <si>
    <t>14507 Frontier Rd;Omaha NE 68138-3808;USA</t>
  </si>
  <si>
    <t>Truckload, Dedicated, Intermodal, Logistics, Freight Management, Fleet Services</t>
  </si>
  <si>
    <t>Pine Forest Everett, LLC</t>
  </si>
  <si>
    <t>11980 NE 24th St;Suite 200;Bellevue WA 98005-1516;USA</t>
  </si>
  <si>
    <t>Focused Labs, Inc.</t>
  </si>
  <si>
    <t>433 W Van Buren St;STE 1100-B;Chicago IL 60607;USA</t>
  </si>
  <si>
    <t>Custom Software Development &amp; AI Consulting</t>
  </si>
  <si>
    <t>AI Agent Development, Cloud Migration, Platform Deployment, LangChain, Software Consulting</t>
  </si>
  <si>
    <t>One Fifteen-M-Woodridge, L.L.C.</t>
  </si>
  <si>
    <t>205 Mill Rd;Edison NJ 08837-3801;USA</t>
  </si>
  <si>
    <t>JM Holdings USA LLC</t>
  </si>
  <si>
    <t>1600 S Airport Dr Ste 100;Mc Kinney TX 75069;USA</t>
  </si>
  <si>
    <t>AAFES</t>
  </si>
  <si>
    <t>Attn: Tiffany Thompson;FA-C-AR/CONCESSION UNIT;3911 S WALTON WALKER BLVD;Dallas TX 75236-1598;USA</t>
  </si>
  <si>
    <t>Government &amp; Military</t>
  </si>
  <si>
    <t>Military Retail Services</t>
  </si>
  <si>
    <t>Tax-Free Shopping, E-Commerce, Military Family Support</t>
  </si>
  <si>
    <t>Almar Management LLC</t>
  </si>
  <si>
    <t>730 Arcady Rd;Santa Barbara CA 93108;USA</t>
  </si>
  <si>
    <t>First Industrial Realty Trust</t>
  </si>
  <si>
    <t>PO Box 932251;Cleveland OH 44193-0010;USA</t>
  </si>
  <si>
    <t>Industrial Real Estate, Distribution/Warehouse Facilities</t>
  </si>
  <si>
    <t>Austin Warehouse LLC</t>
  </si>
  <si>
    <t>Warehouse Space, Industrial Real Estate</t>
  </si>
  <si>
    <t>Allegis dba Aerotek</t>
  </si>
  <si>
    <t>PO BOX 198531;Atlanta GA 30384-8531;USA</t>
  </si>
  <si>
    <t>HR, Staffing &amp; Employee Services</t>
  </si>
  <si>
    <t>Staffing &amp; Workforce Solutions</t>
  </si>
  <si>
    <t>Manufacturing Staffing, Construction, Engineering, Logistics</t>
  </si>
  <si>
    <t>Nor Co 2534 Holdings, LLC</t>
  </si>
  <si>
    <t>101 Ygnacio Valley Rd;Walnut Creek CA 94596;USA</t>
  </si>
  <si>
    <t>CIGNITI TECHNOLOGIES LIMITED</t>
  </si>
  <si>
    <t>International Tech Park,;7th Floor, Vega Block, ; Software Units Layout, Madhapur;Plot No. 17,;Madhapur, Hyderabad - 500081;IND</t>
  </si>
  <si>
    <t>Software Testing &amp; QA Services</t>
  </si>
  <si>
    <t>Digital Assurance, Quality Engineering, Test Automation, Performance Testing, AI-Driven Testing</t>
  </si>
  <si>
    <t>20% Spend</t>
  </si>
  <si>
    <t>Florida Storage Equities LLC</t>
  </si>
  <si>
    <t>c/o The Becker Organization;24 Church Street;Montclair NJ 07042;USA</t>
  </si>
  <si>
    <t>Self-Storage, Real Estate Investment, Property Management</t>
  </si>
  <si>
    <t>Hurley Felds 1, LLC</t>
  </si>
  <si>
    <t>4706 18th Ave;Brooklyn NY 11204-1356;USA</t>
  </si>
  <si>
    <t>Real Estate, Property Management, Commercial Leasing</t>
  </si>
  <si>
    <t>GP Trans Inc.</t>
  </si>
  <si>
    <t>7800 NE 65th St;Vancouver WA 98662 4220;USA</t>
  </si>
  <si>
    <t>Trucking, LTL Shipping, Freight Hauling</t>
  </si>
  <si>
    <t>Sureway Transportation Company</t>
  </si>
  <si>
    <t>ATS Logistics Services Inc;LBX 7130 PO Box 1450;Minneapolis MN 55485;USA</t>
  </si>
  <si>
    <t>Truckload, LTL, Dedicated Trucking, Logistics, Fleet Services</t>
  </si>
  <si>
    <t>Traffic Tech, Inc.</t>
  </si>
  <si>
    <t>111 E. Wacker Drive, Ste 2500;Chicago IL 60601;USA</t>
  </si>
  <si>
    <t>Cross-Border Freight, Truckload, LTL, Intermodal, Logistics, Supply Chain</t>
  </si>
  <si>
    <t>FitzMark Inc.</t>
  </si>
  <si>
    <t>PO Box 68847;Indianapolis IN 46268 0847;USA</t>
  </si>
  <si>
    <t>Freight Brokerage, Truckload Shipping, LTL, Supply Chain Management</t>
  </si>
  <si>
    <t>McClellan Park LLC</t>
  </si>
  <si>
    <t>3140 Peacekeeper Way;McClellan CA 95652-2508;USA</t>
  </si>
  <si>
    <t>Business Park, Industrial Real Estate, Property Management</t>
  </si>
  <si>
    <t>000847</t>
  </si>
  <si>
    <t>Portable Storage Canada, LTD</t>
  </si>
  <si>
    <t>CAN</t>
  </si>
  <si>
    <t>Portable Storage Services</t>
  </si>
  <si>
    <t>Container Rental, Moving Storage, On-Site Storage</t>
  </si>
  <si>
    <t>PROS Inc.</t>
  </si>
  <si>
    <t>3200 Kirby Drive;Suite 600;Houston TX 77098;USA</t>
  </si>
  <si>
    <t>AI-Powered Price Optimization</t>
  </si>
  <si>
    <t>Revenue Management, Dynamic Pricing, Sales Effectiveness, CPQ, eCommerce</t>
  </si>
  <si>
    <t>Logik.io Inc</t>
  </si>
  <si>
    <t>570 Lake Cook Rd ;Suite 406;Deerfield IL 60015;USA</t>
  </si>
  <si>
    <t>CPQ &amp; Commerce Configuration Platform</t>
  </si>
  <si>
    <t>Product Configuration, Guided Selling, Commerce Engines, Quote Automation</t>
  </si>
  <si>
    <t>CB Luna Industrial No 2</t>
  </si>
  <si>
    <t>1722 Routh Street Ste 770;Dallas TX 75201-2535;USA</t>
  </si>
  <si>
    <t>RCCI Inc</t>
  </si>
  <si>
    <t>Cushman &amp; Wakefield of CA Dept #tx6260;Rcci Inc. PO Box 511335;Los Angeles CA 90051;USA</t>
  </si>
  <si>
    <t>Commercial Real Estate Services</t>
  </si>
  <si>
    <t>Property Management, Facility Services, Commercial Real Estate</t>
  </si>
  <si>
    <t>ARA-B, LLC</t>
  </si>
  <si>
    <t>1505 S Redwood Rd;Salt Lake City UT 84104-5106;USA</t>
  </si>
  <si>
    <t>Amazon Capital Services, Inc.</t>
  </si>
  <si>
    <t>po box 035184;Seattle WA 98124;USA</t>
  </si>
  <si>
    <t>Business Procurement Platform</t>
  </si>
  <si>
    <t>Office Supplies, IT Equipment, Breakroom Supplies, Janitorial Supplies</t>
  </si>
  <si>
    <t>Ashley Romulus LLC</t>
  </si>
  <si>
    <t>9810 S Dorchester Ave;Chicago IL 60628 1727;USA</t>
  </si>
  <si>
    <t>Manassas Logistics Center LLC</t>
  </si>
  <si>
    <t>1717 McKinney Ave;STE 1900;Dallas TX 75202;USA</t>
  </si>
  <si>
    <t>MTA Distributors LLC</t>
  </si>
  <si>
    <t>MSC 7573;PO Box 415000;Nashville TN 37241;USA</t>
  </si>
  <si>
    <t>HVAC, Plumbing &amp; Mechanical</t>
  </si>
  <si>
    <t>HVAC Parts &amp; Equipment Distribution</t>
  </si>
  <si>
    <t>HVAC Supplies, Refrigeration Parts, Equipment Wholesale</t>
  </si>
  <si>
    <t>Cascades West LLC</t>
  </si>
  <si>
    <t>C/O ONLINE DISTRIBUTING;14093 BALBOA BLVD UNIT A;Sylmar CA 91342;USA</t>
  </si>
  <si>
    <t>Rent Misc</t>
  </si>
  <si>
    <t>Individual Contractor/Consultant</t>
  </si>
  <si>
    <t>Professional Services</t>
  </si>
  <si>
    <t>The Westwood Companies Inc</t>
  </si>
  <si>
    <t>687 Old Willets Path;Suite C;Hauppauge NY 11788;USA</t>
  </si>
  <si>
    <t>IL Trep Kingsland, LLC</t>
  </si>
  <si>
    <t>3657 Briarpark Drive;Ste 300;Houston TX 77042;USA</t>
  </si>
  <si>
    <t>Verizon Wireless- #920358656</t>
  </si>
  <si>
    <t>UTIL</t>
  </si>
  <si>
    <t>PO Box 660108;Dallas TX 75266 0108;USA</t>
  </si>
  <si>
    <t>Telecommunications</t>
  </si>
  <si>
    <t>Wireless Telecommunications</t>
  </si>
  <si>
    <t>Wireless Service, Mobile Plans, Data Plans, Business Wireless, IoT Connectivity</t>
  </si>
  <si>
    <t>WEX Canada</t>
  </si>
  <si>
    <t>1 Hancock Street;Portland ME 04101;USA</t>
  </si>
  <si>
    <t>Fleet Cards, Fuel Cards, Expense Management, Cross-Border Fueling</t>
  </si>
  <si>
    <t>Russell Lane Technology</t>
  </si>
  <si>
    <t>2909 Trudy Ln;Tampa FL 33611-4038;USA</t>
  </si>
  <si>
    <t>IT &amp; Technology Services</t>
  </si>
  <si>
    <t>IT Consulting, Technology Solutions, Software Development</t>
  </si>
  <si>
    <t>Frederickson 50, LLC</t>
  </si>
  <si>
    <t>600 University St;Suite 2305;Seattle WA 98101-1176;USA</t>
  </si>
  <si>
    <t>SPW - DIST, LLC</t>
  </si>
  <si>
    <t>Adler AB Owner XVII LLC dba Adler Industrial LLC</t>
  </si>
  <si>
    <t>8665 W Emerald Street;Suite 200;Boise ID 83704;USA</t>
  </si>
  <si>
    <t>Class A Industrial Properties, Build-to-Suit, Property Management</t>
  </si>
  <si>
    <t>HG Logistics LLC</t>
  </si>
  <si>
    <t>1085 SUMMER ST;CINCINNATI OH 45204-2037;USA</t>
  </si>
  <si>
    <t>Freight Brokerage, LTL Shipping, Truckload, Transportation Management</t>
  </si>
  <si>
    <t>Kennesaw 75 Investors LLC</t>
  </si>
  <si>
    <t>c/o High Street Logistics;600 Unicorn Park Drive;Suite 208;Woburn MA 01801;USA</t>
  </si>
  <si>
    <t>N&amp;G Realty Co.</t>
  </si>
  <si>
    <t>90 W Industry Ct;Deer Park NY 11729-4610;USA</t>
  </si>
  <si>
    <t>Usa Logistics Inc</t>
  </si>
  <si>
    <t>PO Box 1015;Chesterton IN 46304 0015;USA</t>
  </si>
  <si>
    <t>Truckload, LTL, Logistics, Warehousing, Cross-Border Shipping</t>
  </si>
  <si>
    <t>PVR Consulting Inc</t>
  </si>
  <si>
    <t>12020 Sunrise Valley Dr.;Suite 100;Reston VA 20191;USA</t>
  </si>
  <si>
    <t>IT Consulting &amp; Staffing</t>
  </si>
  <si>
    <t>IT Staff Augmentation, Software Development, Project Management</t>
  </si>
  <si>
    <t>BCP Owner LLC</t>
  </si>
  <si>
    <t>c/o Alpha Industrial Properties,;19 North Green Street;Chicago IL 60607;USA</t>
  </si>
  <si>
    <t>Industrial Real Estate, Property Development</t>
  </si>
  <si>
    <t>Sherwin Williams District Credit</t>
  </si>
  <si>
    <t>1740 E Powell Blvd;Gresham OR 97030 8044;USA</t>
  </si>
  <si>
    <t>Paint &amp; Coatings Retail</t>
  </si>
  <si>
    <t>Paints, Stains, Coatings, Color Matching, Painting Supplies</t>
  </si>
  <si>
    <t>Mansfield Oil Co of Gainesville, .</t>
  </si>
  <si>
    <t>PO Box 733706;Dallas TX 75373-3706;USA</t>
  </si>
  <si>
    <t>Energy &amp; Utilities</t>
  </si>
  <si>
    <t>Fuel Supply &amp; Energy Solutions</t>
  </si>
  <si>
    <t>Bulk Fuel Delivery, Fleet Fueling, Fuel Management, Renewable Energy</t>
  </si>
  <si>
    <t>Guide Southbelt DRE, LLC</t>
  </si>
  <si>
    <t>1700 S MacDill Ave ;Suite 220;Tampa FL 33629;USA</t>
  </si>
  <si>
    <t>Colliers Macaulay Nicolls Inc. ITF</t>
  </si>
  <si>
    <t>Exchange Tower, ;130 King Street West;Suite 1710, Po Box 486;Toronto ON M5X 1E5;CAN</t>
  </si>
  <si>
    <t>Property Management, Brokerage, Appraisal, Investment Management</t>
  </si>
  <si>
    <t>SL Project Texas 2, LP</t>
  </si>
  <si>
    <t>3200 Gracie Kitz Lane;Suite 500;Austin TX 78758;USA</t>
  </si>
  <si>
    <t>000640</t>
  </si>
  <si>
    <t>Wesgroup Properties Ltd.</t>
  </si>
  <si>
    <t>2000 – 595 Burrard Street;Vancouver BC V6C 0E4;CAN</t>
  </si>
  <si>
    <t>Commercial Real Estate, Industrial, Retail, Mixed-Use Development, Property Management</t>
  </si>
  <si>
    <t>001348</t>
  </si>
  <si>
    <t>Cosa Nova Fashions</t>
  </si>
  <si>
    <t>50 Dufflaw Rd;Toronto ON M6A 2W1;CAN</t>
  </si>
  <si>
    <t>Retail Real Estate, Fashion Retail Space</t>
  </si>
  <si>
    <t>Mastech Digital Technologies Inc.</t>
  </si>
  <si>
    <t>PO Box 642915;Pittsburgh PA 15264-2915;USA</t>
  </si>
  <si>
    <t>IT Staffing &amp; Digital Transformation</t>
  </si>
  <si>
    <t>IT Staff Augmentation, Data Analytics, Cloud Services, AI/ML, Digital Learning</t>
  </si>
  <si>
    <t>Aetna Life Insurance Company Voluntary</t>
  </si>
  <si>
    <t>151 Farmington Ave;Hartford CT 06156;USA</t>
  </si>
  <si>
    <t>Voluntary Employee Benefits</t>
  </si>
  <si>
    <t>Life Insurance, Disability, Supplemental Coverage</t>
  </si>
  <si>
    <t>RSM US LLP</t>
  </si>
  <si>
    <t>5155 Paysphere Circle;Chicago IL 60674;USA</t>
  </si>
  <si>
    <t>Audit, Tax &amp; Consulting (Top 10 Accounting)</t>
  </si>
  <si>
    <t>Audit &amp; Assurance, Tax Advisory, Management Consulting, Risk Advisory, Financial Advisory, Technology Consulting</t>
  </si>
  <si>
    <t>Avot Realty Sanford Logistics Ctr</t>
  </si>
  <si>
    <t>17304 Preston Rd ;Suite 550;Dallas TX 75252;USA</t>
  </si>
  <si>
    <t>Industrial Real Estate, Logistics Center</t>
  </si>
  <si>
    <t>San Marcos Warehouse LLC</t>
  </si>
  <si>
    <t>AmeriGas -371473</t>
  </si>
  <si>
    <t>PO Box 371473;Pittsburgh PA 15250-7473;USA</t>
  </si>
  <si>
    <t>Propane Delivery Services</t>
  </si>
  <si>
    <t>Tank Installation, Propane Delivery, Grill Tank Exchange, Commercial &amp; Residential</t>
  </si>
  <si>
    <t>TCD245 Sunbelt Property LLC-Do Not Use</t>
  </si>
  <si>
    <t>600 Northlake Drive;Suite 130;Altamonte Springs FL 32701;USA</t>
  </si>
  <si>
    <t>Marlboro Dist Rte 9 LLC</t>
  </si>
  <si>
    <t>Columbia Georgia Horizon Industrl</t>
  </si>
  <si>
    <t>PO Box 848138-66;Dallas TX 75284;USA</t>
  </si>
  <si>
    <t>Warren Warehouse,LLC</t>
  </si>
  <si>
    <t>280 Daines St;Suite 300;Birmingham MI 48009-6243;USA</t>
  </si>
  <si>
    <t>Warehouse &amp; Storage Facility</t>
  </si>
  <si>
    <t>Warehousing, Distribution, Storage, Logistics, Inventory Management</t>
  </si>
  <si>
    <t>94-40 Merrick Blvd. LLC- DO NOT USE-USE 111153</t>
  </si>
  <si>
    <t>9402 150th St;Jamaica NY 11435-4525;USA</t>
  </si>
  <si>
    <t>TransForce Inc.</t>
  </si>
  <si>
    <t>PO Box 69250;Baltimore MD 21264-9250;USA</t>
  </si>
  <si>
    <t>Workforce Solutions &amp; Staffing</t>
  </si>
  <si>
    <t>Driver Staffing, Temporary Staffing, Logistics, Workforce Management</t>
  </si>
  <si>
    <t>OCF-S West 38, LLC</t>
  </si>
  <si>
    <t>Ivoyant, LLC</t>
  </si>
  <si>
    <t>211 Perimeter Center Parkway;Suite 275;Atlanta GA 30346;USA</t>
  </si>
  <si>
    <t>Digital Transformation &amp; Software Development</t>
  </si>
  <si>
    <t>Cloud Software, AI/ML, API Integration, Web &amp; Mobile App Development, UX Design, Low-Code Solutions</t>
  </si>
  <si>
    <t>Trace3 LLC</t>
  </si>
  <si>
    <t>PO Box 847467;Los Angeles CA 90084;USA</t>
  </si>
  <si>
    <t>IT Solutions &amp; Cloud Consulting</t>
  </si>
  <si>
    <t>Cloud Solutions, Data Center, Cybersecurity, AI/ML, Automation, Managed Services</t>
  </si>
  <si>
    <t>BCI IV Operating Partnership LP</t>
  </si>
  <si>
    <t>518 17th St;Ste 1700;Denver CO 80202-4130;USA</t>
  </si>
  <si>
    <t>CK Ridge Creek West lll, LLC</t>
  </si>
  <si>
    <t>301 S College St;Suite 2800;Charlotte NC 28202-6000;USA</t>
  </si>
  <si>
    <t>001355</t>
  </si>
  <si>
    <t>Stevens Group Management dba L&amp;M Ent. Ltd.</t>
  </si>
  <si>
    <t>20 MacDonald Ave;Dartmouth NS B3B 1C5;CAN</t>
  </si>
  <si>
    <t>Fastenal</t>
  </si>
  <si>
    <t>PO Box 1286;Winona MN 55987 7286;USA</t>
  </si>
  <si>
    <t>Industrial Distribution &amp; Supply</t>
  </si>
  <si>
    <t>Fasteners, Safety Products, Cutting Tools, Industrial Vending, Custom Manufacturing</t>
  </si>
  <si>
    <t>Merritt Properties, LLC-Elkridge</t>
  </si>
  <si>
    <t>2066 Lord Baltimore Dr;Windsor Mill MD 21244-2501;USA</t>
  </si>
  <si>
    <t>Industrial Real Estate, Office Space, Property Management</t>
  </si>
  <si>
    <t>Teleport Logistic Services Inc.</t>
  </si>
  <si>
    <t>503-7700 Hurontario Street Suite #10;Brampton ON L6Y 4M3;CAN</t>
  </si>
  <si>
    <t>Freight Forwarding &amp; Customs Brokerage</t>
  </si>
  <si>
    <t>International Freight, Customs Brokerage, Warehousing, Cross-Border Shipping, Supply Chain</t>
  </si>
  <si>
    <t>Clackamas Commons II LLC</t>
  </si>
  <si>
    <t>1101 SE Tech Center Dr;sTE 160;Vancouver WA 98683-5504;USA</t>
  </si>
  <si>
    <t>799A Kahelu Ave, LLC</t>
  </si>
  <si>
    <t>481 Carlisle Dr;Herndon VA 20170-4882;USA</t>
  </si>
  <si>
    <t>Carrot HR Inc. dba Assembly</t>
  </si>
  <si>
    <t>3422 Schooner Ave;#8;Marina del Rey CA 90292-5782;USA</t>
  </si>
  <si>
    <t>HVAC &amp; Building Systems</t>
  </si>
  <si>
    <t>Air Conditioning, Heating, Refrigeration, Building Automation, Fire &amp; Security</t>
  </si>
  <si>
    <t>Prologis USLV Subreit 4, LLC</t>
  </si>
  <si>
    <t>1800 Wazee St;Ste 500;Denver CO 80202-2526;USA</t>
  </si>
  <si>
    <t>TDC Charleston Partners I, LLC</t>
  </si>
  <si>
    <t>PO Box 22796;Charleston SC 29413;USA</t>
  </si>
  <si>
    <t>Guide Kenswick DRE, LLC</t>
  </si>
  <si>
    <t>1700 S MacDill Ave;Suite 220;Tampa FL 33629;USA</t>
  </si>
  <si>
    <t>Franco Transport, Inc.</t>
  </si>
  <si>
    <t>PO Box 2383;Chino Hills CA 91709 0080;USA</t>
  </si>
  <si>
    <t>Trucking, Freight Hauling, LTL &amp; FTL, Transportation</t>
  </si>
  <si>
    <t>Walker Ford Company Inc</t>
  </si>
  <si>
    <t>17556 US HIGHWAY 19 N;CLEARWATER FL 33764-3517;USA</t>
  </si>
  <si>
    <t>Auto Dealership</t>
  </si>
  <si>
    <t>Ford Vehicles, New &amp; Used Cars, Trucks, Service, Parts, Fleet Sales</t>
  </si>
  <si>
    <t>West Gate Industrial Park LLC</t>
  </si>
  <si>
    <t>PO Box 10066;Eugene OR 97440;USA</t>
  </si>
  <si>
    <t>Calverton Dist RTE 25 LLC</t>
  </si>
  <si>
    <t>687 Old Willets Path;Ste C;Hauppauge NY 11788-4118;USA</t>
  </si>
  <si>
    <t>EQT Exeter Industrial REIT VI, LLC</t>
  </si>
  <si>
    <t>Five Radnor Corporate Center,100 Matsonford Road, Suite 250;RADNOR PA 19087;USA</t>
  </si>
  <si>
    <t>Industrial Real Estate, Warehouse/Distribution Space</t>
  </si>
  <si>
    <t>COS Dabling Distr. LLC</t>
  </si>
  <si>
    <t>Tiburon Advisors, LLC</t>
  </si>
  <si>
    <t>3348 Paradise Dr;Belvedere Tiburon CA 94920 1213;USA</t>
  </si>
  <si>
    <t>Real Estate, Property Management, Investment</t>
  </si>
  <si>
    <t>Stonewood Properties FBO Cornell,</t>
  </si>
  <si>
    <t>2530 Red Hill Ave;Suite 225;Santa Ana CA 92705;USA</t>
  </si>
  <si>
    <t>Cooper Dysert</t>
  </si>
  <si>
    <t>1309 HAYSBORO AVE;NASHVILLE TN 37216-1409;USA</t>
  </si>
  <si>
    <t>General Contracting Services</t>
  </si>
  <si>
    <t>Property Maintenance, Handyman, Repairs</t>
  </si>
  <si>
    <t>MM&amp;A LLC</t>
  </si>
  <si>
    <t>3819 Lamb Dr;Marietta GA 30064-5920;USA</t>
  </si>
  <si>
    <t>Trident Realty LLC</t>
  </si>
  <si>
    <t>3708 Vintage Pointe Pl;Virginia Beach VA 23455-2999;USA</t>
  </si>
  <si>
    <t>Chattanooga Industrial Two, LLC</t>
  </si>
  <si>
    <t>2 Miranova Place;Suite 900;Columbus OH 43215;USA</t>
  </si>
  <si>
    <t>Kforce Professional Staffing</t>
  </si>
  <si>
    <t>PO BOX 277997;Atlanta GA 30384-7997;USA</t>
  </si>
  <si>
    <t>Professional Staffing &amp; Solutions</t>
  </si>
  <si>
    <t>IT Staffing, Finance &amp; Accounting Staffing, Direct Hire, Managed Services</t>
  </si>
  <si>
    <t>DELOITTE &amp; TOUCHE LLP</t>
  </si>
  <si>
    <t>4022 SELLS DRIVE;Hermitage TN 37076;USA</t>
  </si>
  <si>
    <t>Professional Services &amp; Consulting</t>
  </si>
  <si>
    <t>Audit, Tax, Advisory, Risk Management, Financial Consulting</t>
  </si>
  <si>
    <t>BREIT Industrial</t>
  </si>
  <si>
    <t>PO Box 200278;Dallas TX 75320-0278;USA</t>
  </si>
  <si>
    <t>Industrial Real Estate, Warehouse/Distribution</t>
  </si>
  <si>
    <t>Rush Truck Centers of Florida, Inc</t>
  </si>
  <si>
    <t>PO Box 2208;Decatur AL 35609-2208;USA</t>
  </si>
  <si>
    <t>Commercial Truck Sales &amp; Service</t>
  </si>
  <si>
    <t>Truck Sales, Parts, Service, Leasing, Body Shop</t>
  </si>
  <si>
    <t>First Industrial LP-CO</t>
  </si>
  <si>
    <t>8200 Park Meadows Dr;Ste 8226;Lone Tree CO 80124-2746;USA</t>
  </si>
  <si>
    <t>Exeter Operating Partnership V, LP</t>
  </si>
  <si>
    <t>5 RADNOR CORPORATE CTR;100 Matsonford Road, Suite 250;RADNOR PA 19087-4542;USA</t>
  </si>
  <si>
    <t>Industrial Real Estate, Warehouse/Distribution Facilities</t>
  </si>
  <si>
    <t>Cintas Corporation</t>
  </si>
  <si>
    <t>PO Box 631025;Cincinnati OH 45263 1025;USA</t>
  </si>
  <si>
    <t>Parking Services, Real Estate</t>
  </si>
  <si>
    <t>KRE AIP VI LLC- Do not use</t>
  </si>
  <si>
    <t>30 Hudson Yards, Suite 7500;New York NY 10001;USA</t>
  </si>
  <si>
    <t>Cranbrook Realty Investment Fund</t>
  </si>
  <si>
    <t>4701 Sisk Rd;Ste 101;Modesto CA 95356-9320;USA</t>
  </si>
  <si>
    <t>Horizon Pacific Management Inc.</t>
  </si>
  <si>
    <t>29219 MARSH MCCORMICK RD;ABBOTSFORD BC V4X 2B4;CAN</t>
  </si>
  <si>
    <t>Inland Plywood</t>
  </si>
  <si>
    <t>PO Box 781618;Philadelphia PA 19178-1618;USA</t>
  </si>
  <si>
    <t>Building Material Distribution</t>
  </si>
  <si>
    <t>Plywood, Lumber, Specialty Wood Products, Building Supplies</t>
  </si>
  <si>
    <t>Commerce Drive 6, LLC</t>
  </si>
  <si>
    <t>5969 Cattleridge Blvd;Ste 200;Sarasota FL 34232-6050;USA</t>
  </si>
  <si>
    <t>GPG Clearwater, LLC</t>
  </si>
  <si>
    <t>400 Madison Ave;Ste. 9D;New York NY 10017-1909;USA</t>
  </si>
  <si>
    <t>Lennon Fleet Service Dr LLC</t>
  </si>
  <si>
    <t>2115 Woodland Ave;Raleigh NC 27608-2254;USA</t>
  </si>
  <si>
    <t>Rainbow Properties c/o Jones LaSalle Real Estate Services, Inc</t>
  </si>
  <si>
    <t>5650 Yonge Street;North York ON M2M 4G3;CAN</t>
  </si>
  <si>
    <t>Lowen Corporation</t>
  </si>
  <si>
    <t>1111 AIRPORT RD;HUTCHINSON KS 67501-1983;USA</t>
  </si>
  <si>
    <t>Sign &amp; Graphics Manufacturing</t>
  </si>
  <si>
    <t>Custom Signs, Vehicle Wraps, Banners, Trade Show Graphics, Wide-Format Printing</t>
  </si>
  <si>
    <t>SAF Hart Distributors, LLC</t>
  </si>
  <si>
    <t>Stag Industrial Holdings LLC</t>
  </si>
  <si>
    <t>1 Federal Street;Floor 23;Boston MA 02110;USA</t>
  </si>
  <si>
    <t>Industrial Property Acquisition, Warehouse Leasing, Single-Tenant Properties, Net Lease REIT</t>
  </si>
  <si>
    <t>Argano, LLC</t>
  </si>
  <si>
    <t>6100 W PLANO PKWY;STE 1800;PLANO TX 75093-8203;USA</t>
  </si>
  <si>
    <t>Digital Transformation Consulting</t>
  </si>
  <si>
    <t>Enterprise Technology, Cloud Migration, AI &amp; Data Analytics, ERP Implementation</t>
  </si>
  <si>
    <t>Exeter Industrial Core IV</t>
  </si>
  <si>
    <t>100 Matsonford Road;Suite 250;Radnor PA 19087;USA</t>
  </si>
  <si>
    <t>AUG Commerce Distributors, LLC</t>
  </si>
  <si>
    <t>Real Estate, Distribution Facilities</t>
  </si>
  <si>
    <t>HS Chicago Portfolio Investors LLC</t>
  </si>
  <si>
    <t>600 Unicorn Park Drive;Suite 208;Woburn MA 01801;USA</t>
  </si>
  <si>
    <t>Real Estate Investment, Property Management, Office/Industrial Space</t>
  </si>
  <si>
    <t>ONX1-400 LLC - DO NOT USE</t>
  </si>
  <si>
    <t>1000 North Highway US 1;#902;Jupiter FL 33477;USA</t>
  </si>
  <si>
    <t>Samsara Networks Inc.</t>
  </si>
  <si>
    <t>1990 Alameda St;fl 5;San Francisco CA 94103-5229;USA</t>
  </si>
  <si>
    <t>IoT Fleet Management &amp; Connected Operations Platform</t>
  </si>
  <si>
    <t>AI Dash Cams, GPS Fleet Tracking, ELD Compliance, Telematics, Route Optimization, Equipment Monitoring</t>
  </si>
  <si>
    <t>Flexential</t>
  </si>
  <si>
    <t>PO Box 732368;Dallas TX 75373-2368;USA</t>
  </si>
  <si>
    <t>Data Center Colocation &amp; Cloud Services</t>
  </si>
  <si>
    <t>Colocation, Cloud Connectivity, Disaster Recovery, Managed Services, Network Hub</t>
  </si>
  <si>
    <t>Minkles Broadpointe II LLC</t>
  </si>
  <si>
    <t>7 Cherrywood Road;Locust Valley NY 11560;USA</t>
  </si>
  <si>
    <t>Plymouth Industrial OP, LP</t>
  </si>
  <si>
    <t>20 CUSTOM HOUSE ST;STE 11;STE 11;BOSTON MA 02110-3534;USA</t>
  </si>
  <si>
    <t>Industrial Real Estate, Warehouse Distribution, Property Management, REIT Operations</t>
  </si>
  <si>
    <t>Cabot Industrial Value Fund VI</t>
  </si>
  <si>
    <t>PO. Box 64520;Cincinnati OH 45264;USA</t>
  </si>
  <si>
    <t>Industrial Real Estate, Property Investment</t>
  </si>
  <si>
    <t>Setzer Properties BCWLXK, LLC</t>
  </si>
  <si>
    <t>354 Waller Avenue;Suite 200;Lexington KY 40504;USA</t>
  </si>
  <si>
    <t>Real Estate, Property Management, Office Space</t>
  </si>
  <si>
    <t>South Air Depot Industrial LLC</t>
  </si>
  <si>
    <t>17328 VENTURA BLVD;ENCINO CA 91316-3904;USA</t>
  </si>
  <si>
    <t>Goodyear Tire &amp; Rubber Co</t>
  </si>
  <si>
    <t>200 E Innovation Way;Ste 209;Akron OH 44316-0001;USA</t>
  </si>
  <si>
    <t>Tire Manufacturing &amp; Distribution</t>
  </si>
  <si>
    <t>Tires, Rubber Products, Auto Service, Fleet Solutions, Tire Maintenance</t>
  </si>
  <si>
    <t>ZionsCo, LLC</t>
  </si>
  <si>
    <t>3972 Ivy Road;Charlottesville VA 22903;USA</t>
  </si>
  <si>
    <t>Synoptek</t>
  </si>
  <si>
    <t>412 East Parkcenter Boulevard;Suite 300;Boise ID 83706;USA</t>
  </si>
  <si>
    <t>IT Managed Services Provider</t>
  </si>
  <si>
    <t>Cloud Management, Cybersecurity, IT Infrastructure, Help Desk, Network Support, Disaster Recovery</t>
  </si>
  <si>
    <t>Ohana Housing &amp; Development, Inc.</t>
  </si>
  <si>
    <t>2601 Daffodil Way;Union City CA 94587;USA</t>
  </si>
  <si>
    <t>Real Estate Development, Property Management</t>
  </si>
  <si>
    <t>HTO E Hampton Distr LLC</t>
  </si>
  <si>
    <t>Real Estate, Distribution Facility Management, Industrial Space</t>
  </si>
  <si>
    <t>Dickinson Fleet Services</t>
  </si>
  <si>
    <t>7717 Solution Center;Chicago IL 60693;USA</t>
  </si>
  <si>
    <t>Facility Services &amp; Maintenance</t>
  </si>
  <si>
    <t>Mobile Fleet Maintenance</t>
  </si>
  <si>
    <t>On-Site Truck Repair, Preventive Maintenance, 24/7 Emergency Service, Fleet Management</t>
  </si>
  <si>
    <t>I-10/Gulf Coast Logistics Ctr II</t>
  </si>
  <si>
    <t>118 N ROYAL ST;STE 708;MOBILE AL 36602-3600;USA</t>
  </si>
  <si>
    <t>Real Estate, Industrial/Distribution Space, Warehouse Leasing</t>
  </si>
  <si>
    <t>Merritt Properties, LLC-White Marsh</t>
  </si>
  <si>
    <t>2066 Lord Baltimore Dr;Windsor Mill MD 21244 2501;USA</t>
  </si>
  <si>
    <t>Richcraft Properties</t>
  </si>
  <si>
    <t>201-2280 ST. LAURENT BLVD;OTTAWA ON K1G 4K1;CAN</t>
  </si>
  <si>
    <t>Residential &amp; Commercial Development, Property Management, Construction</t>
  </si>
  <si>
    <t>KWT Global</t>
  </si>
  <si>
    <t>One World Trade Center;Floor 69;New York NY 10007;USA</t>
  </si>
  <si>
    <t>Integrated Communications &amp; PR Agency</t>
  </si>
  <si>
    <t>Consumer PR, Corporate Communications, Crisis Management, Influencer Marketing, Social Media</t>
  </si>
  <si>
    <t>Valpak Franchise Operations, LLC</t>
  </si>
  <si>
    <t>1 VALPAK AVE N;SAINT PETERSBURG FL 33716-4102;USA</t>
  </si>
  <si>
    <t>Direct Mail Marketing &amp; Advertising</t>
  </si>
  <si>
    <t>Direct Mail Coupons, Local Advertising, Digital Marketing, Print Advertising, Targeted Mailers</t>
  </si>
  <si>
    <t>Beemac Trucking LLC - DO NOT USE</t>
  </si>
  <si>
    <t>PO Box 74809;Cleveland OH 44194-0892;USA</t>
  </si>
  <si>
    <t>Trucking, Logistics, Delivery Services</t>
  </si>
  <si>
    <t>Nuveen Global Cities Reit Inc.</t>
  </si>
  <si>
    <t>730 Third Avenue;New York NY 10017;USA</t>
  </si>
  <si>
    <t>Commercial Real Estate, Global Property Investment, Asset Management</t>
  </si>
  <si>
    <t>International Motors, LLC dba Fleet Charge dba Navistar</t>
  </si>
  <si>
    <t>2701 INTERNATIONAL DR;LISLE IL 60532-3637;USA</t>
  </si>
  <si>
    <t>Commercial Truck &amp; Parts</t>
  </si>
  <si>
    <t>Commercial Trucks, Fleet Parts, Diesel Engines, Truck Service, Fleet Management Solutions</t>
  </si>
  <si>
    <t>BCP Tremont, LLC</t>
  </si>
  <si>
    <t>6588 GLENWOOD AVE;# 383;RALEIGH NC 27612-7156;USA</t>
  </si>
  <si>
    <t>BDPF Eastgate 375-385 Spectrum LP</t>
  </si>
  <si>
    <t>3020 Carrington Mill Blvd;Suite 425;Morrisville NC 27560;USA</t>
  </si>
  <si>
    <t>Industrial Real Estate, Business Park</t>
  </si>
  <si>
    <t>PNS Briese Distr., LLC</t>
  </si>
  <si>
    <t>Distribution Facilities, Industrial Real Estate</t>
  </si>
  <si>
    <t>Kaizen Analytix LLC</t>
  </si>
  <si>
    <t>2 Ravinia Drive;Suite 900;Atlanta GA 30346;USA</t>
  </si>
  <si>
    <t>Data Analytics &amp; AI Consulting</t>
  </si>
  <si>
    <t>Price Optimization, Predictive Analytics, Cloud Engineering, Data Engineering, Business Intelligence</t>
  </si>
  <si>
    <t>Shop Grove Holdings, LLC</t>
  </si>
  <si>
    <t>1514 Brentwood Drive, Ste 201;Columbia SC 29206;USA</t>
  </si>
  <si>
    <t>Real Estate, Property Management, Retail Space</t>
  </si>
  <si>
    <t>BREIT Industrial Holdings</t>
  </si>
  <si>
    <t>233 S Wacker Dr;Suite 4700;Chicago IL 60606-7147;USA</t>
  </si>
  <si>
    <t>Industrial Real Estate, Warehouse Holdings</t>
  </si>
  <si>
    <t>SSI Inc. (USA)</t>
  </si>
  <si>
    <t>d/b/a Spencer Stuart;PO Box 98991;Chicago IL 60693;USA</t>
  </si>
  <si>
    <t>Executive Search &amp; Recruitment (Spencer Stuart)</t>
  </si>
  <si>
    <t>Executive Recruiting, Board Consulting, Leadership Advisory, CEO Succession Planning</t>
  </si>
  <si>
    <t>MHT Winston Distr LLC</t>
  </si>
  <si>
    <t>3 Rivers Logistics, Inc</t>
  </si>
  <si>
    <t>60 DOUGHBOY RD;GILLETT AR 72055-9770;USA</t>
  </si>
  <si>
    <t>Trucking, Transportation, Delivery Services</t>
  </si>
  <si>
    <t>PDCUSIF South Meadows Land LLC</t>
  </si>
  <si>
    <t>3000 Turtle Creek Blvd;Apt H3e;Dallas TX 75219-6268;USA</t>
  </si>
  <si>
    <t>CapTech Ventures, Inc.</t>
  </si>
  <si>
    <t>7100 Forest Ave;Ste 100;Richmond VA 23226-3742;USA</t>
  </si>
  <si>
    <t>Commercial Refrigeration Services</t>
  </si>
  <si>
    <t>Refrigeration Repair, HVAC, Installation, Maintenance</t>
  </si>
  <si>
    <t>MLM Trucking</t>
  </si>
  <si>
    <t>3507 Grand Ave;Pittsburgh PA 15225;USA</t>
  </si>
  <si>
    <t>Truckload Shipping, LTL, Logistics, Transportation</t>
  </si>
  <si>
    <t>NJ Exit 5 Industrial Berry OwnerLLC</t>
  </si>
  <si>
    <t>2300 N FIELD ST;STE 1200;DALLAS TX 75201-2476;USA</t>
  </si>
  <si>
    <t>UFP Thornton, LLC</t>
  </si>
  <si>
    <t>105 Progress Rd;Auburndale FL 33823-2728;USA</t>
  </si>
  <si>
    <t>Building Products Manufacturing</t>
  </si>
  <si>
    <t>Lumber, Composite Decking, Engineered Wood, Packaging, Industrial Products</t>
  </si>
  <si>
    <t>Giuffre Property Management, Inc.</t>
  </si>
  <si>
    <t>445 W Oklahoma Ave;Milwaukee WI 53207-2665;USA</t>
  </si>
  <si>
    <t>Property Management</t>
  </si>
  <si>
    <t>Residential &amp; Commercial Management, Maintenance, Tenant Services</t>
  </si>
  <si>
    <t>SeaWorld Parks &amp; Entertainment</t>
  </si>
  <si>
    <t>PO Box 692319;Orlando FL 32869;USA</t>
  </si>
  <si>
    <t>Entertainment &amp; Hospitality</t>
  </si>
  <si>
    <t>Theme Park Entertainment</t>
  </si>
  <si>
    <t>Theme Parks, Animal Exhibits, Entertainment Shows, Hospitality, Aquariums</t>
  </si>
  <si>
    <t>J&amp;B Holdings LLC</t>
  </si>
  <si>
    <t>1605 Mound Ave;Jacksonville IL 62650;USA</t>
  </si>
  <si>
    <t>Infios US, Inc.</t>
  </si>
  <si>
    <t>Minnesota Center, ;7760 France Avenue.S., Ste. 800;BLOOMINGTON MN 55435;USA</t>
  </si>
  <si>
    <t>Supply Chain &amp; Warehouse Management Software</t>
  </si>
  <si>
    <t>Warehouse Management System, Voice Picking, Slotting Optimization, Multi-Carrier Shipping, Supply Chain Analytics</t>
  </si>
  <si>
    <t>Poplar Logistics Center LLC</t>
  </si>
  <si>
    <t>PO Box 22249;Louisville KY 40252-0249;USA</t>
  </si>
  <si>
    <t>Real Estate, Warehouse/Distribution Space</t>
  </si>
  <si>
    <t>Midwest Diversified LLC</t>
  </si>
  <si>
    <t>417 1st Ave SE;Cedar Rapids IA 52401;USA</t>
  </si>
  <si>
    <t>NSA OP, LP</t>
  </si>
  <si>
    <t>8400 E PRENTICE AVE;FL 9;GREENWOOD VILLAGE CO 80111-2912;USA</t>
  </si>
  <si>
    <t>Self-Storage Facility</t>
  </si>
  <si>
    <t>Personal Storage, Business Storage, Climate-Controlled Units</t>
  </si>
  <si>
    <t>Sussex Land LLC</t>
  </si>
  <si>
    <t>655 Bridgeport Ave;Milford CT 06460-4254;USA</t>
  </si>
  <si>
    <t>Trinity Commercial Prop</t>
  </si>
  <si>
    <t>2214 McCampbell Wells Way;Knoxville TN 37924;USA</t>
  </si>
  <si>
    <t>Mullins Properties, LLC</t>
  </si>
  <si>
    <t>3021 Vernon Rd;Richmond VA 23228-3737;USA</t>
  </si>
  <si>
    <t>Principal U.S. Property Portfolio</t>
  </si>
  <si>
    <t>711 HIGH ST;DES MOINES IA 50392-0001;USA</t>
  </si>
  <si>
    <t>001181</t>
  </si>
  <si>
    <t>Vehicle Maintenance, Auto Repair, Calibration</t>
  </si>
  <si>
    <t>Insight Direct USA, Inc.</t>
  </si>
  <si>
    <t>Po Box 731069;Dallas TX 75373;USA</t>
  </si>
  <si>
    <t>IT Solutions Integrator</t>
  </si>
  <si>
    <t>Cloud Services, Data &amp; AI, Cybersecurity, Modern Infrastructure, Hardware Procurement, Software Licensing</t>
  </si>
  <si>
    <t>INDUS Realty</t>
  </si>
  <si>
    <t>c/o INDUS Realty Trust, Inc;204 W Newberry Rd;Bloomfield CT 06002;USA</t>
  </si>
  <si>
    <t>Industrial Real Estate, Warehouse Space, Property Development, Logistics Facilities</t>
  </si>
  <si>
    <t>Quality Logistics LLC</t>
  </si>
  <si>
    <t>1051 NEWTOWN PIKE;STE 160;LEXINGTON KY 40511-1235;USA</t>
  </si>
  <si>
    <t>Freight &amp; Logistics Services</t>
  </si>
  <si>
    <t>Trucking, Freight Brokerage, Supply Chain, Warehousing</t>
  </si>
  <si>
    <t>Xn Financial Service Inc-can</t>
  </si>
  <si>
    <t>Sam Logistics, LLC</t>
  </si>
  <si>
    <t>1129 BALDWIN ST;CHATTANOOGA TN 37403-3113;USA</t>
  </si>
  <si>
    <t>Trucking, Freight, LTL Shipping, Logistics</t>
  </si>
  <si>
    <t>Gordon Food Services Inc.</t>
  </si>
  <si>
    <t>1300 Gezon Parkway SW;Grand Rapids MI 49509;USA</t>
  </si>
  <si>
    <t>Food Distribution &amp; Services</t>
  </si>
  <si>
    <t>Foodservice Distribution, Restaurant Supply, Catering, Wholesale Food</t>
  </si>
  <si>
    <t>North Kingstown Warehouse LLC</t>
  </si>
  <si>
    <t>Warehouse Space, Distribution Facilities, Property Management</t>
  </si>
  <si>
    <t>Premier/SOM Airport Park, LLC</t>
  </si>
  <si>
    <t>PO Box 850300;Minneapolis MN 55485;USA</t>
  </si>
  <si>
    <t>Harrisburg PA Warehouse LLC</t>
  </si>
  <si>
    <t>16 Squadron Blvd;Ste 106;New City NY 10956-5259;USA</t>
  </si>
  <si>
    <t>Real Estate, Warehouse/Distribution Space, Property Management</t>
  </si>
  <si>
    <t>CDW LLC</t>
  </si>
  <si>
    <t>ATTN: STEPHANIE;PO BOX 75723;CHICAGO IL 60675-0001;USA</t>
  </si>
  <si>
    <t>IT Solutions &amp; Technology Provider</t>
  </si>
  <si>
    <t>Hardware, Software, Cloud Services, IT Infrastructure, Networking, Cybersecurity</t>
  </si>
  <si>
    <t>370 Allied Drive, LLC</t>
  </si>
  <si>
    <t>695 Meeting Street;Charleston SC 29403;USA</t>
  </si>
  <si>
    <t>TMW Systems</t>
  </si>
  <si>
    <t>PO Box 203455;Dallas TX 75320;USA</t>
  </si>
  <si>
    <t>Transportation Management Software</t>
  </si>
  <si>
    <t>Fleet Management Software, Dispatch, Routing, Logistics, ERP for Trucking</t>
  </si>
  <si>
    <t>Cintas Corporation No. 2 Chicago IL</t>
  </si>
  <si>
    <t>97627 EAGLE WAY;CHICAGO IL 60678-0976;USA</t>
  </si>
  <si>
    <t>Landscaping &amp; Grounds Maintenance</t>
  </si>
  <si>
    <t>Landscaping Services</t>
  </si>
  <si>
    <t>Commercial Landscaping, Lawn Care, Grounds Maintenance</t>
  </si>
  <si>
    <t>WPT Reeves Place, LP-DO NOT USE. USE 152248</t>
  </si>
  <si>
    <t>PO Box 200336;Dallas TX 75320;USA</t>
  </si>
  <si>
    <t>CBRE, Inc.</t>
  </si>
  <si>
    <t>P O BOX 15531,;Location Code 2247;CHICAGO IL 60696-0001;USA</t>
  </si>
  <si>
    <t>Property Sales &amp; Leasing, Facilities Management, Investment Management, Valuation</t>
  </si>
  <si>
    <t>Waste Dynamics, LLC</t>
  </si>
  <si>
    <t>830 CANTERBURY RD;WESTLAKE OH 44145-1403;USA</t>
  </si>
  <si>
    <t>Environmental Services</t>
  </si>
  <si>
    <t>Waste Management Services</t>
  </si>
  <si>
    <t>Waste Collection, Roll-Off Dumpsters, Recycling, Junk Removal, Waste Hauling</t>
  </si>
  <si>
    <t>Snowflake, Inc.</t>
  </si>
  <si>
    <t>450 Concar Dr;San Mateo CA 94402-2681;USA</t>
  </si>
  <si>
    <t>Cloud Data Platform &amp; Analytics</t>
  </si>
  <si>
    <t>Data Warehousing, Data Lake, Data Sharing, AI/ML, Data Engineering, Data Applications, Snowpark</t>
  </si>
  <si>
    <t>Plymouth STL Commerce Center MO LLC</t>
  </si>
  <si>
    <t>20 Custom House Street;11th Floor;Boston MA 02110;USA</t>
  </si>
  <si>
    <t>Vaccinated LP</t>
  </si>
  <si>
    <t>7519 N Ingram Avenue;Suite 104;Fresno CA 93711;USA</t>
  </si>
  <si>
    <t>ES REIT I, LLC</t>
  </si>
  <si>
    <t>101 W Elm St;Conshohocken PA 19428-2075;USA</t>
  </si>
  <si>
    <t>McNeary, Inc.</t>
  </si>
  <si>
    <t>33 Cady Hill Boulevard;Saratoga Springs NY 12866;USA</t>
  </si>
  <si>
    <t>Trinity Commerical Property GP</t>
  </si>
  <si>
    <t>2214 McCampbell Wells Way;Knoxville TN 37924-3126;USA</t>
  </si>
  <si>
    <t>Fedex Freight</t>
  </si>
  <si>
    <t>Dept CH PO Box 10306;Palatine IL 60055;USA</t>
  </si>
  <si>
    <t>Freight &amp; Shipping Services</t>
  </si>
  <si>
    <t>LTL Freight, Truckload Shipping, Supply Chain, Freight Management</t>
  </si>
  <si>
    <t>Taylor Drive Associates, LLC</t>
  </si>
  <si>
    <t>2721 Transit Rd;Suite 114;Elma NY 14059-9037;USA</t>
  </si>
  <si>
    <t>Fuego UX LLC</t>
  </si>
  <si>
    <t>1919 14th Street Suite 700;Boulder CO 80302;USA</t>
  </si>
  <si>
    <t>UX Design &amp; Research Agency</t>
  </si>
  <si>
    <t>User Experience Design, Digital Strategy, UI/UX Research, Product Design</t>
  </si>
  <si>
    <t>Carney Family Trust 2019</t>
  </si>
  <si>
    <t>c/o Condyne Property Mgmt.;100 Grandview Road;Suite 312;Braintree MA 02184;USA</t>
  </si>
  <si>
    <t>Management and Technical Assistance</t>
  </si>
  <si>
    <t>Scicom Infrastructure Servs</t>
  </si>
  <si>
    <t>950 East Paces Ferry Road;#1550;Atlanta GA 30326;USA</t>
  </si>
  <si>
    <t>IT Infrastructure &amp; Managed Services</t>
  </si>
  <si>
    <t>Network Management, Cloud Services, Data Center, IT Support</t>
  </si>
  <si>
    <t>Ring Power Corp.</t>
  </si>
  <si>
    <t>PO Box 935004;Atlanta GA 31193-5004;USA</t>
  </si>
  <si>
    <t>Heavy Equipment Sales &amp; Service</t>
  </si>
  <si>
    <t>CAT Equipment Sales, Heavy Equipment Rental, Parts, Service, Power Generation</t>
  </si>
  <si>
    <t>TBD Bo Caldwell ID, LLP</t>
  </si>
  <si>
    <t>12709 E Mirabeau Pkwy;Suiute 10;Spokane WA 99216-1665;USA</t>
  </si>
  <si>
    <t>Palm Bay One Properties LLC</t>
  </si>
  <si>
    <t>696 NE 125th St;Miami FL 33161-5546;USA</t>
  </si>
  <si>
    <t>BBIC Investors SPE, LLC</t>
  </si>
  <si>
    <t>155 Montgomery St;Ste 1600;San Francisco CA 94104-4121;USA</t>
  </si>
  <si>
    <t>100 Readington Road LLC</t>
  </si>
  <si>
    <t>374 Millburn Ave;Fl 4;Millburn NJ 07041-1352;USA</t>
  </si>
  <si>
    <t>Real Estate, Office Space</t>
  </si>
  <si>
    <t>Continental Tire the Americas, LLC</t>
  </si>
  <si>
    <t>PO Box 745388;Atlanta GA 30374-5388;USA</t>
  </si>
  <si>
    <t>Commercial Tires, Passenger Tires, Fleet Solutions</t>
  </si>
  <si>
    <t>Penny L Clouser dba Country Auto</t>
  </si>
  <si>
    <t>153 Whiting St;Plainville CT 06062-2825;USA</t>
  </si>
  <si>
    <t>Auto Repair &amp; Sales</t>
  </si>
  <si>
    <t>Auto Repair, Vehicle Sales, Maintenance Services</t>
  </si>
  <si>
    <t>Nexcom</t>
  </si>
  <si>
    <t>ATTN: CONTROLLER CODE FC;3280 VIRGINIA BEACH BLVD;Virginia Beach VA 32452-5724;USA</t>
  </si>
  <si>
    <t>Military Retail Services (Navy Exchange)</t>
  </si>
  <si>
    <t>Tax-Free Shopping, E-Commerce, Military Family Support, Navy Lodge</t>
  </si>
  <si>
    <t>Cape Fare Holding LLC</t>
  </si>
  <si>
    <t>61 Waterbury Street;Brooklyn NY 11206;USA</t>
  </si>
  <si>
    <t>000595</t>
  </si>
  <si>
    <t>Exxpand Export Management Corp</t>
  </si>
  <si>
    <t>Export Management Services</t>
  </si>
  <si>
    <t>International Trade, Export Compliance, Freight Forwarding</t>
  </si>
  <si>
    <t>Motive Technologies, Inc.</t>
  </si>
  <si>
    <t>3500 S DUPONT HWY;DOVER DE 19901-6041;USA</t>
  </si>
  <si>
    <t>Fleet Management Software (ELD/GPS)</t>
  </si>
  <si>
    <t>Electronic Logging, GPS Tracking, Fleet Safety, Compliance, Dispatch</t>
  </si>
  <si>
    <t>Atlantic Solution Group</t>
  </si>
  <si>
    <t>Po. Box 31001;2434;Pasadena CA 91107;USA</t>
  </si>
  <si>
    <t>Business Solutions Provider</t>
  </si>
  <si>
    <t>Consulting, IT Services</t>
  </si>
  <si>
    <t>D &amp; PR</t>
  </si>
  <si>
    <t>Phelps Dunbar LLP</t>
  </si>
  <si>
    <t>PO Box 679678;Dallas TX 75267;USA</t>
  </si>
  <si>
    <t>Labor &amp; Employment, Litigation, Admiralty, Insurance, Business Law, Health Care, Real Estate, Environmental</t>
  </si>
  <si>
    <t>First Onsite Property Restoration</t>
  </si>
  <si>
    <t>P.O.Box 734756;Chicago IL 60673;USA</t>
  </si>
  <si>
    <t>Property Restoration Services</t>
  </si>
  <si>
    <t>Water Damage Restoration, Fire Restoration, Mold Remediation, Storm Damage, Reconstruction</t>
  </si>
  <si>
    <t>The Pasha Group</t>
  </si>
  <si>
    <t>4040 Civic Center Dr;Suite 350;San Rafael CA 94903-4150;USA</t>
  </si>
  <si>
    <t>Transportation &amp; Logistics</t>
  </si>
  <si>
    <t>Auto Shipping, Ocean Transport, Warehousing, Port Operations, Supply Chain, Drayage</t>
  </si>
  <si>
    <t>K &amp; M Transport, LLC</t>
  </si>
  <si>
    <t>526 Railroad Blvd;Buena NJ 08310 1512;USA</t>
  </si>
  <si>
    <t>Truckload Shipping, LTL Freight, Logistics</t>
  </si>
  <si>
    <t>Compuquip Security</t>
  </si>
  <si>
    <t>PO Box 30561;Tampa FL 33630-3561;USA</t>
  </si>
  <si>
    <t>Security &amp; Fire Protection</t>
  </si>
  <si>
    <t>Cybersecurity Services</t>
  </si>
  <si>
    <t>Managed Security, Network Protection, Vulnerability Assessment, Compliance</t>
  </si>
  <si>
    <t>ADT Commerical LLC</t>
  </si>
  <si>
    <t>PO Box 872987;Kansas City MO 64106;USA</t>
  </si>
  <si>
    <t>Commercial Security Systems</t>
  </si>
  <si>
    <t>24/7 Monitoring, Video Surveillance, Access Control, Intrusion Detection</t>
  </si>
  <si>
    <t>New Heights Industrial Park, LLC</t>
  </si>
  <si>
    <t>911 E County Line Rd;#206;Lakewood NJ 08701;USA</t>
  </si>
  <si>
    <t>Industrial Real Estate, Warehouse Space, Property Management</t>
  </si>
  <si>
    <t>VPF Properties LLC</t>
  </si>
  <si>
    <t>2500 Belmont Blvd;Nashville TN 37212-5506;USA</t>
  </si>
  <si>
    <t>Mustard Street Complex LLC</t>
  </si>
  <si>
    <t>1136 State Route 31;Macedon NY 14502-9100;USA</t>
  </si>
  <si>
    <t>Leetsdale II</t>
  </si>
  <si>
    <t>Lockbox #4467;PO Box 8500;Philadelphia PA 19178;USA</t>
  </si>
  <si>
    <t>Donald C.Boatman</t>
  </si>
  <si>
    <t>7348 Timber Point Court;Fairview Heights IL 62208;USA</t>
  </si>
  <si>
    <t>Alpaca Investments</t>
  </si>
  <si>
    <t>11420 A Commercial Pkwy;Castroville CA 95012;USA</t>
  </si>
  <si>
    <t>Real Estate, Property Investment</t>
  </si>
  <si>
    <t>Randstad North America, Inc.</t>
  </si>
  <si>
    <t>PO Box 742689;Atlanta GA 30374-2689;USA</t>
  </si>
  <si>
    <t>Staffing &amp; Recruitment Agency</t>
  </si>
  <si>
    <t>Temporary Staffing, Permanent Placement, IT Staffing, Engineering Staffing, HR Solutions, Digital Services</t>
  </si>
  <si>
    <t>Intermodal Container Solutions</t>
  </si>
  <si>
    <t>Container Leasing, Custom Containers, Military Containers, ISO Containers, Portable Storage</t>
  </si>
  <si>
    <t>C H Robinson Worldwide Inc</t>
  </si>
  <si>
    <t>PO Box 9121;Minneapolis MN 55480-9121;USA</t>
  </si>
  <si>
    <t>Third-Party Logistics &amp; Freight Brokerage</t>
  </si>
  <si>
    <t>Truckload, LTL, Ocean, Air, Supply Chain Management, AI-Powered Logistics</t>
  </si>
  <si>
    <t>Heller Industrial Parks</t>
  </si>
  <si>
    <t>205 Mill Rd;Edison NJ 08837 3801;USA</t>
  </si>
  <si>
    <t>Industrial Real Estate, Business Park Space, Property Management</t>
  </si>
  <si>
    <t>Clara Ridgely Properties LLC</t>
  </si>
  <si>
    <t>200 Weston Dr;Dover DE 19904-2786;USA</t>
  </si>
  <si>
    <t>H3Four General Contractors</t>
  </si>
  <si>
    <t>4479 Edgewater Drive;Orlando FL 32804;USA</t>
  </si>
  <si>
    <t>Commercial Construction, Renovation, Tenant Build-Out, Project Management</t>
  </si>
  <si>
    <t>MEGHA HOLDINGS INC.</t>
  </si>
  <si>
    <t>1558 BLOHM DRIVE;Ottawa ON K1G 4R7;CAN</t>
  </si>
  <si>
    <t>Sitecore USA, Inc.</t>
  </si>
  <si>
    <t>PO Box 894489;Los Angeles CA 90189;USA</t>
  </si>
  <si>
    <t>Digital Experience Platform (DXP/CMS)</t>
  </si>
  <si>
    <t>Content Management, Personalization, Digital Marketing, Commerce, AI-Powered CMS</t>
  </si>
  <si>
    <t>Kemper Warehousing &amp; Distribution</t>
  </si>
  <si>
    <t>11129 Kenwood Rd;Cincinnati OH 45242-1817;USA</t>
  </si>
  <si>
    <t>Warehousing &amp; Distribution</t>
  </si>
  <si>
    <t>Third-Party Logistics (3PL), Fulfillment, Inventory Management, Cross-Docking</t>
  </si>
  <si>
    <t>Datavail Corporation</t>
  </si>
  <si>
    <t>11800 Ridge Pkwy;Suite 125;Broomfield CO 80021-6525;USA</t>
  </si>
  <si>
    <t>Database &amp; IT Managed Services</t>
  </si>
  <si>
    <t>Database Administration, Cloud Migration, Application Management, Analytics &amp; BI</t>
  </si>
  <si>
    <t>Generations Enterprises, Inc.</t>
  </si>
  <si>
    <t>24 University Ave NE;Suite 200;Minneapolis MN 55413-2685;USA</t>
  </si>
  <si>
    <t>Francine Hanin Family Trust</t>
  </si>
  <si>
    <t>PO Box 540509;Orlando FL 32854;USA</t>
  </si>
  <si>
    <t>Service Now, Inc</t>
  </si>
  <si>
    <t>2225 Lawson Lane;Santa Clara CA 95054;USA</t>
  </si>
  <si>
    <t>Cloud IT Service Management (ITSM)</t>
  </si>
  <si>
    <t>IT Workflows, ITOM, ITAM, Customer Service Management, HR Service Delivery, Security Operations, AI/ML</t>
  </si>
  <si>
    <t>Solnsoft LLC</t>
  </si>
  <si>
    <t>2 VENTURE;STE 450;STE 450;IRVINE CA 92618-7402;USA</t>
  </si>
  <si>
    <t>IT Consulting &amp; Software Solutions</t>
  </si>
  <si>
    <t>Custom Software Development, Cloud Solutions, IT Consulting, Application Development</t>
  </si>
  <si>
    <t>Advantage Technical Resourcing Inc</t>
  </si>
  <si>
    <t>191 Rosa Parks Street;10th Floor;Cincinnati OH 45202;USA</t>
  </si>
  <si>
    <t>Technical Staffing</t>
  </si>
  <si>
    <t>Engineering Staffing, IT Recruiting, Contract Services</t>
  </si>
  <si>
    <t>Boyer Holbrook Industrial, LC</t>
  </si>
  <si>
    <t>101 S 200 E;Suite 200;Salt Lake City UT 84111-3104;USA</t>
  </si>
  <si>
    <t>Paul Hastings LLP</t>
  </si>
  <si>
    <t>515 S FLOWER ST;STE 2500;LOS ANGELES CA 90071-2201;USA</t>
  </si>
  <si>
    <t>Global Law Firm</t>
  </si>
  <si>
    <t>Finance, M&amp;A, Private Equity, Litigation, Real Estate, Employment Law, IP, Tax Advisory</t>
  </si>
  <si>
    <t>Trucking Edge LLC</t>
  </si>
  <si>
    <t>201 RUE BEAUREGARD;STE 201;LAFAYETTE LA 70508-3251;USA</t>
  </si>
  <si>
    <t>Trucking &amp; Logistics Software</t>
  </si>
  <si>
    <t>Load Board, Freight Matching, Fleet Management, Dispatch Software, Trucking Automation</t>
  </si>
  <si>
    <t>Blackstone Technology Group, Inc</t>
  </si>
  <si>
    <t>33 New Montgomery St;Suite 850;San Francisco CA 94105-4506;USA</t>
  </si>
  <si>
    <t>Technology Consulting, IT Services, Software Development</t>
  </si>
  <si>
    <t>000840</t>
  </si>
  <si>
    <t>Ontario Teachers Pension Plan</t>
  </si>
  <si>
    <t>5650 Younge Street;Toronto OH 43964;USA</t>
  </si>
  <si>
    <t>Pension Fund &amp; Investment Management</t>
  </si>
  <si>
    <t>Pension Administration, Institutional Investing, Real Estate, Infrastructure, Private Equity</t>
  </si>
  <si>
    <t>Pasco Industrial Group, LLC</t>
  </si>
  <si>
    <t>111 Central Park Pl;Unit 109;Sanford FL 32771-6633;USA</t>
  </si>
  <si>
    <t>Industrial Contracting Services</t>
  </si>
  <si>
    <t>Mechanical Contracting, Electrical Services, Plumbing, Industrial Maintenance</t>
  </si>
  <si>
    <t>G&amp;W Equipment Inc.</t>
  </si>
  <si>
    <t>600 Lawton Rd;Charlotte NC 28216-3437;USA</t>
  </si>
  <si>
    <t>Forklift Sales &amp; Service, Lift Trucks, Parts &amp; Repair, Equipment Rental</t>
  </si>
  <si>
    <t>DataDog, Inc.</t>
  </si>
  <si>
    <t>620 8th Avenue;45th Floor;New York NY 10018;USA</t>
  </si>
  <si>
    <t>Cloud Monitoring &amp; Observability</t>
  </si>
  <si>
    <t>APM, Log Management, Infrastructure Monitoring, Cloud Security, Synthetic Monitoring</t>
  </si>
  <si>
    <t>Alvarez &amp; Marsal Holdings, LLC</t>
  </si>
  <si>
    <t>600 Madison Avenue;8th Floor;New York NY 10022;USA</t>
  </si>
  <si>
    <t>Management Consulting &amp; Restructuring</t>
  </si>
  <si>
    <t>Turnaround Management, Corporate Restructuring, Transaction Advisory, Performance Improvement</t>
  </si>
  <si>
    <t>Albany, NY Warehouse LLC</t>
  </si>
  <si>
    <t>Weston Property Investment I LLC</t>
  </si>
  <si>
    <t>4760 Richmond Road Suite 200;Cleveland OH 44128;USA</t>
  </si>
  <si>
    <t>Costco Wholesale Corporation</t>
  </si>
  <si>
    <t>730 LAKE DR;ISSAQUAH WA 98027-5504;USA</t>
  </si>
  <si>
    <t>General Supplies &amp; Services</t>
  </si>
  <si>
    <t>Wholesale Retail &amp; Membership</t>
  </si>
  <si>
    <t>Bulk Goods, Office Supplies, Business Services</t>
  </si>
  <si>
    <t>USAA Alliances Services Co.</t>
  </si>
  <si>
    <t>Attn Suzanne M. Cino;9800 Fredericksburg Rd.;San Antonio TX 78288;USA</t>
  </si>
  <si>
    <t>Financial Services &amp; Insurance</t>
  </si>
  <si>
    <t>Insurance Programs, Financial Products, Military Benefits, Affinity Partnerships</t>
  </si>
  <si>
    <t>XPO Logistics Freight Inc.</t>
  </si>
  <si>
    <t>2211 Old Earhart Rd. Ste 100;Ann Arbor MI 48105;USA</t>
  </si>
  <si>
    <t>LTL, Truckload, Brokerage, Intermodal, Last Mile, Supply Chain, Logistics</t>
  </si>
  <si>
    <t>Daniel B. Light</t>
  </si>
  <si>
    <t>104 S Wynstone Park Dr;North Barrington IL 60010-6967;USA</t>
  </si>
  <si>
    <t>Terminix International Co Ltd Partn</t>
  </si>
  <si>
    <t>150 Peabody Pl;Memphis TN 38103-3720;USA</t>
  </si>
  <si>
    <t>Pest Control Services</t>
  </si>
  <si>
    <t>Termite Treatment, Pest Prevention, Bed Bug Treatment, Wildlife Control, Commercial Pest Control</t>
  </si>
  <si>
    <t>Moxie Equities 22 Gateway LLC</t>
  </si>
  <si>
    <t>211 Boulevard of Americas;Suite 204;Lakewood NJ 08701;USA</t>
  </si>
  <si>
    <t>Staples Advantage</t>
  </si>
  <si>
    <t>PO Box 105748;Atlanta GA 30348-5748;USA</t>
  </si>
  <si>
    <t>Office Supplies &amp; Printing</t>
  </si>
  <si>
    <t>Office Supplies &amp; Business Products</t>
  </si>
  <si>
    <t>Office Supplies, Furniture, Technology, Print &amp; Copy, Breakroom Supplies, Cleaning Products</t>
  </si>
  <si>
    <t>Fedex</t>
  </si>
  <si>
    <t>PO Box 660481;Dallas TX 75266 0481;USA</t>
  </si>
  <si>
    <t>Express Shipping, Ground &amp; Air Freight, International Shipping, E-Commerce Logistics</t>
  </si>
  <si>
    <t>Meridian Street Warehouse LLC</t>
  </si>
  <si>
    <t>1801 Fifth Avenue North;Suite 300;Birmingham AL 35203;USA</t>
  </si>
  <si>
    <t>Warehouse Space, Distribution Facilities, Industrial Real Estate</t>
  </si>
  <si>
    <t>Gartner Inc.</t>
  </si>
  <si>
    <t>PO Box 911319;Dallas TX 75391-1319;USA</t>
  </si>
  <si>
    <t>IT Research &amp; Advisory</t>
  </si>
  <si>
    <t>Market Research, Strategic Consulting, IT Advisory, Conferences, Benchmarking</t>
  </si>
  <si>
    <t>Telephony Partners LLC</t>
  </si>
  <si>
    <t>5215 W Laurel St;Ste 200;Tampa FL 33607-1758;USA</t>
  </si>
  <si>
    <t>Telecommunications Services</t>
  </si>
  <si>
    <t>Business Phone Systems, VoIP, Unified Communications, Cloud PBX, IT Services</t>
  </si>
  <si>
    <t>The Martino Group/The Martino Group</t>
  </si>
  <si>
    <t>525 S Loop 288;Suite 105;Denton TX 76205-4515;USA</t>
  </si>
  <si>
    <t>Real Estate, Property Management, Retail Leasing</t>
  </si>
  <si>
    <t>PFL dba Printing for Less</t>
  </si>
  <si>
    <t>100 PFL Way;Livingston MT 59047;USA</t>
  </si>
  <si>
    <t>Printing &amp; Direct Mail Services</t>
  </si>
  <si>
    <t>Commercial Printing, Direct Mail, Marketing Collateral, Fulfillment</t>
  </si>
  <si>
    <t>Group 14 Company</t>
  </si>
  <si>
    <t>4550 Donovan Way;Suite 112;Las Vegas NV 89081;USA</t>
  </si>
  <si>
    <t>Workplace Performance &amp; Safety</t>
  </si>
  <si>
    <t>Workplace Safety Training, PPE, Drug Testing, Compliance Services</t>
  </si>
  <si>
    <t>Express Employment Professionals</t>
  </si>
  <si>
    <t>PO Box 844277;Los Angeles CA 90084-4277;USA</t>
  </si>
  <si>
    <t>Staffing &amp; Employment Services</t>
  </si>
  <si>
    <t>Temporary Staffing, Direct Hire, Contract Staffing, Light Industrial, Office Services</t>
  </si>
  <si>
    <t>Rosette Media Group</t>
  </si>
  <si>
    <t>12910 Automobile Blvd.;Suite A;Clearwater FL 33762;USA</t>
  </si>
  <si>
    <t>Media &amp; Marketing Services</t>
  </si>
  <si>
    <t>Media Buying, Advertising, Digital Marketing, Creative Services</t>
  </si>
  <si>
    <t>1300 Edwards, LLC</t>
  </si>
  <si>
    <t>1055 SAINT CHARLES AVE;STE 701;NEW ORLEANS LA 70130-3941;USA</t>
  </si>
  <si>
    <t>Discovery Benefits- ACH</t>
  </si>
  <si>
    <t>Benefits Administration (HSA/FSA/COBRA)</t>
  </si>
  <si>
    <t>Health Savings Accounts, Flexible Spending, COBRA Administration, Commuter Benefits</t>
  </si>
  <si>
    <t>Dell Marketing Lp</t>
  </si>
  <si>
    <t>C/O DELL USA LP;PO BOX 534118;Atlanta GA 30353-4118;USA</t>
  </si>
  <si>
    <t>IT Hardware &amp; Technology Solutions</t>
  </si>
  <si>
    <t>PCs, Servers, Storage, Networking, IT Services, Cloud Solutions</t>
  </si>
  <si>
    <t>ePlus Technology</t>
  </si>
  <si>
    <t>PO Box 404398;Atlanta GA 30384;USA</t>
  </si>
  <si>
    <t>Cloud Solutions, Hardware Procurement, Cybersecurity, Data Center, AI/ML, Managed Services</t>
  </si>
  <si>
    <t>Z-Land, LLC</t>
  </si>
  <si>
    <t>1275 Stanford Avenue;Baton Rouge LA 70808;USA</t>
  </si>
  <si>
    <t>85 South LLC</t>
  </si>
  <si>
    <t>4600 Wedgewood Blvd;Ste A;Frederick MD 21703-7167;USA</t>
  </si>
  <si>
    <t>Super Grip Corporation</t>
  </si>
  <si>
    <t>PO Box 245;Piney Flats TN 37686 0245;USA</t>
  </si>
  <si>
    <t>Tire Chain &amp; Traction Products</t>
  </si>
  <si>
    <t>Tire Chains, Traction Devices, Snow Chains, Off-Road Chains</t>
  </si>
  <si>
    <t>Teknia Networks &amp; Logistics, Inc.</t>
  </si>
  <si>
    <t>10451 66th St N;Pinellas Park FL 33782-2309;USA</t>
  </si>
  <si>
    <t>IT Networking &amp; Logistics</t>
  </si>
  <si>
    <t>Network Cabling, IT Infrastructure, Structured Cabling, Fiber Optics, Logistics</t>
  </si>
  <si>
    <t>Commercenter #24, LLC</t>
  </si>
  <si>
    <t>13191 Crossroads Pkwy N;Sixth Floor;City of Industry CA 91746-3421;USA</t>
  </si>
  <si>
    <t>I-380 Flex Space LLC</t>
  </si>
  <si>
    <t>PO Box 1826;Cedar Rapids IA 52406-1826;USA</t>
  </si>
  <si>
    <t>Real Estate, Flex/Industrial Space, Property Management</t>
  </si>
  <si>
    <t>People Ready</t>
  </si>
  <si>
    <t>PO BOX 740435;Atlanta GA 30374-0435;USA</t>
  </si>
  <si>
    <t>Temporary Staffing &amp; Labor Solutions</t>
  </si>
  <si>
    <t>Temporary Labor, On-Demand Staffing, Construction Staffing, Event Staffing, Workforce Solutions</t>
  </si>
  <si>
    <t>Prime Logistic Solutions Inc</t>
  </si>
  <si>
    <t>8805 SHERIDAN DR;WILLIAMSVILLE NY 14221-6340;USA</t>
  </si>
  <si>
    <t>Freight Brokerage, Trucking, Warehousing, Supply Chain Management</t>
  </si>
  <si>
    <t>Commercial Rentals Mgmt Inc</t>
  </si>
  <si>
    <t>112 Phyllis Ct;Elmont NY 11003 1625;USA</t>
  </si>
  <si>
    <t>Real Estate, Rental Management</t>
  </si>
  <si>
    <t>Diesel Direct</t>
  </si>
  <si>
    <t>PO Box 536785;Pittsburgh PA 15253;USA</t>
  </si>
  <si>
    <t>Fuel Delivery Services</t>
  </si>
  <si>
    <t>Diesel Fuel Delivery, On-Site Fueling, Fleet Fueling</t>
  </si>
  <si>
    <t>Salem Leasing Corporation</t>
  </si>
  <si>
    <t>PO Box 890788;Charlotte NC 28289 0788;USA</t>
  </si>
  <si>
    <t>Truck &amp; Vehicle Leasing</t>
  </si>
  <si>
    <t>Truck Leasing, Fleet Management, Vehicle Rental</t>
  </si>
  <si>
    <t>2Y, LLC</t>
  </si>
  <si>
    <t>580 TRADE CENTER ST;MONTGOMERY AL 36108-2108;USA</t>
  </si>
  <si>
    <t>Endpoint Associates, LLC</t>
  </si>
  <si>
    <t>15201 Wind Whisper Drive;Odessa FL 33556;USA</t>
  </si>
  <si>
    <t>IT Consulting &amp; Endpoint Security</t>
  </si>
  <si>
    <t>Cybersecurity, IT Support, Endpoint Management, Network Security</t>
  </si>
  <si>
    <t>Liberty Commercial LLC</t>
  </si>
  <si>
    <t>2690 HENDERSONVILLE RD;ARDEN NC 28704-8576;USA</t>
  </si>
  <si>
    <t>Tape Specialists Of Fl Inc</t>
  </si>
  <si>
    <t>3909 W South Ave;Ste A;Tampa FL 33614 6305;USA</t>
  </si>
  <si>
    <t>Adhesive Tape &amp; Packaging Products</t>
  </si>
  <si>
    <t>Packaging Tape, Specialty Tapes, Adhesive Products, Shipping Supplies</t>
  </si>
  <si>
    <t>AJ Properties CIP 4, LLC</t>
  </si>
  <si>
    <t>PO Box 7608;Spreckels CA 93962-7608;USA</t>
  </si>
  <si>
    <t>001307</t>
  </si>
  <si>
    <t>111 E Wacker Dr;Ste 2500;Chicago IL 60601-4200;USA</t>
  </si>
  <si>
    <t>Star Three Long Beach, LLC Do not use- Use 153288</t>
  </si>
  <si>
    <t>2200 POST OAK BLVD;HOUSTON TX 77056-4700;USA</t>
  </si>
  <si>
    <t>Officeworx Source Inc.</t>
  </si>
  <si>
    <t>Office Supplies &amp; Equipment</t>
  </si>
  <si>
    <t>Office Furniture, Supplies, Technology Products, Facility Solutions</t>
  </si>
  <si>
    <t>BXM Saco Distr LLC</t>
  </si>
  <si>
    <t>687 Old Willets Path;Ste. C;Hauppauge NY 11788;USA</t>
  </si>
  <si>
    <t>Distribution Center, Warehouse Space</t>
  </si>
  <si>
    <t>TeamQuest Staffing Services Inc</t>
  </si>
  <si>
    <t>630 South Grand Avenue;Suite 102;Santa Ana CA 92705;USA</t>
  </si>
  <si>
    <t>Staffing &amp; Recruiting Services</t>
  </si>
  <si>
    <t>Temporary Staffing, Direct Hire, Workforce Solutions, Recruiting</t>
  </si>
  <si>
    <t>James Family Trust</t>
  </si>
  <si>
    <t>1738 Pine Gate Way;White City OR 97503-8504;USA</t>
  </si>
  <si>
    <t>Google, Inc.</t>
  </si>
  <si>
    <t>Dept. 33654;PO Box 39000;San Francisco CA 94139;USA</t>
  </si>
  <si>
    <t>Cloud Computing &amp; Digital Advertising</t>
  </si>
  <si>
    <t>Search Advertising, Cloud Platform (GCP), Workspace, YouTube, Android, AI/ML Services</t>
  </si>
  <si>
    <t>Keystone Automotive Industries Inc.</t>
  </si>
  <si>
    <t>5846 Crossings Blvd;Antioch TN 37013-3129;USA</t>
  </si>
  <si>
    <t>Rent Vehicle</t>
  </si>
  <si>
    <t>Aftermarket Auto Parts Distribution</t>
  </si>
  <si>
    <t>Collision Parts, Recycled Parts, Bumper Refurbishment, Wheel Remanufacturing, Paint Supplies</t>
  </si>
  <si>
    <t>Applocations LLC</t>
  </si>
  <si>
    <t>136 N Huron St;Toledo OH 43604-1139;USA</t>
  </si>
  <si>
    <t>Carusa Company, LLC</t>
  </si>
  <si>
    <t>235 Hand Dr;Flowood MS 39232-8307;USA</t>
  </si>
  <si>
    <t>JML Consulting, LLC</t>
  </si>
  <si>
    <t>15661 Berkhamstead Place;Leesburg VA 20176;USA</t>
  </si>
  <si>
    <t>Management Consulting</t>
  </si>
  <si>
    <t>Business Advisory, Strategy Consulting, Project Management</t>
  </si>
  <si>
    <t>ZoomInfo</t>
  </si>
  <si>
    <t>805 Broadway St;Ste 900;Vancouver WA 98660-3506;USA</t>
  </si>
  <si>
    <t>B2B Sales Intelligence Platform</t>
  </si>
  <si>
    <t>Contact Data, Sales Intelligence, Company Insights, Intent Data, Engagement Tools, Prospecting</t>
  </si>
  <si>
    <t>Old Dominion Freight Line Inc.</t>
  </si>
  <si>
    <t>PO Box 198475;Atlanta GA 30384-8475;USA</t>
  </si>
  <si>
    <t>LTL Freight Carrier</t>
  </si>
  <si>
    <t>Less-Than-Truckload Shipping, Expedited Freight, Supply Chain, International</t>
  </si>
  <si>
    <t>CFGI Eagle Parent, LLC</t>
  </si>
  <si>
    <t>1 LINCOLN ST;STE 1301;BOSTON MA 02111-2901;USA</t>
  </si>
  <si>
    <t>Financial Consulting Services</t>
  </si>
  <si>
    <t>Accounting, Financial Advisory, Business Consulting</t>
  </si>
  <si>
    <t>Ludlow Warehouse LLC</t>
  </si>
  <si>
    <t>PW Fund B LP</t>
  </si>
  <si>
    <t>C/O Buzz Oats Mgt Svcs Inc.;555 Capitol Mall Ste 900;Ninth Floor;Sacramento CA 95814-4504;USA</t>
  </si>
  <si>
    <t>Flournoy &amp; Calhoun</t>
  </si>
  <si>
    <t>PO Box 6607;Columbus GA 31917-6607;USA</t>
  </si>
  <si>
    <t>Real Estate Development, Property Management, Commercial Leasing</t>
  </si>
  <si>
    <t>CCH Incorporated</t>
  </si>
  <si>
    <t>C/O Wolters Kluwer;2700 Lake Cook Road;Deerfield IL 60015;USA</t>
  </si>
  <si>
    <t>Tax &amp; Accounting Software</t>
  </si>
  <si>
    <t>Tax Research, Compliance Software, Professional Publications, CPE Training</t>
  </si>
  <si>
    <t>Aston Carter Inc.</t>
  </si>
  <si>
    <t>PO Box 7410408;Chicago IL 60674;USA</t>
  </si>
  <si>
    <t>Staffing &amp; Recruiting Agency</t>
  </si>
  <si>
    <t>IT Staffing, Finance &amp; Accounting, Professional Placement</t>
  </si>
  <si>
    <t>Aerotek ULC</t>
  </si>
  <si>
    <t>PO Box 15521, Station A;Toronto ON M5W 1C1;CAN</t>
  </si>
  <si>
    <t>Contract Staffing, Direct Hire, Workforce Solutions</t>
  </si>
  <si>
    <t>Stonecap, LLC</t>
  </si>
  <si>
    <t>1180 Ponce de Leon Blvd;Clearwater FL 33756-1014;USA</t>
  </si>
  <si>
    <t>BAPS Properties, LLC</t>
  </si>
  <si>
    <t>4697 Avenue D;Orange Beach AL 36561-4349;USA</t>
  </si>
  <si>
    <t>000655</t>
  </si>
  <si>
    <t>9333762 Canada Inc.</t>
  </si>
  <si>
    <t>74 Grandview Rd;Ottawa ON K2H 8B2;CAN</t>
  </si>
  <si>
    <t>Grant Thornton Advisors LLC</t>
  </si>
  <si>
    <t>3333 Finley Rd. Ste 700;Downers Grove IL 60515;USA</t>
  </si>
  <si>
    <t>Audit &amp; Assurance, Tax Advisory, Business Consulting, Forensic &amp; Valuation, Risk Management</t>
  </si>
  <si>
    <t>PSL Mercantile A3 LLC</t>
  </si>
  <si>
    <t>1401 Broad St;Clifton NJ 07013-4236;USA</t>
  </si>
  <si>
    <t>RHM, LLC</t>
  </si>
  <si>
    <t>2301 W 22nd St;Suite 300;Oak Brook IL 60523-1222;USA</t>
  </si>
  <si>
    <t>Uline</t>
  </si>
  <si>
    <t>PO Box 88741;Chicago IL 60680 1741;USA</t>
  </si>
  <si>
    <t>Shipping &amp; Industrial Supply Distribution</t>
  </si>
  <si>
    <t>Shipping Supplies, Boxes, Packaging, Janitorial, Safety, Warehouse, Industrial Products</t>
  </si>
  <si>
    <t>Young Brothers</t>
  </si>
  <si>
    <t>Department 8896;Los Angeles CA 90084;USA</t>
  </si>
  <si>
    <t>Shipping &amp; Maritime Services</t>
  </si>
  <si>
    <t>Inter-Island Shipping, Cargo Transport, Barge Services, Container Shipping, Hawaii Freight</t>
  </si>
  <si>
    <t>001343</t>
  </si>
  <si>
    <t>Mini Mall Storage Properties</t>
  </si>
  <si>
    <t>400 4820 Richard Rd SW;Calgary AB T3E 6L1;CAN</t>
  </si>
  <si>
    <t>Personal Storage, Business Storage, Vehicle Storage, Climate-Controlled Units</t>
  </si>
  <si>
    <t>Cintas Fire Protection</t>
  </si>
  <si>
    <t>PO Box 636525;Cincinnati OH 45263-6525;USA</t>
  </si>
  <si>
    <t>Uniform &amp; Facility Services</t>
  </si>
  <si>
    <t>Uniform Rental, Facility Services, First Aid &amp; Safety, Fire Protection, Restroom Services</t>
  </si>
  <si>
    <t>Misource Staffing, LLC</t>
  </si>
  <si>
    <t>PO BOX 13188;Milwaukee WI 53213;USA</t>
  </si>
  <si>
    <t>Staffing Services</t>
  </si>
  <si>
    <t>Temporary Staffing, Direct Hire, Workforce Solutions</t>
  </si>
  <si>
    <t>480 E Dixie Investments LLC</t>
  </si>
  <si>
    <t>11129 Kenwood Rd;Blue Ash OH 45242-1817;USA</t>
  </si>
  <si>
    <t>Start Traffic</t>
  </si>
  <si>
    <t>PO Box 652;Warren RI 02885-0652;USA</t>
  </si>
  <si>
    <t>Traffic Safety Products</t>
  </si>
  <si>
    <t>Traffic Cones, Barricades, Signs, Road Safety Equipment, Construction Zone Products</t>
  </si>
  <si>
    <t>Motion Industries Inc.</t>
  </si>
  <si>
    <t>BOX 504606;Saint Louis MO 63150;USA</t>
  </si>
  <si>
    <t>Industrial Parts Distribution</t>
  </si>
  <si>
    <t>Bearings, Power Transmission, Hydraulics, Pneumatics, Industrial Automation</t>
  </si>
  <si>
    <t>PK Realty Management, LLC</t>
  </si>
  <si>
    <t>33 McAlister Farm Rd;Suite 303;Portland ME 04103-5909;USA</t>
  </si>
  <si>
    <t>Real Estate, Property Management, Tenant Relations</t>
  </si>
  <si>
    <t>000631</t>
  </si>
  <si>
    <t>407 ETR</t>
  </si>
  <si>
    <t>6300 Steeles Avenue West;Woodbridge ON L4H 1J1;CAN</t>
  </si>
  <si>
    <t>Electronic Toll Highway Services</t>
  </si>
  <si>
    <t>Toll Collection, Transponder Services, Traffic Management</t>
  </si>
  <si>
    <t>Pitisci &amp; Associates, LLC</t>
  </si>
  <si>
    <t>101 S Moody Ave;Tampa FL 33609-3485;USA</t>
  </si>
  <si>
    <t>Legal Services &amp; Consulting</t>
  </si>
  <si>
    <t>Legal Consulting, Litigation Support, Business Advisory, Dispute Resolution</t>
  </si>
  <si>
    <t>Woodside Ventures, Inc</t>
  </si>
  <si>
    <t>4232 Sherrod St;Pittsburgh PA 15201;USA</t>
  </si>
  <si>
    <t>General Contracting &amp; Construction</t>
  </si>
  <si>
    <t>Construction, Renovation, Project Management, General Contracting</t>
  </si>
  <si>
    <t>000949</t>
  </si>
  <si>
    <t>Hyster-Yale Canada ULC</t>
  </si>
  <si>
    <t>Lockbox 917620;PO Box 4090 STN A;Toronto ON M5W 0E9;CAN</t>
  </si>
  <si>
    <t>Lift Truck Leasing &amp; Sales</t>
  </si>
  <si>
    <t>Forklift Sales, Rentals, Parts, Service, Fleet Management</t>
  </si>
  <si>
    <t>Lee Property Services, LLC.</t>
  </si>
  <si>
    <t>201 West McBee Avenue, ;Suite 400;Greenville SC 29601;USA</t>
  </si>
  <si>
    <t>Property Management Services</t>
  </si>
  <si>
    <t>Real Estate, Property Maintenance, Facility Management</t>
  </si>
  <si>
    <t>Fivetran, Inc.</t>
  </si>
  <si>
    <t>P.O. Box 103483;Pasadena CA 91189;USA</t>
  </si>
  <si>
    <t>Automated Data Integration (ELT)</t>
  </si>
  <si>
    <t>Data Pipeline Automation, ELT Connectors, Database Replication, Cloud Data Integration</t>
  </si>
  <si>
    <t>Overhead Door-Wayne Dalton</t>
  </si>
  <si>
    <t>PO Box 676576;Dallas TX 75267-6576;USA</t>
  </si>
  <si>
    <t>Door &amp; Dock Services</t>
  </si>
  <si>
    <t>Overhead Door Services</t>
  </si>
  <si>
    <t>Garage Door Installation, Repair, Commercial Doors, Openers</t>
  </si>
  <si>
    <t>Affordable Owner LLC</t>
  </si>
  <si>
    <t>PO BOX 14083;Chicago IL 60614;USA</t>
  </si>
  <si>
    <t>Switch Growth Inc.</t>
  </si>
  <si>
    <t>206-233 Portage Avenue;Winnipeg MB R3B 2A7;CAN</t>
  </si>
  <si>
    <t>Digital Marketing &amp; Growth Agency</t>
  </si>
  <si>
    <t>Digital Strategy, SEO, Paid Media, Brand Development, Web Design</t>
  </si>
  <si>
    <t>000862</t>
  </si>
  <si>
    <t>Cintas Canada Limited</t>
  </si>
  <si>
    <t>Dept400004;POBOX4372STNA;Toronto ON M5W 0J2;CAN</t>
  </si>
  <si>
    <t>Agricultural Seed Supply</t>
  </si>
  <si>
    <t>Turf Seed, Agricultural Seed, Lawn Care Products</t>
  </si>
  <si>
    <t>Whip Around, Inc.</t>
  </si>
  <si>
    <t>5955 Carnegie Blvd;Ste 300;Charlotte NC 28209-4667;USA</t>
  </si>
  <si>
    <t>Fleet Inspection &amp; Maintenance Software</t>
  </si>
  <si>
    <t>Vehicle Inspections, DVIR, Maintenance Scheduling, Fleet Compliance, Work Orders</t>
  </si>
  <si>
    <t>Lake View Business Center</t>
  </si>
  <si>
    <t>3233 Highridge Dr;Taylor Mill KY 41015 4417;USA</t>
  </si>
  <si>
    <t>Office Space, Business Center, Property Management</t>
  </si>
  <si>
    <t>Parkit Enterprise, Inc.</t>
  </si>
  <si>
    <t>100 Canadian Road;Scarborough ON M1R 4Z5;CAN</t>
  </si>
  <si>
    <t>Parking Services &amp; Management</t>
  </si>
  <si>
    <t>Parking Lot Management, Monthly Parking, Event Parking, Valet Services</t>
  </si>
  <si>
    <t>Melbourne Skyway A3 LLC</t>
  </si>
  <si>
    <t>Beaverdale Investments LLC</t>
  </si>
  <si>
    <t>111 S Elgin Ave;Tulsa OK 74120-1816;USA</t>
  </si>
  <si>
    <t>Recast Labs, Inc.</t>
  </si>
  <si>
    <t>228 Park Ave S;New York NY 10003;USA</t>
  </si>
  <si>
    <t>Digital Marketing &amp; Analytics</t>
  </si>
  <si>
    <t>Marketing Analytics, Attribution, Media Measurement, Performance Marketing</t>
  </si>
  <si>
    <t>Capital One, N.A.</t>
  </si>
  <si>
    <t>Corporate Card;;PO Box 669354;Dallas TX 75266;USA</t>
  </si>
  <si>
    <t>Healthcare Services</t>
  </si>
  <si>
    <t>Healthcare Distribution &amp; Services</t>
  </si>
  <si>
    <t>Pharmaceutical Distribution, Medical Products, Specialty Pharmacy, Supply Chain Solutions</t>
  </si>
  <si>
    <t>Red Wing Business Advantage Account</t>
  </si>
  <si>
    <t>PO Box 844329;Attn:National Accounts;Dallas TX 75284-4329;USA</t>
  </si>
  <si>
    <t>Safety Footwear &amp; Workwear</t>
  </si>
  <si>
    <t>Work Boots, Safety Shoes, Workwear, PPE, Corporate Account Programs</t>
  </si>
  <si>
    <t>Linkedin Corp.</t>
  </si>
  <si>
    <t>2029 Stierlin Ct;Mountain View CA 94043 4684;USA</t>
  </si>
  <si>
    <t>Professional Networking &amp; Talent Solutions</t>
  </si>
  <si>
    <t>Job Posting, Recruiting, LinkedIn Learning, Advertising, Sales Navigator</t>
  </si>
  <si>
    <t>Samba Holdings, Inc.</t>
  </si>
  <si>
    <t>Dept LA 24536;Pasadena CA 91185;USA</t>
  </si>
  <si>
    <t>Employee Benefits &amp; Incentive Platform</t>
  </si>
  <si>
    <t>Employee Perks, Corporate Discounts, Incentive Programs, Insurance Products</t>
  </si>
  <si>
    <t>Hydraulic Supply Co.</t>
  </si>
  <si>
    <t>Attn: Accounts Receivable;300 International Pkwy;Sunrise FL 33325-6240;USA</t>
  </si>
  <si>
    <t>Hydraulic Components Distribution</t>
  </si>
  <si>
    <t>Hydraulic Hoses, Fittings, Pumps, Valves, Cylinders, Fluid Power Accessories</t>
  </si>
  <si>
    <t>Kantar LLC</t>
  </si>
  <si>
    <t>3333 Warrenville Rd;Suite 400;Lisle IL 60532-1157;USA</t>
  </si>
  <si>
    <t>Market Research &amp; Data Analytics</t>
  </si>
  <si>
    <t>Brand Strategy, Advertising Intelligence, Consumer Insights, Audience Measurement, Media Analytics</t>
  </si>
  <si>
    <t>CXO Solutions</t>
  </si>
  <si>
    <t>3510 Shoreline Circle;Palm Harbor FL 34684;USA</t>
  </si>
  <si>
    <t>Business Consulting Services</t>
  </si>
  <si>
    <t>Executive Advisory, Strategy Consulting, Management Consulting</t>
  </si>
  <si>
    <t>Pirtek USA</t>
  </si>
  <si>
    <t>300 Gus Hipp Blvd;Rockledge FL 32955-4805;USA</t>
  </si>
  <si>
    <t>Hydraulic Hose &amp; Fittings Services</t>
  </si>
  <si>
    <t>On-Site Hydraulic Hose Repair, Mobile Service, Industrial Fittings, Fluid Transfer Solutions</t>
  </si>
  <si>
    <t>Mirakl INC</t>
  </si>
  <si>
    <t>212 Elm Street;STE 400;Somerville MA 02144;USA</t>
  </si>
  <si>
    <t>Enterprise Marketplace Platform</t>
  </si>
  <si>
    <t>Online Marketplace SaaS, Dropship, Catalog Management, Seller Onboarding</t>
  </si>
  <si>
    <t>000639</t>
  </si>
  <si>
    <t>Medavie Blue Cross</t>
  </si>
  <si>
    <t>PO Box 220;Moncton NB E1C 8L3;CAN</t>
  </si>
  <si>
    <t>Health &amp; Dental Insurance</t>
  </si>
  <si>
    <t>Group Benefits, Travel Insurance, Individual Health Plans, Pharmacy Benefits</t>
  </si>
  <si>
    <t>OB Real Estate Holdings</t>
  </si>
  <si>
    <t>1700 NE Adams Street;Peoria IL 61603;USA</t>
  </si>
  <si>
    <t>Bryan Cotton Warehouse, Inc.</t>
  </si>
  <si>
    <t>PO Box 1267;Bryan TX 77806-1267;USA</t>
  </si>
  <si>
    <t>Phil Pearson Fabrication LLC</t>
  </si>
  <si>
    <t>4931 Dr. MLK Jr. Street North;Saint Petersburg FL 33703;USA</t>
  </si>
  <si>
    <t>Metal Fabrication Services</t>
  </si>
  <si>
    <t>Custom Metal Fabrication, Welding, Steel Work, Structural Fabrication</t>
  </si>
  <si>
    <t>U.S. Coast Guard NAFA</t>
  </si>
  <si>
    <t>510 INDEPENDENCE PKWY;Suite 500;CHESAPEAKE VA 23320-5180;USA</t>
  </si>
  <si>
    <t>Coast Guard Support Services</t>
  </si>
  <si>
    <t>Fleet Management, Government Support, Administrative Services</t>
  </si>
  <si>
    <t>Genuine Parts Company</t>
  </si>
  <si>
    <t>PO BOX 409043;ATLANTA GA 30384-9043;USA</t>
  </si>
  <si>
    <t>Automotive Parts Distribution</t>
  </si>
  <si>
    <t>NAPA Auto Parts, Industrial Parts, Business Products, EIS Electrical Distribution</t>
  </si>
  <si>
    <t>EOS Software</t>
  </si>
  <si>
    <t>21701 Stevens Creek Blvd;#91;Cupertino CA 95015-3399;USA</t>
  </si>
  <si>
    <t>Business Management Software (EOS)</t>
  </si>
  <si>
    <t>EOS Implementation Tools, Traction, Scorecard, Meeting Management, Vision Planning</t>
  </si>
  <si>
    <t>Safety Kleen, Inc.</t>
  </si>
  <si>
    <t>PO Box 975201;Dallas TX 75397;USA</t>
  </si>
  <si>
    <t>Environmental &amp; Parts Cleaning Services</t>
  </si>
  <si>
    <t>Parts Washing, Solvent Recycling, Vacuum Services, Waste Collection, Oil Recovery</t>
  </si>
  <si>
    <t>Fuel Logic</t>
  </si>
  <si>
    <t>PO Box 786;Midlothian TX 76065;USA</t>
  </si>
  <si>
    <t>Mobile Fuel Delivery</t>
  </si>
  <si>
    <t>Bulk Fuel Delivery, Fleet Fueling, Diesel &amp; Gasoline Supply, Generator Fueling</t>
  </si>
  <si>
    <t>Zenarate, Inc</t>
  </si>
  <si>
    <t>3600 W Bayshore Rd;Suite 101;Palo Alto CA 94303;USA</t>
  </si>
  <si>
    <t>AI Simulation Training Platform</t>
  </si>
  <si>
    <t>AI Coaching, Call Simulation, Agent Training, Contact Center Training, Generative AI Roleplay</t>
  </si>
  <si>
    <t>Leetsdale Industrial Corporation</t>
  </si>
  <si>
    <t>100 Leetsdale Industrial Dr;Leetsdale PA 15056;USA</t>
  </si>
  <si>
    <t>Industrial Property Lease</t>
  </si>
  <si>
    <t>Industrial Real Estate, Warehousing, Distribution Facilities</t>
  </si>
  <si>
    <t>Hide Away Storage</t>
  </si>
  <si>
    <t>1813 MANATEE AVE W;BRADENTON FL 34205-5926;USA</t>
  </si>
  <si>
    <t>Self-Storage Facilities</t>
  </si>
  <si>
    <t>Storage Units, Climate Controlled Storage, Vehicle Storage, Moving Supplies</t>
  </si>
  <si>
    <t>GardaWorld Security Services</t>
  </si>
  <si>
    <t>PO Box 843886;Kansas City MO 64184;USA</t>
  </si>
  <si>
    <t>Security Guard Services</t>
  </si>
  <si>
    <t>Physical Security, Risk Consulting, Cash Services, Event Security</t>
  </si>
  <si>
    <t>HJ Goldston, LLC</t>
  </si>
  <si>
    <t>PO Box 33006;Raleigh NC 33006;USA</t>
  </si>
  <si>
    <t>Insight Global Inc</t>
  </si>
  <si>
    <t>PO Box 198226;Atlanta GA 30384 8226;USA</t>
  </si>
  <si>
    <t>IT Staffing &amp; Recruiting</t>
  </si>
  <si>
    <t>IT Contract Staffing, Direct Hire, Project Management, Technology Recruiting</t>
  </si>
  <si>
    <t>Cadillac Freight Enterprises LLC</t>
  </si>
  <si>
    <t>210 CROWN POINT CIR;STE 100;LONGWOOD FL 32779-6053;USA</t>
  </si>
  <si>
    <t>Recruitment Ad Placement LLC</t>
  </si>
  <si>
    <t>6660 DELMONICO DR;PMB 333;COLORADO SPRINGS CO 80919-1899;USA</t>
  </si>
  <si>
    <t>Recruitment Advertising Services</t>
  </si>
  <si>
    <t>Job Advertising, Recruitment Marketing, Media Placement, Employer Branding</t>
  </si>
  <si>
    <t>Ten Logan Ventures LP</t>
  </si>
  <si>
    <t>76 PASSAN DR;WILKES BARRE PA 18702-7348;USA</t>
  </si>
  <si>
    <t>Entertainment Data Oracle</t>
  </si>
  <si>
    <t>3535 HAYDEN AVE;STE 320;CULVER CITY CA 90232-2462;USA</t>
  </si>
  <si>
    <t>Entertainment Data Analytics</t>
  </si>
  <si>
    <t>Predictive Analytics, Content Forecasting, Creative Testing, Market Intelligence</t>
  </si>
  <si>
    <t>Business Interiors of Texas Inc</t>
  </si>
  <si>
    <t>4350 OCEAN DR;STE 405;CORPUS CHRISTI TX 78412-2593;USA</t>
  </si>
  <si>
    <t>DigiCert, Inc.</t>
  </si>
  <si>
    <t>2801 N Thanksgiving Way;#500;Lehi UT 84043-5296;USA</t>
  </si>
  <si>
    <t>Digital Certificate Authority (PKI)</t>
  </si>
  <si>
    <t>TLS/SSL Certificates, PKI Solutions, IoT Security, Code Signing, DNS Management</t>
  </si>
  <si>
    <t>Jeffrey Johnson</t>
  </si>
  <si>
    <t>44 W Broadway;Apt 1901;Salt Lake City UT 84101-3220;USA</t>
  </si>
  <si>
    <t>Consulting, Contracting Services</t>
  </si>
  <si>
    <t>Tony and Marsha Investments LLC</t>
  </si>
  <si>
    <t>8901 153rd St;Wolfforth TX 79382-4305;USA</t>
  </si>
  <si>
    <t>Moodys Investors Service</t>
  </si>
  <si>
    <t>PO Box 102597;Atlanta GA 30368 2597;USA</t>
  </si>
  <si>
    <t>Credit Rating &amp; Risk Analytics</t>
  </si>
  <si>
    <t>Credit Ratings, Risk Assessment, Financial Research, Economic Analysis</t>
  </si>
  <si>
    <t>ScreenBroldery, LLC DBA Thumbprint</t>
  </si>
  <si>
    <t>15255 ENDEAVOR DR;NOBLESVILLE IN 46060-4909;USA</t>
  </si>
  <si>
    <t>Custom Screen Printing &amp; Embroidery</t>
  </si>
  <si>
    <t>Screen Printing, Embroidery, Promotional Products, Custom Apparel</t>
  </si>
  <si>
    <t>One Source Technology, LLC</t>
  </si>
  <si>
    <t>1801 W Olympic Blvd;File 2418;Pasadena CA 91199-0001;USA</t>
  </si>
  <si>
    <t>IT Solutions &amp; Managed Services</t>
  </si>
  <si>
    <t>Managed IT, Cloud Services, Cybersecurity, Help Desk Support</t>
  </si>
  <si>
    <t>000615</t>
  </si>
  <si>
    <t>Marsh Canada LTD</t>
  </si>
  <si>
    <t>Commercial Insurance, Risk Advisory, Employee Benefits, Claims Management</t>
  </si>
  <si>
    <t>Trafford Commerce Center Inc.</t>
  </si>
  <si>
    <t>1000 Commerce Cir;Trafford PA 15085-2411;USA</t>
  </si>
  <si>
    <t>Real Estate, Industrial Property, Business Park, Warehousing</t>
  </si>
  <si>
    <t>Pitney Bowes</t>
  </si>
  <si>
    <t>PO Box 371874;Pittsburgh PA 15250 7874;USA</t>
  </si>
  <si>
    <t>Mailing, Shipping &amp; Financial Services</t>
  </si>
  <si>
    <t>Postage Meters, Shipping Software, Parcel Delivery, E-Commerce Solutions, Data Management</t>
  </si>
  <si>
    <t>Scott Logistics LLC</t>
  </si>
  <si>
    <t>209 W Arthur St;Farber MO 63345 1106;USA</t>
  </si>
  <si>
    <t>Freight Brokerage, Logistics, Transportation Management</t>
  </si>
  <si>
    <t>Power Kleen Corp</t>
  </si>
  <si>
    <t>101 S Bayview Blvd;Oldsmar FL 34677 3101;USA</t>
  </si>
  <si>
    <t>Industrial Cleaning Services</t>
  </si>
  <si>
    <t>Pressure Washing, Industrial Cleaning, Fleet Cleaning, Surface Preparation</t>
  </si>
  <si>
    <t>Sapiens Development</t>
  </si>
  <si>
    <t>201 W 5th St;Suite 1100;Austin TX 78701-2983;USA</t>
  </si>
  <si>
    <t>Insurance Software Solutions</t>
  </si>
  <si>
    <t>Insurance Policy Administration, Claims Management, Digital Transformation</t>
  </si>
  <si>
    <t>Primelis US Inc</t>
  </si>
  <si>
    <t>1180 Ave of the Americas;New York NY 10036;USA</t>
  </si>
  <si>
    <t>Digital Marketing &amp; SEO Agency</t>
  </si>
  <si>
    <t>SEO, Paid Media, Data Analytics, Retail Media, Organic Search, Performance Marketing, AI-Powered Optimization</t>
  </si>
  <si>
    <t>EAN Services LLC</t>
  </si>
  <si>
    <t>PO Box 840173;Kansas City MO 64184-0173;USA</t>
  </si>
  <si>
    <t>Vehicle Rental &amp; Fleet Management</t>
  </si>
  <si>
    <t>Car Rental, Truck Rental, Fleet Leasing, Vehicle Remarketing</t>
  </si>
  <si>
    <t>MCCS</t>
  </si>
  <si>
    <t>SEMPER FI EXCHANGE SVCS;PO Box 277160;ATLANTA GA 30384-0001;USA</t>
  </si>
  <si>
    <t>Marine Corps Community Services</t>
  </si>
  <si>
    <t>Military Retail, Dining, Recreation, Lodging, Fitness</t>
  </si>
  <si>
    <t>SrinSoft Inc</t>
  </si>
  <si>
    <t>11 Broadway;Ste 332;New York NY 10004-1397;USA</t>
  </si>
  <si>
    <t>IT Consulting &amp; Software Development</t>
  </si>
  <si>
    <t>Software Development, Cloud Services, Data Analytics, IT Staffing, QA Testing</t>
  </si>
  <si>
    <t>Centerline Drivers LLC</t>
  </si>
  <si>
    <t>1600 E 4TH ST;STE 340;SANTA ANA CA 92701-5100;USA</t>
  </si>
  <si>
    <t>RayDot Properties LLC</t>
  </si>
  <si>
    <t>6601 N Sheridan St;Wichita KS 67204-6601;USA</t>
  </si>
  <si>
    <t>BBI Logistics, LLC</t>
  </si>
  <si>
    <t>PO Box 970;Columbus OH 43216;USA</t>
  </si>
  <si>
    <t>Truckload Shipping, LTL, Carrier Network, Transportation Management</t>
  </si>
  <si>
    <t>Inner Parish Security Corporation</t>
  </si>
  <si>
    <t>43222 Pecan Ridge Dr;Hammond LA 70403;USA</t>
  </si>
  <si>
    <t>Commercial Security Services</t>
  </si>
  <si>
    <t>Armed &amp; Unarmed Guards, Alarm Systems, Video Surveillance, Fire Systems, Loss Prevention, Patrol Services</t>
  </si>
  <si>
    <t>FLEET MOBILE SERVICE, INC</t>
  </si>
  <si>
    <t>PO BOX 26;Attica MI 48412;USA</t>
  </si>
  <si>
    <t>On-Site Truck Repair, Preventive Maintenance, Fleet Service, Emergency Repairs</t>
  </si>
  <si>
    <t>City of Lakeland</t>
  </si>
  <si>
    <t>228 S MASSACHUSETTS AVE;LAKELAND FL 33801-5012;USA</t>
  </si>
  <si>
    <t>Municipal Real Estate, Property</t>
  </si>
  <si>
    <t>Commercial Properties Associates,</t>
  </si>
  <si>
    <t>26565 Miles Rd;Ste 200;Warrensville Heights OH 44128-5995;USA</t>
  </si>
  <si>
    <t>Real Estate, Property Management, Office/Retail Space</t>
  </si>
  <si>
    <t>Leonora Polonsky &amp; Associates, LLC</t>
  </si>
  <si>
    <t>2615 Seychelles Circle ;Unit 1702;Naples FL 34112;USA</t>
  </si>
  <si>
    <t>Consulting Services</t>
  </si>
  <si>
    <t>Business Consulting, Advisory Services, Strategic Planning</t>
  </si>
  <si>
    <t>MHC Kenworth Little Rock</t>
  </si>
  <si>
    <t>PO Box 879269;Kansas City MO 64187-9269;USA</t>
  </si>
  <si>
    <t>Truck Sales &amp; Service (Kenworth)</t>
  </si>
  <si>
    <t>New &amp; Used Trucks, Parts, Service, Leasing, Fleet Solutions</t>
  </si>
  <si>
    <t>Sommers Construction LLC</t>
  </si>
  <si>
    <t>PO Box 950;Evans GA 30809;USA</t>
  </si>
  <si>
    <t>Commercial Construction, Residential Construction, Renovation, Project Management</t>
  </si>
  <si>
    <t>Pro Reit Acquisitions (I) LP.</t>
  </si>
  <si>
    <t>Suite 290, 3 Spectacle Lake Drive;Dartmouth NS B3B 1W8;CAN</t>
  </si>
  <si>
    <t>CanFam, LLC</t>
  </si>
  <si>
    <t>402 W 9th St;Sioux Falls SD 57104-3602;USA</t>
  </si>
  <si>
    <t>Teamster Local No 671 - Health Insurance Medical</t>
  </si>
  <si>
    <t>18 BRITTON DR;BLOOMFIELD CT 06002-3617;USA</t>
  </si>
  <si>
    <t>Health Insurance, Medical Benefits, Employee Health Plans</t>
  </si>
  <si>
    <t>Druid City Properties LLC</t>
  </si>
  <si>
    <t>1901 8th Ave;Tuscaloosa AL 35401-4818;USA</t>
  </si>
  <si>
    <t>Virginia Storage Services LLC</t>
  </si>
  <si>
    <t>PO Box 3103;Winchester VA 22604-2303;USA</t>
  </si>
  <si>
    <t>Storage Units, Climate-Controlled Storage, Vehicle Storage, Moving Supplies</t>
  </si>
  <si>
    <t>Farmers Warehouse Inc.-Roanoke</t>
  </si>
  <si>
    <t>PO Box 613;Abingdon VA 24212-0613;USA</t>
  </si>
  <si>
    <t>Real Estate, Warehouse Space, Property Management</t>
  </si>
  <si>
    <t>Storage Squares</t>
  </si>
  <si>
    <t>25660 S ROUTE 45;MONEE IL 60449-9847;USA</t>
  </si>
  <si>
    <t>Storage Units, Vehicle Storage, Climate-Controlled Storage</t>
  </si>
  <si>
    <t>RetailMeNot, Inc.</t>
  </si>
  <si>
    <t>360 PARK AVE S;17th Floor;NEW YORK NY 10010-1710;USA</t>
  </si>
  <si>
    <t>Digital Coupon &amp; Deals Platform</t>
  </si>
  <si>
    <t>Digital Coupons, Cashback Offers, Brand Promotions, Retail Deals</t>
  </si>
  <si>
    <t>Planview Delaware, LLC</t>
  </si>
  <si>
    <t>PO Box 204869;Dallas TX 75320-4869;USA</t>
  </si>
  <si>
    <t>Project &amp; Portfolio Management Software</t>
  </si>
  <si>
    <t>Project Portfolio Management, Resource Management, Strategic Planning, Agile Work Management, Roadmapping</t>
  </si>
  <si>
    <t>SFS Properties LLC</t>
  </si>
  <si>
    <t>18798 E State HWY 10;Danville AR 72833;USA</t>
  </si>
  <si>
    <t>Haus Analytics, Inc</t>
  </si>
  <si>
    <t>246 Hamilton Ave;Mountain View CA 94043;USA</t>
  </si>
  <si>
    <t>Marketing Science &amp; Analytics Platform</t>
  </si>
  <si>
    <t>Marketing Measurement, Geo-Experimentation, Causal Attribution, Incrementality Testing</t>
  </si>
  <si>
    <t>Ellen Breaux Morris; Trustee</t>
  </si>
  <si>
    <t>PO Box 42075;Austin TX 78704-0035;USA</t>
  </si>
  <si>
    <t>Optilogic, Inc</t>
  </si>
  <si>
    <t>309 S Main St.;Ann Arbor MI 48104;USA</t>
  </si>
  <si>
    <t>Supply Chain Design &amp; Optimization</t>
  </si>
  <si>
    <t>Network Design, Simulation, AI-Powered Analytics, Scenario Modeling</t>
  </si>
  <si>
    <t>Nathan Smith dba Wrappit Wraps LLC</t>
  </si>
  <si>
    <t>306 Laurel Oaks Way;Jupiter FL 33458;USA</t>
  </si>
  <si>
    <t>Vehicle Wraps &amp; Graphics</t>
  </si>
  <si>
    <t>Vehicle Wraps, Fleet Graphics, Commercial Signage, Vinyl Graphics</t>
  </si>
  <si>
    <t>Lonestar Forklift 2017 USA, Inc</t>
  </si>
  <si>
    <t>4213 FOREST LN;GARLAND TX 75042-6820;USA</t>
  </si>
  <si>
    <t>Forklift Sales &amp; Service, Parts, Rental, Fleet Management</t>
  </si>
  <si>
    <t>Standard &amp; Poors Financial</t>
  </si>
  <si>
    <t>SERVICES LLC;2542 COLLECTION CENTER DR;Chicago IL 60693;USA</t>
  </si>
  <si>
    <t>Credit Ratings &amp; Financial Analytics</t>
  </si>
  <si>
    <t>Credit Ratings, Market Intelligence, Index Services, Risk Analytics, Financial Data, ESG Ratings</t>
  </si>
  <si>
    <t>Tenstreet, LLC</t>
  </si>
  <si>
    <t>120 W 3rd Street;Suite 101;Tulsa OK 74103;USA</t>
  </si>
  <si>
    <t>Driver Recruiting &amp; Onboarding Software</t>
  </si>
  <si>
    <t>Driver Application Processing, Recruiting Automation, Compliance, Background Checks, CDL Recruiting</t>
  </si>
  <si>
    <t>Corcentric, LLC</t>
  </si>
  <si>
    <t>62861 COLLECTIONS CENTER DRIVE;CHICAGO IL 60693-0001;USA</t>
  </si>
  <si>
    <t>B2B Procurement &amp; AP Automation</t>
  </si>
  <si>
    <t>Source-to-Pay, Accounts Payable, Spend Analytics, Payment Processing</t>
  </si>
  <si>
    <t>Hercules Sealing Products Inc.</t>
  </si>
  <si>
    <t>PO Box 736286;Dallas TX 75373-6286;USA</t>
  </si>
  <si>
    <t>Hydraulic Seal &amp; Cylinder Parts</t>
  </si>
  <si>
    <t>Hydraulic Seals, Seal Kits, Cylinder Repair Parts, Custom Machined Seals, O-Rings</t>
  </si>
  <si>
    <t>Modern Group LTD</t>
  </si>
  <si>
    <t>PO Box 216;Bridgeport CT 06601;USA</t>
  </si>
  <si>
    <t>Material Handling &amp; Construction Equipment</t>
  </si>
  <si>
    <t>Forklift Sales &amp; Service, Crane Rental, Construction Equipment, Parts</t>
  </si>
  <si>
    <t>Expeditors International</t>
  </si>
  <si>
    <t>2544 E Landstreet Rd;Ste 100;Ste 2;Orlando FL 32824-7931;USA</t>
  </si>
  <si>
    <t>Global Freight Forwarding &amp; Logistics</t>
  </si>
  <si>
    <t>Air Freight, Ocean Freight, Customs Brokerage, Supply Chain Solutions, Warehousing</t>
  </si>
  <si>
    <t>Triner Scale &amp; Mfg Co, Inc</t>
  </si>
  <si>
    <t>8411 Hacks Cross Road;Olive Branch MS 38654;USA</t>
  </si>
  <si>
    <t>Scale &amp; Measurement Equipment</t>
  </si>
  <si>
    <t>Industrial Scales, Laboratory Balances, Precision Weighing, Calibration, Mechanical Scales</t>
  </si>
  <si>
    <t>Sealy Slack Industrial, LLC</t>
  </si>
  <si>
    <t>333 Texas Street;Suite 1050;Shreveport LA 71107;USA</t>
  </si>
  <si>
    <t>Industrial Construction &amp; Maintenance</t>
  </si>
  <si>
    <t>Industrial Maintenance, Fabrication, Electrical, Instrumentation, Turnaround Services</t>
  </si>
  <si>
    <t>Fisher &amp; Phillips LLP</t>
  </si>
  <si>
    <t>1200 Abernathy Road Ste 950;Atlanta GA 30328;USA</t>
  </si>
  <si>
    <t>Law Firm - Employment &amp; Labor</t>
  </si>
  <si>
    <t>Employment Litigation, Labor Relations, Workplace Safety, Wage &amp; Hour Compliance</t>
  </si>
  <si>
    <t>HMSA-Hawaii Medical Serv Assoc</t>
  </si>
  <si>
    <t>PO Box 29810;Honolulu HI 96820-2210;USA</t>
  </si>
  <si>
    <t>Health Insurance Services</t>
  </si>
  <si>
    <t>Health Plans, Medical Insurance, Dental &amp; Vision, Pharmacy Benefits, Wellness Programs</t>
  </si>
  <si>
    <t>Gwendolyn G Edwards</t>
  </si>
  <si>
    <t>643 Mountain View Drive;Lewiston NY 14092;USA</t>
  </si>
  <si>
    <t>Individual Contractor</t>
  </si>
  <si>
    <t>Contractor Services</t>
  </si>
  <si>
    <t>Ryan Transportation Services</t>
  </si>
  <si>
    <t>9300 Metcalf Avenue;Overland Park KS 66212;USA</t>
  </si>
  <si>
    <t>Freight &amp; Transportation Services</t>
  </si>
  <si>
    <t>Trucking, Freight Brokerage, Transportation Management</t>
  </si>
  <si>
    <t>Daimler Truck Financial Services USA, LLC</t>
  </si>
  <si>
    <t>PO Box 4161;Carol Stream IL 60197;USA</t>
  </si>
  <si>
    <t>Commercial Truck Financing</t>
  </si>
  <si>
    <t>Truck Leasing, Fleet Insurance, EV Solutions, Dynamic Financing</t>
  </si>
  <si>
    <t>Mechanical Services Unlimited LLC</t>
  </si>
  <si>
    <t>962 Industrial Blvd N;Dallas GA 30132-2456;USA</t>
  </si>
  <si>
    <t>Mechanical Contracting</t>
  </si>
  <si>
    <t>HVAC, Plumbing, Mechanical Repair, Preventive Maintenance</t>
  </si>
  <si>
    <t>Carolina Industrial Trucks</t>
  </si>
  <si>
    <t>PO Box 411391;Charlotte NC 28241;USA</t>
  </si>
  <si>
    <t>Wastewater Services</t>
  </si>
  <si>
    <t>Septic Services, Grease Trap Cleaning, Wastewater Management</t>
  </si>
  <si>
    <t>Dynamic Development LLC</t>
  </si>
  <si>
    <t>318 West Carroll Street;Floor 2;Salisbury MD 21801;USA</t>
  </si>
  <si>
    <t>Andrea Rahal</t>
  </si>
  <si>
    <t>506 Maple Ave;Richmond VA 23226-2646;USA</t>
  </si>
  <si>
    <t>HRP Partners LLC</t>
  </si>
  <si>
    <t>1 WORLD TRADE CTR;FL 68;NEW YORK NY 10007-0042;USA</t>
  </si>
  <si>
    <t>Advertising &amp; Media Services</t>
  </si>
  <si>
    <t>Media Representation, Public Relations, Advertising Strategy</t>
  </si>
  <si>
    <t>Trustmark Voluntary Benefit Sol,</t>
  </si>
  <si>
    <t>75 Remittance Drive;Suite 1791;Chicago IL 60675;USA</t>
  </si>
  <si>
    <t>Supplemental Health Insurance, Critical Illness, Accident Insurance, Life Insurance</t>
  </si>
  <si>
    <t>Thompson Tractor Co., Inc.</t>
  </si>
  <si>
    <t>PO Box 746941;Atlanta GA 30374;USA</t>
  </si>
  <si>
    <t>Caterpillar Equipment, Parts, Service, Rental, Compact Equipment, Power Systems</t>
  </si>
  <si>
    <t>Medius Software, Inc.</t>
  </si>
  <si>
    <t>900 Third Ave 17th Floor;New York NY 10022;USA</t>
  </si>
  <si>
    <t>AP Automation &amp; Spend Management Software</t>
  </si>
  <si>
    <t>Invoice Processing, Payment Automation, Procurement, Expense Management, Fraud Detection</t>
  </si>
  <si>
    <t>Formlogic Ltd.</t>
  </si>
  <si>
    <t>HaArba'a St. 30;6473926 Tel Aviv;ISR</t>
  </si>
  <si>
    <t>AI-Powered Precision Manufacturing</t>
  </si>
  <si>
    <t>CNC Machining, Rapid Prototyping, Precision Parts, Aerospace &amp; Defense Manufacturing</t>
  </si>
  <si>
    <t>Foust Family Limited Partnership</t>
  </si>
  <si>
    <t>PO Box 3103;Evans GA 30809;USA</t>
  </si>
  <si>
    <t>Sunbelt Rentals</t>
  </si>
  <si>
    <t>PO Box 409211;Atlanta GA 30384 9211;USA</t>
  </si>
  <si>
    <t>Equipment Rental Services</t>
  </si>
  <si>
    <t>Equipment Rental, Tool Rental, Aerial Lifts, Earthmoving, Power &amp; HVAC, Scaffolding</t>
  </si>
  <si>
    <t>Ridge Business Development LLC</t>
  </si>
  <si>
    <t>7438 Heather Ave SE;Snoqualmie WA 98065 9739;USA</t>
  </si>
  <si>
    <t>Business Development Consulting</t>
  </si>
  <si>
    <t>Business Strategy, Market Development, Growth Consulting</t>
  </si>
  <si>
    <t>Harness Inc.</t>
  </si>
  <si>
    <t>55 STOCKTON ST;FL 8;SAN FRANCISCO CA 94108-5829;USA</t>
  </si>
  <si>
    <t>Software Delivery &amp; DevOps Platform</t>
  </si>
  <si>
    <t>CI/CD, Feature Flags, Cloud Cost Management, Security Testing, Chaos Engineering</t>
  </si>
  <si>
    <t>GL Sayre Inc.</t>
  </si>
  <si>
    <t>120 Industrial Way;Conshohocken PA 19428;USA</t>
  </si>
  <si>
    <t>Electrical Contracting</t>
  </si>
  <si>
    <t>Electrical Installation, Industrial Wiring, Maintenance, Power Systems</t>
  </si>
  <si>
    <t>Content Square Inc</t>
  </si>
  <si>
    <t>60 HUDSON ST;NEW YORK NY 10013-3315;USA</t>
  </si>
  <si>
    <t>Digital Experience Analytics</t>
  </si>
  <si>
    <t>AI-Powered Insights, Session Replay, Heatmaps, Product Analytics</t>
  </si>
  <si>
    <t>Dunlap Bennett &amp; Ludwig</t>
  </si>
  <si>
    <t>211 Church St SE;Leesburg VA 20175-3034;USA</t>
  </si>
  <si>
    <t>Law Firm</t>
  </si>
  <si>
    <t>Intellectual Property, Business Law, Litigation, Technology Law</t>
  </si>
  <si>
    <t>Sun State International Trucks LLC</t>
  </si>
  <si>
    <t>6020 E ADAMO DR;TAMPA FL 33619-3404;USA</t>
  </si>
  <si>
    <t>International Trucks, Parts, Service, Truck Leasing, Used Trucks</t>
  </si>
  <si>
    <t>Lift-All Company, Inc</t>
  </si>
  <si>
    <t>1909 McFarland Dr;Landisville PA 17538;USA</t>
  </si>
  <si>
    <t>Lifting &amp; Rigging Equipment</t>
  </si>
  <si>
    <t>Slings, Rigging Hardware, Tie-Downs, Cargo Control, Custom Fabrication</t>
  </si>
  <si>
    <t>Higher Oak Consulting Limited</t>
  </si>
  <si>
    <t>76A Moray Road;London NR7 7BH;GBR</t>
  </si>
  <si>
    <t>Strategy Consulting, Business Advisory, Organizational Development</t>
  </si>
  <si>
    <t>ID Associates, Inc.</t>
  </si>
  <si>
    <t>PO Box 8068;Dothan AL 36304-0068;USA</t>
  </si>
  <si>
    <t>Industrial Equipment &amp; Services</t>
  </si>
  <si>
    <t>Industrial Equipment, Parts, Service, Maintenance, Installation</t>
  </si>
  <si>
    <t>A&amp;F Diesel</t>
  </si>
  <si>
    <t>11322 Four Iron Way;San Antonio TX 78221;USA</t>
  </si>
  <si>
    <t>Diesel Repair Services</t>
  </si>
  <si>
    <t>Truck Repair, Fleet Maintenance, Diesel Engine Service</t>
  </si>
  <si>
    <t>Farmers Warehouse Inc.-JC</t>
  </si>
  <si>
    <t>HireRight LLC</t>
  </si>
  <si>
    <t>PO Box 847891;Dallas TX 75284-7891;USA</t>
  </si>
  <si>
    <t>Background Screening &amp; Verification</t>
  </si>
  <si>
    <t>Criminal Background Checks, Drug Testing, Employment Verification, I-9/E-Verify, Identity Checks</t>
  </si>
  <si>
    <t>Williams Scotsman Inc.</t>
  </si>
  <si>
    <t>PO Box 91975;Chicago IL 60693;USA</t>
  </si>
  <si>
    <t>Modular Buildings &amp; Storage</t>
  </si>
  <si>
    <t>Modular Buildings, Portable Storage, Mobile Offices, Modular Space Solutions</t>
  </si>
  <si>
    <t>Plote Properties LLC</t>
  </si>
  <si>
    <t>1141 E MAIN ST;STE 100;EAST DUNDEE IL 60118-2440;USA</t>
  </si>
  <si>
    <t>Catherine Associates</t>
  </si>
  <si>
    <t>1055 St. Charles Avenue;Ste. 701;New Orleans LA 70130;USA</t>
  </si>
  <si>
    <t>Quarry Operations, Real Estate</t>
  </si>
  <si>
    <t>Amsoes Bia</t>
  </si>
  <si>
    <t>5555 Anglers Ave ;Suite 27;Ft Lauderdale FL 33312;USA</t>
  </si>
  <si>
    <t>BrightEdge Technologies Inc.</t>
  </si>
  <si>
    <t>DEPT CH 17960;Palatine IL 60055;USA</t>
  </si>
  <si>
    <t>Enterprise SEO Platform</t>
  </si>
  <si>
    <t>AI-Powered SEO, Content Optimization, Competitive Analysis, Keyword Research</t>
  </si>
  <si>
    <t>Clear Link Technologies, LLC</t>
  </si>
  <si>
    <t>5220 W Douglas Corrigan Way;Ste 300;Salt Lake City UT 84116-3191;USA</t>
  </si>
  <si>
    <t>Digital Marketing &amp; Sales Platform</t>
  </si>
  <si>
    <t>Performance Marketing, Customer Acquisition, Consumer Comparison Tools</t>
  </si>
  <si>
    <t>The Peterbilt Store Hagerstown</t>
  </si>
  <si>
    <t>5100 Holabird Ave;Baltimore MD 21224-6008;USA</t>
  </si>
  <si>
    <t>Peterbilt Trucks, Parts, Service, Used Trucks, Truck Leasing</t>
  </si>
  <si>
    <t>Superior Protection Professionals</t>
  </si>
  <si>
    <t>664 HUGO DR;TOMS RIVER NJ 08753-4389;USA</t>
  </si>
  <si>
    <t>Armed &amp; Unarmed Guards, Patrol Services, Executive Protection, Event Security</t>
  </si>
  <si>
    <t>S.A. White Oil Company, Inc.</t>
  </si>
  <si>
    <t>PO Box 1057;Marietta GA 30061-1057;USA</t>
  </si>
  <si>
    <t>Petroleum &amp; Oil Distribution</t>
  </si>
  <si>
    <t>Fuel Delivery, Lubricants, Petroleum Products</t>
  </si>
  <si>
    <t>Grainger</t>
  </si>
  <si>
    <t>Dept 846135630;PO Box 419267;Kansas City MO 64141;USA</t>
  </si>
  <si>
    <t>Industrial Supply &amp; MRO Distribution</t>
  </si>
  <si>
    <t>Safety Products, Fasteners, Power Tools, Lighting, Material Handling, Electrical Supplies</t>
  </si>
  <si>
    <t>000987</t>
  </si>
  <si>
    <t>Lift North America, Inc.</t>
  </si>
  <si>
    <t>6180 Ordan Dr;Mississauga ON L5T 2B3;CAN</t>
  </si>
  <si>
    <t>Forklift Sales &amp; Rental, Parts, Service, Warehouse Equipment</t>
  </si>
  <si>
    <t>Troys Towing LLC</t>
  </si>
  <si>
    <t>961 KENNY JORDAN RD;TABOR CITY NC 28463-7391;USA</t>
  </si>
  <si>
    <t>Towing &amp; Recovery Services</t>
  </si>
  <si>
    <t>Vehicle Towing, Roadside Assistance, Accident Recovery</t>
  </si>
  <si>
    <t>Areit Operating Partnership LP</t>
  </si>
  <si>
    <t>1200 17TH ST;STE 2900;DENVER CO 80202-5835;USA</t>
  </si>
  <si>
    <t>RBG Lonestar Partners, LLC</t>
  </si>
  <si>
    <t>12650 N. Beach St.;Fort Worth TX 76244;USA</t>
  </si>
  <si>
    <t>Canteen Refreshment Services</t>
  </si>
  <si>
    <t>PO Box 50196;Los Angeles CA 90074 0196;USA</t>
  </si>
  <si>
    <t>CD Automotive Enterprises Inc</t>
  </si>
  <si>
    <t>Automotive Services</t>
  </si>
  <si>
    <t>Auto Service, Vehicle Maintenance, Fleet Services</t>
  </si>
  <si>
    <t>Key Trucking</t>
  </si>
  <si>
    <t>PO Box 88026;Seattle WA 98138 2026;USA</t>
  </si>
  <si>
    <t>Trucking &amp; Freight Services</t>
  </si>
  <si>
    <t>Truckload Shipping, Logistics, Delivery Services</t>
  </si>
  <si>
    <t>Hollweg Assessment Partners LLC</t>
  </si>
  <si>
    <t>1341 W MOCKINGBIRD LN;West Tower, Suite 700W;DALLAS TX 75247-6913;USA</t>
  </si>
  <si>
    <t>Talent Assessment &amp; Development</t>
  </si>
  <si>
    <t>Executive Assessment, Leadership Development, 360° Surveys, Succession Planning, Pre-Employment Testing</t>
  </si>
  <si>
    <t>Nielsen Merksamer Parrinello Gross</t>
  </si>
  <si>
    <t>1415 L St Ste 1200;Sacramento CA 95814;USA</t>
  </si>
  <si>
    <t>Law Firm - Political &amp; Government</t>
  </si>
  <si>
    <t>Election Law, Political Compliance, Government Relations, Ballot Measures</t>
  </si>
  <si>
    <t>Medallia, Inc.</t>
  </si>
  <si>
    <t>6220 Stoneridge Mall Rd;Floor 2;Pleasanton CA 94588;USA</t>
  </si>
  <si>
    <t>Customer &amp; Employee Experience Platform</t>
  </si>
  <si>
    <t>AI-Powered Feedback, Survey Management, Text Analytics, Digital Experience, Contact Center Intelligence</t>
  </si>
  <si>
    <t>Alison Kendall</t>
  </si>
  <si>
    <t>1440 Middle Gulf Dr;Unit 1A;Sanibel FL 33957-6513;USA</t>
  </si>
  <si>
    <t>US Federal Contractor Registration, Inc.</t>
  </si>
  <si>
    <t>15950 BAY VISTA DR;STE 250;CLEARWATER FL 33760-3115;USA</t>
  </si>
  <si>
    <t>Government Contractor Registration Services</t>
  </si>
  <si>
    <t>SAM Registration, Government Bid Matching, Contract Consulting, Compliance, SBA Assistance</t>
  </si>
  <si>
    <t>Pacific States Petroleum, Inc.</t>
  </si>
  <si>
    <t>2278 Pike Ct;Suite A;Concord CA 94520-8594;USA</t>
  </si>
  <si>
    <t>On-Site Fuel Delivery Services</t>
  </si>
  <si>
    <t>Diesel Delivery, Renewable Diesel, Propane, Lubricants, Fleet Fuel Cards, Mobile Fuel Tanks</t>
  </si>
  <si>
    <t>Sanderson Concrete, LLC</t>
  </si>
  <si>
    <t>629 S MINNESOTA AVE;Ste 104;SIOUX FALLS SD 57104-4874;USA</t>
  </si>
  <si>
    <t>Concrete &amp; Construction Services</t>
  </si>
  <si>
    <t>Concrete Pouring, Flatwork, Foundation, Demolition</t>
  </si>
  <si>
    <t>Scott Transportation</t>
  </si>
  <si>
    <t>209 W Arthur St;PO Box 27;Farber MO 63345;USA</t>
  </si>
  <si>
    <t>Trucking, Freight, Delivery Services</t>
  </si>
  <si>
    <t>BIP Reilly Property LLC</t>
  </si>
  <si>
    <t>1030 W Chicago Ave;Suite 300;Chicago IL 60642-5671;USA</t>
  </si>
  <si>
    <t>IT Resources Corp</t>
  </si>
  <si>
    <t>4025 Tampa Rd;Ste 1109;Oldsmar FL 34677-3213;USA</t>
  </si>
  <si>
    <t>IT Staffing &amp; Consulting</t>
  </si>
  <si>
    <t>IT Staffing, Contract-to-Hire, Project Management, Technology Consulting</t>
  </si>
  <si>
    <t>Anne B Shahan</t>
  </si>
  <si>
    <t>PO Box 2807;San Angelo TX 76902-2807;USA</t>
  </si>
  <si>
    <t>The Earnest Analytics Company</t>
  </si>
  <si>
    <t>43 West 24th Street;5th Floor;New York NY 10010;USA</t>
  </si>
  <si>
    <t>Consumer Spending Analytics</t>
  </si>
  <si>
    <t>Consumer Spending Data, Market Intelligence, Competitive Intelligence, Transaction Analytics</t>
  </si>
  <si>
    <t>Cool Aid AC</t>
  </si>
  <si>
    <t>2517 Krueger Lane;Tampa FL 33618;USA</t>
  </si>
  <si>
    <t>HVAC Services</t>
  </si>
  <si>
    <t>Air Conditioning Repair, Heating, Ventilation Systems</t>
  </si>
  <si>
    <t>John Perkins Industries Inc.</t>
  </si>
  <si>
    <t>PO Box 8372;Greenville SC 29604;USA</t>
  </si>
  <si>
    <t>JLB NETA LLC</t>
  </si>
  <si>
    <t>62 Derby Street;STE 3;Hingham MA 02043;USA</t>
  </si>
  <si>
    <t>Select Equipment Sales, Inc.</t>
  </si>
  <si>
    <t>6911 8th Street;Buena Park CA 90620;USA</t>
  </si>
  <si>
    <t>Industrial Equipment Sales</t>
  </si>
  <si>
    <t>Material Handling Equipment, Forklifts, Aerial Lifts, Parts &amp; Service</t>
  </si>
  <si>
    <t>Rosendo Zamudio</t>
  </si>
  <si>
    <t>6320 S Lawler Ave;Chicago IL 60638-5727;USA</t>
  </si>
  <si>
    <t>Independent Contractor/Consultant</t>
  </si>
  <si>
    <t>Teamster Local Union No 671 - Dues Fees</t>
  </si>
  <si>
    <t>22 BRITTON DR;BLOOMFIELD CT 06002-3617;USA</t>
  </si>
  <si>
    <t>Labor Union Services</t>
  </si>
  <si>
    <t>Union Representation, Labor Relations, Dues Administration, Collective Bargaining</t>
  </si>
  <si>
    <t>ADESA Auctions Canada dba ADESA Calgary</t>
  </si>
  <si>
    <t>1621 Veterans Blvd;Airdrie AB T4A 2G7;CAN</t>
  </si>
  <si>
    <t>Vehicle Auction Services</t>
  </si>
  <si>
    <t>Auto Auctions, Fleet Remarketing, Vehicle Sales</t>
  </si>
  <si>
    <t>Metlife</t>
  </si>
  <si>
    <t>PO Box 360229;Pittsburgh PA 15251;USA</t>
  </si>
  <si>
    <t>Life Insurance, Dental Insurance, Vision, Disability, Group Benefits, Retirement</t>
  </si>
  <si>
    <t>2849933 Ontario Inc.</t>
  </si>
  <si>
    <t>5 Coronation Circle;Brampton ON L6Z 3Z6;CAN</t>
  </si>
  <si>
    <t>Atlanta ForkLifts</t>
  </si>
  <si>
    <t>PO Box 1177;Live Oak FL 32064;USA</t>
  </si>
  <si>
    <t>Forklift Sales &amp; Service</t>
  </si>
  <si>
    <t>Material Handling, Equipment Rental, Parts &amp; Service</t>
  </si>
  <si>
    <t>Yelp, Inc.</t>
  </si>
  <si>
    <t>PO Box 204393;Dallas TX 75320-4393;USA</t>
  </si>
  <si>
    <t>Online Business Directory &amp; Advertising</t>
  </si>
  <si>
    <t>Business Listings, Online Reviews, Advertising, Local Search, Yelp Ads, Restaurant Reservations</t>
  </si>
  <si>
    <t>Neon Logistics LLC</t>
  </si>
  <si>
    <t>6900 E CAMELBACK RD;STE 700;SCOTTSDALE AZ 85251-2431;USA</t>
  </si>
  <si>
    <t>Truckload Shipping, LTL, Expedited Freight, Supply Chain Solutions</t>
  </si>
  <si>
    <t>Lighting Expertise and Design Ser</t>
  </si>
  <si>
    <t>1000 N ST;# 365;LOUISE TX 77455-9800;USA</t>
  </si>
  <si>
    <t>Electrical Services</t>
  </si>
  <si>
    <t>Lighting Design &amp; Installation</t>
  </si>
  <si>
    <t>Commercial Lighting, LED Upgrades, Lighting Maintenance, Energy Efficiency</t>
  </si>
  <si>
    <t>Traject Reviews LLC</t>
  </si>
  <si>
    <t>1499 W 120TH AVE;STE 110;WESTMINSTER CO 80234-2751;USA</t>
  </si>
  <si>
    <t>Online Review Management</t>
  </si>
  <si>
    <t>Reputation Management, Review Monitoring, Review Generation, Local SEO</t>
  </si>
  <si>
    <t>Cost Control Associates, Inc.</t>
  </si>
  <si>
    <t>310 Bay Rd;Queensbury NY 12804-1400;USA</t>
  </si>
  <si>
    <t>Utility Bill Auditing &amp; Management</t>
  </si>
  <si>
    <t>Cost Recovery, Telecom Audit, Expense Reduction</t>
  </si>
  <si>
    <t>K &amp; T Transport LTD</t>
  </si>
  <si>
    <t>PO Box 389;Fort Fairfield ME 04742 0389;USA</t>
  </si>
  <si>
    <t>Truckload Shipping, Cross-Border Transport, Logistics</t>
  </si>
  <si>
    <t>SL Industrial, LP</t>
  </si>
  <si>
    <t>100 CRESCENT CT;STE 850;DALLAS TX 75201-6904;USA</t>
  </si>
  <si>
    <t>S and S Morris LLC</t>
  </si>
  <si>
    <t>171 POND CYPRESS RD;VENICE FL 34292-1749;USA</t>
  </si>
  <si>
    <t>Brainlabs Digital, Inc.</t>
  </si>
  <si>
    <t>501 North Morton Street;Suite 212;Bloomington IN 47404;USA</t>
  </si>
  <si>
    <t>Digital Marketing Agency</t>
  </si>
  <si>
    <t>Paid Media, SEO, Analytics, Performance Marketing, Influencer Marketing</t>
  </si>
  <si>
    <t>Melling Partners, LL</t>
  </si>
  <si>
    <t>1525 Dennison Rd;East Lansing MI 48823-2193;USA</t>
  </si>
  <si>
    <t>Cheetah Software Systems Inc.</t>
  </si>
  <si>
    <t>PO Box 936322;Atlanta GA 31193;USA</t>
  </si>
  <si>
    <t>Fire Protection Services</t>
  </si>
  <si>
    <t>Fire Sprinklers, Fire Alarms, Inspections, Maintenance</t>
  </si>
  <si>
    <t>Appcast Inc</t>
  </si>
  <si>
    <t>10 Water Street ;Suite 150;Lebanon NH 03766;USA</t>
  </si>
  <si>
    <t>Recruitment Marketing Platform</t>
  </si>
  <si>
    <t>Programmatic Job Advertising, Talent Acquisition Technology, Employer Branding</t>
  </si>
  <si>
    <t>Professional Drivers of Georgia,</t>
  </si>
  <si>
    <t>PO Box 102409;Atlanta GA 30368;USA</t>
  </si>
  <si>
    <t>Professional Driver Staffing Services</t>
  </si>
  <si>
    <t>CDL Driver Staffing, Temp Drivers, Dedicated Drivers, Fleet Staffing Solutions</t>
  </si>
  <si>
    <t>Cigniti Technologies, Inc.</t>
  </si>
  <si>
    <t>433 Las Colinas Blvd E;Ste 1300;Irving TX 75039-6290;USA</t>
  </si>
  <si>
    <t>Telecommunications &amp; Cable Services</t>
  </si>
  <si>
    <t>Internet, TV, Voice, Business Communications, Spectrum</t>
  </si>
  <si>
    <t>Samson Trucking Inc.</t>
  </si>
  <si>
    <t>87-161 Manuoioi Pl;Waianae HI 96792-3233;USA</t>
  </si>
  <si>
    <t>Trucking &amp; Transport Services</t>
  </si>
  <si>
    <t>Trucking, Freight Hauling, Local &amp; Long-Haul</t>
  </si>
  <si>
    <t>DAC Group Chicago Inc..</t>
  </si>
  <si>
    <t>444 North Michigan Avenue;Suite 1270;Chicago IL 60611;USA</t>
  </si>
  <si>
    <t>Digital Advertising Agency</t>
  </si>
  <si>
    <t>Paid Media, SEO, Social Media Marketing, Analytics</t>
  </si>
  <si>
    <t>Restraint Sales Inc</t>
  </si>
  <si>
    <t>ATTN: Sue;9806 TERRACE TRAIL LANE;Tampa FL 33637;USA</t>
  </si>
  <si>
    <t>Restraint &amp; Safety Equipment Sales</t>
  </si>
  <si>
    <t>Restraint Products, Safety Equipment, Vehicle Accessories</t>
  </si>
  <si>
    <t>Russo Propane Inc</t>
  </si>
  <si>
    <t>335 Perkinsville Rd;Highland NY 12528-2161;USA</t>
  </si>
  <si>
    <t>Propane Gas Distribution</t>
  </si>
  <si>
    <t>Propane Delivery, Tank Installation, Residential &amp; Commercial Propane</t>
  </si>
  <si>
    <t>Winson Park 520 West LLc</t>
  </si>
  <si>
    <t>5507 E Wishon Rd;Snohomish WA 98290;USA</t>
  </si>
  <si>
    <t>Rimini Street Inc.</t>
  </si>
  <si>
    <t>1700 S PAVILION CENTER DR;Suite 330;LAS VEGAS NV 89135-1859;USA</t>
  </si>
  <si>
    <t>Third-Party Enterprise Software Support</t>
  </si>
  <si>
    <t>SAP &amp; Oracle Support, Managed Services, Security Solutions, AI ERP Innovation, Software Maintenance</t>
  </si>
  <si>
    <t>Manus Products, Inc</t>
  </si>
  <si>
    <t>866 Industrial Blvd;Waconia MN 55387 1045;USA</t>
  </si>
  <si>
    <t>Industrial Products &amp; Supply</t>
  </si>
  <si>
    <t>Custom Packaging, Industrial Products, Contract Manufacturing</t>
  </si>
  <si>
    <t>Claire Huang</t>
  </si>
  <si>
    <t>1100 Park Ave;Apt 11C;New York NY 10128-1202;USA</t>
  </si>
  <si>
    <t>3G Portable Storage LLC</t>
  </si>
  <si>
    <t>FRAN</t>
  </si>
  <si>
    <t>4605 Candy Ln;Tyler TX 75701-8468;USA</t>
  </si>
  <si>
    <t>InterCity Direct LLC</t>
  </si>
  <si>
    <t>13202 West 98th Street;Lenexa KS 66215;USA</t>
  </si>
  <si>
    <t>LTL/FTL Shipping, Logistics, Transportation Management, Carrier Coordination</t>
  </si>
  <si>
    <t>Suzette M Deering</t>
  </si>
  <si>
    <t>29 Camp 8 Rd;Bluffton SC 29910;USA</t>
  </si>
  <si>
    <t>Independent Contractor/Trade Services</t>
  </si>
  <si>
    <t>General Trade Services, Contracting</t>
  </si>
  <si>
    <t>Consumer Unified LLC</t>
  </si>
  <si>
    <t>297 Kingsbury Grade;Ste 1025;Mail Box 4470;Stateline NV 89449;USA</t>
  </si>
  <si>
    <t>Consumer Services Platform</t>
  </si>
  <si>
    <t>Membership Programs, Consumer Engagement, Loyalty Solutions</t>
  </si>
  <si>
    <t>Lease Harbor LLC</t>
  </si>
  <si>
    <t>3350 W Salt Creek Ln;Suite 100;Arlington Heights IL 60005-5023;USA</t>
  </si>
  <si>
    <t>Lease Management Software</t>
  </si>
  <si>
    <t>Lease Accounting, Lease Administration, Compliance (ASC 842/IFRS 16)</t>
  </si>
  <si>
    <t>Fleetpride</t>
  </si>
  <si>
    <t>PO Box 281811;Atlanta GA 30384;USA</t>
  </si>
  <si>
    <t>Heavy-Duty Truck Parts Distribution</t>
  </si>
  <si>
    <t>Truck &amp; Trailer Parts, Brake Components, Filters, Fleet Service Centers</t>
  </si>
  <si>
    <t>Rocke Mclean &amp; Sbar, PA Trust Acc</t>
  </si>
  <si>
    <t>2309 S MACDILL AVE;TAMPA FL 33629-5918;USA</t>
  </si>
  <si>
    <t>Legal Services (Trust Accounts)</t>
  </si>
  <si>
    <t>Trust Administration, Legal Services, Litigation</t>
  </si>
  <si>
    <t>Livingston International</t>
  </si>
  <si>
    <t>Lockbox 920310;PO Box 4090, Station A;Toronto ON M5W 0E9;CAN</t>
  </si>
  <si>
    <t>Customs Brokerage &amp; Trade Services</t>
  </si>
  <si>
    <t>Customs Clearance, Trade Compliance, Freight Forwarding, Global Trade Management</t>
  </si>
  <si>
    <t>Canon Financial Services</t>
  </si>
  <si>
    <t>14904 Collection Center Dr;Chicago IL 60693-0149;USA</t>
  </si>
  <si>
    <t>Community Association Management</t>
  </si>
  <si>
    <t>HOA Management, Property Services, Financial Management</t>
  </si>
  <si>
    <t>Bianca Bartell dba Ambianc Cleaning</t>
  </si>
  <si>
    <t>749 N Greece Rd;Rochester NY 14612;USA</t>
  </si>
  <si>
    <t>Commercial Cleaning Services</t>
  </si>
  <si>
    <t>Janitorial, Office Cleaning, Facility Maintenance</t>
  </si>
  <si>
    <t>Phenom People, Inc.</t>
  </si>
  <si>
    <t>300 Brookside Avenue;Bldg. 18, Suite 200;Ambler PA 19002;USA</t>
  </si>
  <si>
    <t>AI-Powered Talent Experience Management Platform</t>
  </si>
  <si>
    <t>AI Recruiting, Candidate Experience, Employee Experience, Career Pathing, CRM, Talent Marketplace</t>
  </si>
  <si>
    <t>Denver Propane Exchange</t>
  </si>
  <si>
    <t>PO Box 807;Commerce City CO 80037-0807;USA</t>
  </si>
  <si>
    <t>Propane Gas Supply</t>
  </si>
  <si>
    <t>Propane Delivery, Tank Exchange, Gas Supply</t>
  </si>
  <si>
    <t>DuraServ Corp dba Southern Dock Products</t>
  </si>
  <si>
    <t>PO Box 741605;Atlanta GA 30374-1605;USA</t>
  </si>
  <si>
    <t>Loading Dock &amp; Door Services</t>
  </si>
  <si>
    <t>Overhead Doors, Dock Levelers, Safety Equipment, Installation &amp; Service</t>
  </si>
  <si>
    <t>DISA Global Solutions, Inc</t>
  </si>
  <si>
    <t>11740 Katy Freeway ;Suite 900;Houston TX 77079;USA</t>
  </si>
  <si>
    <t>Employee Screening &amp; Compliance</t>
  </si>
  <si>
    <t>Drug Testing, Background Checks, DOT Compliance, Occupational Health</t>
  </si>
  <si>
    <t>Protiviti Inc-knowledge Leader</t>
  </si>
  <si>
    <t>12269 COLLECTIONS CENTER DR;Chicago IL 60693;USA</t>
  </si>
  <si>
    <t>Risk &amp; Business Consulting</t>
  </si>
  <si>
    <t>Internal Audit, Risk Management, IT Consulting, Regulatory Compliance, Data Analytics, AI Services</t>
  </si>
  <si>
    <t>001063</t>
  </si>
  <si>
    <t>EFL Properties LP</t>
  </si>
  <si>
    <t>1055 Dunsmuir St.;Ste. 910;Vancouver BC V7X 1L3;CAN</t>
  </si>
  <si>
    <t>Suncoast Drivers LLC</t>
  </si>
  <si>
    <t>1214 W Cass St;Tampa FL 33606-1342;USA</t>
  </si>
  <si>
    <t>Driver Staffing &amp; Services</t>
  </si>
  <si>
    <t>CDL Drivers, Temporary Drivers, Fleet Staffing, Driver Recruitment</t>
  </si>
  <si>
    <t>Monomoy UpReit, LLC</t>
  </si>
  <si>
    <t>10100 SANTA MONICA BLVD;Suite 2400;LOS ANGELES CA 90067-4003;USA</t>
  </si>
  <si>
    <t>Anago Of Tampa</t>
  </si>
  <si>
    <t>PO Box 17245;Clearwater FL 33762 0245;USA</t>
  </si>
  <si>
    <t>Commercial Cleaning Franchise</t>
  </si>
  <si>
    <t>Janitorial Services, Office Cleaning, Disinfecting</t>
  </si>
  <si>
    <t>Fountain Fuller of SC LLC</t>
  </si>
  <si>
    <t>321 North Front Street;Suite 300;Wilmington NC 28401;USA</t>
  </si>
  <si>
    <t>Real Estate, Property Management, Commercial Development</t>
  </si>
  <si>
    <t>Paul Hammer</t>
  </si>
  <si>
    <t>PO Box 2550;Eugene OR 97402 0204;USA</t>
  </si>
  <si>
    <t>Australian Portable Storage LLC</t>
  </si>
  <si>
    <t>1543 BILGARIE CT NE;CEDAR RAPIDS IA 52402-3361;USA</t>
  </si>
  <si>
    <t>Container Rental, Storage Solutions</t>
  </si>
  <si>
    <t>Lino Sienna</t>
  </si>
  <si>
    <t>1469 Durham St;Oakville ON L6J 2P4;CAN</t>
  </si>
  <si>
    <t>12th Leewick Holdings</t>
  </si>
  <si>
    <t>917 Country Hill Dr ;Suite 1;South Ogden UT 84403;USA</t>
  </si>
  <si>
    <t>CBIZ CMF</t>
  </si>
  <si>
    <t>25450 Network Place;Chicago IL 60673;USA</t>
  </si>
  <si>
    <t>Business Services &amp; Consulting</t>
  </si>
  <si>
    <t>Accounting, Tax Services, Business Consulting, HR Services</t>
  </si>
  <si>
    <t>Welch Equipment CO</t>
  </si>
  <si>
    <t>PO Box 676292;Dallas TX 75267;USA</t>
  </si>
  <si>
    <t>Forklift Sales &amp; Service, Aerial Lifts, Parts, Rentals, Material Handling</t>
  </si>
  <si>
    <t>On Point Repairs LLC</t>
  </si>
  <si>
    <t>3815 West Mansfield Circle;West Jordan UT 84084;USA</t>
  </si>
  <si>
    <t>Property Maintenance &amp; Repair</t>
  </si>
  <si>
    <t>Handyman Services, Building Repair, Facility Maintenance</t>
  </si>
  <si>
    <t>Mustang Investments</t>
  </si>
  <si>
    <t>360 BELMONT ST NE;SALEM OR 97301-1006;USA</t>
  </si>
  <si>
    <t>Cannonball Trucking, Inc.</t>
  </si>
  <si>
    <t>PO Box 262523;Houston TX 77207;USA</t>
  </si>
  <si>
    <t>Architecture &amp; Engineering</t>
  </si>
  <si>
    <t>Engineering Services</t>
  </si>
  <si>
    <t>Civil Engineering, Structural Engineering, Consulting</t>
  </si>
  <si>
    <t>Wiginton Fire Systems</t>
  </si>
  <si>
    <t>699 Aero Ln;Sanford FL 32771-6699;USA</t>
  </si>
  <si>
    <t>Fire Sprinkler Systems</t>
  </si>
  <si>
    <t>Fire Sprinkler Installation, Design, Inspection, Repair, Fire Alarm Systems</t>
  </si>
  <si>
    <t>Sunbelt Material Handling</t>
  </si>
  <si>
    <t>1617 Terre Colony Ct;Dallas TX 75212-6222;USA</t>
  </si>
  <si>
    <t>Forklift Sales &amp; Service, Pallet Jacks, Warehouse Equipment, Rentals, Parts</t>
  </si>
  <si>
    <t>New England Truck Solutions</t>
  </si>
  <si>
    <t>PO Box 979;Slatersville RI 02876;USA</t>
  </si>
  <si>
    <t>Truck Repair &amp; Service</t>
  </si>
  <si>
    <t>Diesel Repair, Fleet Maintenance, Truck Parts, Emergency Service</t>
  </si>
  <si>
    <t>Aires</t>
  </si>
  <si>
    <t>COMM</t>
  </si>
  <si>
    <t>6 Penn Ctr W;Suite 200;Pittsburgh PA 15276-0108;USA</t>
  </si>
  <si>
    <t>Corporate Relocation Management</t>
  </si>
  <si>
    <t>Global Mobility, Home Sale/Purchase, Immigration Services</t>
  </si>
  <si>
    <t>Ohio Bureau Of Workers Compensation</t>
  </si>
  <si>
    <t>PO Box 89492;Cleveland OH 44101 6492;USA</t>
  </si>
  <si>
    <t>Workers' Compensation Insurance</t>
  </si>
  <si>
    <t>Workers' Comp Claims, Employer Coverage, Safety Services, Return-to-Work Programs</t>
  </si>
  <si>
    <t>Oliver Wyman</t>
  </si>
  <si>
    <t>PO Box 5160;New York NY 10087 5160;USA</t>
  </si>
  <si>
    <t>Strategy Consulting, Risk Management, Actuarial Services, Financial Services Advisory</t>
  </si>
  <si>
    <t>Keener Lumber Company, Inc</t>
  </si>
  <si>
    <t>PO Box 2323;Smithfield NC 27577 2323;USA</t>
  </si>
  <si>
    <t>Lumber &amp; Building Materials</t>
  </si>
  <si>
    <t>Wholesale Lumber, Hardwood, Building Supplies</t>
  </si>
  <si>
    <t>Carlton Fields Atty At Law</t>
  </si>
  <si>
    <t>PO BOX 3239;Tampa FL 33601-3239;USA</t>
  </si>
  <si>
    <t>Forklift Sales &amp; Service, Rentals, Parts, Fleet Management</t>
  </si>
  <si>
    <t>GEM Group Inc</t>
  </si>
  <si>
    <t>3 Gateway Ctr;401 Liberty Ave, Ste 1200;Pittsburgh PA 15222;USA</t>
  </si>
  <si>
    <t>Benefits Administration (TPA)</t>
  </si>
  <si>
    <t>Health &amp; Welfare Administration, Pension Administration, Participant Services, Taft-Hartley Fund Management</t>
  </si>
  <si>
    <t>Mercer Health &amp; Benefits</t>
  </si>
  <si>
    <t>PO Box 730182;Dallas TX 75373-0182;USA</t>
  </si>
  <si>
    <t>Employee Benefits Consulting</t>
  </si>
  <si>
    <t>Health &amp; Benefits Advisory, Retirement Planning, Total Rewards, Actuarial Services</t>
  </si>
  <si>
    <t>Shippers Preferred Express, Inc</t>
  </si>
  <si>
    <t>2224 GRAND AVE;PHOENIX AZ 85009-2824;USA</t>
  </si>
  <si>
    <t>LTL Shipping, Truckload, Expedited Freight, Logistics</t>
  </si>
  <si>
    <t>GDN Infotech Inc</t>
  </si>
  <si>
    <t>2346 S Lynhurst Dr;Ste F201c;Indianapolis IN 46241-8628;USA</t>
  </si>
  <si>
    <t>IT Consulting, Application Development, Staffing Solutions, Managed Services</t>
  </si>
  <si>
    <t>Shahram Farhoudi</t>
  </si>
  <si>
    <t>792 WISHARD AVE;SIMI VALLEY CA 93065-5676;USA</t>
  </si>
  <si>
    <t>Legal Consultation, Litigation, Legal Representation</t>
  </si>
  <si>
    <t>Gordon Rees Scully Mansukhani LLP</t>
  </si>
  <si>
    <t>Attn: Trust Department;100 Pringle Avenue, Suite 300;Walnut Creek CA 94596;USA</t>
  </si>
  <si>
    <t>Litigation, Corporate Transactions, Insurance Defense, Employment Law, Real Estate, IP</t>
  </si>
  <si>
    <t>AddShoppers, Inc.</t>
  </si>
  <si>
    <t>15806 Broadway Dr;Ste 200;Huntersville NC 28078;USA</t>
  </si>
  <si>
    <t>Medical Plans, Dental, Vision, Pharmacy Benefits</t>
  </si>
  <si>
    <t>Elrod Pope Law Firm PA Attorneys Law</t>
  </si>
  <si>
    <t>PO BOX 11091;ROCK HILL SC 29731-1091;USA</t>
  </si>
  <si>
    <t>Personal Injury, Workers' Compensation, Civil Litigation</t>
  </si>
  <si>
    <t>AAA Northeast</t>
  </si>
  <si>
    <t>110 Royal Little Drive;Providence RI 02904;USA</t>
  </si>
  <si>
    <t>Roadside Assistance &amp; Membership</t>
  </si>
  <si>
    <t>Travel Services, Auto Insurance, Discounts, DMV Services</t>
  </si>
  <si>
    <t>Docusign, Inc.</t>
  </si>
  <si>
    <t>221 Main Street,;Suite 800,;San Francisco CA 94105;USA</t>
  </si>
  <si>
    <t>Electronic Signature &amp; CLM Platform</t>
  </si>
  <si>
    <t>eSignature, Contract Lifecycle Management, Intelligent Agreement Management, Web Forms</t>
  </si>
  <si>
    <t>Julia Montalvo Services</t>
  </si>
  <si>
    <t>1204 Haines Dr;Winter Haven FL 33881-0720;USA</t>
  </si>
  <si>
    <t>Cleaning &amp; Maintenance Services</t>
  </si>
  <si>
    <t>Janitorial, Office Cleaning, Residential Cleaning</t>
  </si>
  <si>
    <t>Caine &amp; Weiner</t>
  </si>
  <si>
    <t>PO Box 55848;Sherman Oaks CA 91413-0848;USA</t>
  </si>
  <si>
    <t>Multi-Family Construction, Commercial Construction, Educational Facilities, Healthcare Construction</t>
  </si>
  <si>
    <t>Empire Landscaping &amp; Snow Plowing</t>
  </si>
  <si>
    <t>PO Box 40;Marlboro NY 12542-0040;USA</t>
  </si>
  <si>
    <t>Landscaping &amp; Snow Removal</t>
  </si>
  <si>
    <t>Landscape Maintenance, Snow Plowing, Ice Management, Grounds Care</t>
  </si>
  <si>
    <t>Concordia Resolve Consulting LLC</t>
  </si>
  <si>
    <t>9393 N 90TH ST;STE 102;SCOTTSDALE AZ 85258-5040;USA</t>
  </si>
  <si>
    <t>Strategic Advisory, Dispute Resolution, Risk Management</t>
  </si>
  <si>
    <t>Level Wing Media</t>
  </si>
  <si>
    <t>913 BOWMAN RD;STE 103;MOUNT PLEASANT SC 29464-3235;USA</t>
  </si>
  <si>
    <t>Performance Marketing, Social Media, Analytics, Paid Media, SEO</t>
  </si>
  <si>
    <t>Leavitt Machinery USA, Inc.</t>
  </si>
  <si>
    <t>PO Box 24782;Seattle WA 98124;USA</t>
  </si>
  <si>
    <t>Forklift Sales &amp; Rental, Parts, Service, Fleet Management</t>
  </si>
  <si>
    <t>Tri Lakes Portable Storage, LLC</t>
  </si>
  <si>
    <t>4400 South Timercreek Avenue;Battlefield MO 65619;USA</t>
  </si>
  <si>
    <t>Container Rental, Portable Storage, Moving Storage, On-Site Storage</t>
  </si>
  <si>
    <t>New England Waste Systems, LLC.</t>
  </si>
  <si>
    <t>2208 Plainfield Pike;Johnston RI 02919;USA</t>
  </si>
  <si>
    <t>Trash Collection, Recycling, Roll-Off Dumpsters, Commercial Waste</t>
  </si>
  <si>
    <t>BenefitHub</t>
  </si>
  <si>
    <t>169 MADISON AVE;Suite 11773;NEW YORK NY 10016-5101;USA</t>
  </si>
  <si>
    <t>Employee Benefits &amp; Perks Platform</t>
  </si>
  <si>
    <t>Discount Marketplace, Voluntary Benefits, Rewards &amp; Recognition</t>
  </si>
  <si>
    <t>SAMACO Supply</t>
  </si>
  <si>
    <t>PO Box 510495;Saint Louis MO 63151-0495;USA</t>
  </si>
  <si>
    <t>Industrial Supply &amp; Distribution</t>
  </si>
  <si>
    <t>Industrial Supplies, Tools, Equipment, MRO Products</t>
  </si>
  <si>
    <t>Jack White FLLC</t>
  </si>
  <si>
    <t>3745 Hendricks Rd;Youngstown OH 44515 1506;USA</t>
  </si>
  <si>
    <t>MJB 500, LLC</t>
  </si>
  <si>
    <t>5150 Reynolds Avenue;Waunakee WI 53597;USA</t>
  </si>
  <si>
    <t>John Hancock Variable Life Ins</t>
  </si>
  <si>
    <t>PO Box 7247-0385;Philadelphia PA 19170;USA</t>
  </si>
  <si>
    <t>Life Insurance &amp; Annuities</t>
  </si>
  <si>
    <t>Variable Life Insurance, Retirement Planning, Investment Products, Annuities</t>
  </si>
  <si>
    <t>Nationwide-RE, Inc.</t>
  </si>
  <si>
    <t>1035 Stratford Road;Deerfield IL 60015;USA</t>
  </si>
  <si>
    <t>Sprinklr, Inc.</t>
  </si>
  <si>
    <t>29 West 35th Street;7th Floor;New York NY 10001;USA</t>
  </si>
  <si>
    <t>Unified Customer Experience Management (CXM)</t>
  </si>
  <si>
    <t>Social Media Management, AI-Powered CX, Contact Center, Consumer Insights, Digital Marketing, Advertising</t>
  </si>
  <si>
    <t>Red Maple Press, Inc</t>
  </si>
  <si>
    <t>301 E San Antonio Ave;Boerne TX 78006-2051;USA</t>
  </si>
  <si>
    <t>Printing &amp; Publishing Services</t>
  </si>
  <si>
    <t>Custom Printing, Booklet Printing, Business Cards, Marketing Materials</t>
  </si>
  <si>
    <t>000637</t>
  </si>
  <si>
    <t>Leavitt Machinery</t>
  </si>
  <si>
    <t>102-19433 96th Avenue;Surrey BC V4N 4C4;CAN</t>
  </si>
  <si>
    <t>Lee E Wells</t>
  </si>
  <si>
    <t>5499 S WELLS DR;RIDGEFIELD WA 98642-7412;USA</t>
  </si>
  <si>
    <t>Facility Operation Services, LLC</t>
  </si>
  <si>
    <t>5735 QUAM AVE NE;STE 600;SAINT MICHAEL MN 55376-9038;USA</t>
  </si>
  <si>
    <t>Facility Operations &amp; Maintenance</t>
  </si>
  <si>
    <t>Facility Maintenance, Janitorial, Landscaping, Building Services, Snow Removal</t>
  </si>
  <si>
    <t>JMI Staffing Solutions</t>
  </si>
  <si>
    <t>16703 Early Riser Ave;Suite 229;Land O Lakes FL 34638;USA</t>
  </si>
  <si>
    <t>King &amp; Spalding</t>
  </si>
  <si>
    <t>PO BOX 116133;Atlanta GA 30368-6133;USA</t>
  </si>
  <si>
    <t>Corporate Law, Litigation, Government Investigations, Healthcare, IP, M&amp;A, Real Estate, Tax</t>
  </si>
  <si>
    <t>Pac West Equities, LP</t>
  </si>
  <si>
    <t>555 CAPITOL MALL;STE 900;SACRAMENTO CA 95814-4504;USA</t>
  </si>
  <si>
    <t>Cornerstone Systems, Inc.</t>
  </si>
  <si>
    <t>3250 Players Club Pkwy;Memphis TN 38125-8844;USA</t>
  </si>
  <si>
    <t>Truckload, LTL, Intermodal, Supply Chain Solutions</t>
  </si>
  <si>
    <t>FORJAK Industrial Holdings, Inc</t>
  </si>
  <si>
    <t>544 CLINTON ST;CIRCLEVILLE OH 43113-2010;USA</t>
  </si>
  <si>
    <t>Industrial Coatings &amp; Painting</t>
  </si>
  <si>
    <t>Commercial Painting, Concrete Restoration, Roof Coating, Industrial Blasting, Floor Coating</t>
  </si>
  <si>
    <t>GMG Certify Tax, LLC</t>
  </si>
  <si>
    <t>777 Westchester Ave;Suite 201;White Plains NY 10604-3520;USA</t>
  </si>
  <si>
    <t>Tax Compliance &amp; Certification</t>
  </si>
  <si>
    <t>Tax Certification, Sales Tax Compliance, Tax Software, Consulting</t>
  </si>
  <si>
    <t>Southwest International Trucks</t>
  </si>
  <si>
    <t>PO Box 560685;Dallas TX 75356;USA</t>
  </si>
  <si>
    <t>International Trucks, Parts, Service, Leasing, Used Trucks</t>
  </si>
  <si>
    <t>Phillip Patterson</t>
  </si>
  <si>
    <t>4880 RIDGEMOOR CIR;PALM HARBOR FL 34685-3151;USA</t>
  </si>
  <si>
    <t>Amazon.com.ca dba Amazon Business</t>
  </si>
  <si>
    <t>c/o T45971C;PO Box 4578, STN A ;Toronto ON M5W 0L8;CAN</t>
  </si>
  <si>
    <t>Office Supplies, IT Equipment, Business-Only Pricing, Bulk Purchasing</t>
  </si>
  <si>
    <t>LS Realty 737 LLC</t>
  </si>
  <si>
    <t>PO Box 792;West Chester PA 19381;USA</t>
  </si>
  <si>
    <t>Airgas USA, LLC</t>
  </si>
  <si>
    <t>PO Box 734671;Dallas TX 75373-4671;USA</t>
  </si>
  <si>
    <t>Industrial &amp; Specialty Gases</t>
  </si>
  <si>
    <t>Welding Supplies, Safety Products, MRO Products, Dry Ice</t>
  </si>
  <si>
    <t>TEC Equipment Inc.</t>
  </si>
  <si>
    <t>PO Box 743077;Los Angeles CA 90074-3077;USA</t>
  </si>
  <si>
    <t>Volvo &amp; Mack Trucks, Parts, Service, Leasing, Used Trucks, Body Shop</t>
  </si>
  <si>
    <t>PricewaterhouseCoopers LLP</t>
  </si>
  <si>
    <t>PO BOX 932011;Atlanta GA 31193-2011;USA</t>
  </si>
  <si>
    <t>Audit &amp; Assurance, Tax Advisory, Consulting, Deals Advisory, Risk Management, ESG, Digital Transformation</t>
  </si>
  <si>
    <t>APEX Systems Inc.</t>
  </si>
  <si>
    <t>3750 Collection Center Dr;Chicago IL 60693 0037;USA</t>
  </si>
  <si>
    <t>AIG Enterprises, LLC</t>
  </si>
  <si>
    <t>2 North Central Avenue;Suite 1800;Phoenix AZ 85004;USA</t>
  </si>
  <si>
    <t>Burwell Material Handling LLC</t>
  </si>
  <si>
    <t>PO BOX 851688;Minneapolis MN 55485;USA</t>
  </si>
  <si>
    <t>Forklift Sales &amp; Service, Equipment Rental, Parts</t>
  </si>
  <si>
    <t>Berry Drive LLC</t>
  </si>
  <si>
    <t>3000 MIDLANTIC DR;STE 200;MOUNT LAUREL NJ 08054-1513;USA</t>
  </si>
  <si>
    <t>Service Express, LLC</t>
  </si>
  <si>
    <t>Dept 6306;PO Box 30516;Grand Rapids MI 49512;USA</t>
  </si>
  <si>
    <t>IT Hardware Maintenance &amp; Support</t>
  </si>
  <si>
    <t>Server Maintenance, Storage Support, Network Hardware, Data Center Services, IT Infrastructure</t>
  </si>
  <si>
    <t>SK Global Software LLC</t>
  </si>
  <si>
    <t>PO Box 733054;Dallas TX 75373-3054;USA</t>
  </si>
  <si>
    <t>Software Consulting &amp; Development</t>
  </si>
  <si>
    <t>Custom Software Development, SAP Consulting, IT Solutions</t>
  </si>
  <si>
    <t>Alert Media, Inc.</t>
  </si>
  <si>
    <t>901 S MO Pac Expy;Bldg 111, Suite 400;Austin TX 78746-5776;USA</t>
  </si>
  <si>
    <t>Emergency Mass Notification</t>
  </si>
  <si>
    <t>Threat Intelligence, Travel Risk Management, Crisis Communication</t>
  </si>
  <si>
    <t>GJR Holdings LLC</t>
  </si>
  <si>
    <t>PO BOX 2003;HILLSBORO OR 97123-1918;USA</t>
  </si>
  <si>
    <t>Avatar Management Services, Inc</t>
  </si>
  <si>
    <t>2241 Pinnacle Pkwy;Ste D;Twinsburg OH 44087-5300;USA</t>
  </si>
  <si>
    <t>Facility Management Services</t>
  </si>
  <si>
    <t>Building Maintenance, Property Management, Janitorial</t>
  </si>
  <si>
    <t>Orange Brothers Services LLC</t>
  </si>
  <si>
    <t>976 Main St;Crete IL 60417-1925;USA</t>
  </si>
  <si>
    <t>Plumbing, Electrical, HVAC, Handyman Services</t>
  </si>
  <si>
    <t>B&amp;I Contractors, Inc.</t>
  </si>
  <si>
    <t>2701 Prince St;Fort Myers FL 33916-5529;USA</t>
  </si>
  <si>
    <t>HVAC, Plumbing, Electrical, General Contracting</t>
  </si>
  <si>
    <t>Carlton Elleker Chase Ltd</t>
  </si>
  <si>
    <t>14 – 16 Dowgate Hill,;London EC4R 2SU;GBR</t>
  </si>
  <si>
    <t>Legal Counsel, Attorney Services</t>
  </si>
  <si>
    <t>Mills Sadat Dowlat LLP</t>
  </si>
  <si>
    <t>33 South Hope Street, 40th Floor;Los Angeles CA 90071;USA</t>
  </si>
  <si>
    <t>Litigation, Real Estate Law, Business Law, Employment Law</t>
  </si>
  <si>
    <t>000896</t>
  </si>
  <si>
    <t>Wells Fargo Equipment Finance Company</t>
  </si>
  <si>
    <t>PO Box 7446;Station A;Toronto ON M5W 3C1;CAN</t>
  </si>
  <si>
    <t>Equipment Financing &amp; Leasing</t>
  </si>
  <si>
    <t>Equipment Leasing, Financing, Capital Solutions, Fleet Financing</t>
  </si>
  <si>
    <t>Doors on Demand</t>
  </si>
  <si>
    <t>5863 Hargrove St;Norfolk VA 23502-4636;USA</t>
  </si>
  <si>
    <t>Commercial Door Services</t>
  </si>
  <si>
    <t>Overhead Doors, Dock Equipment, Installation &amp; Repair</t>
  </si>
  <si>
    <t>Kinnie Transportation Group, Inc</t>
  </si>
  <si>
    <t>32091 Hollingsworth Ave;Warren MI 48092-1226;USA</t>
  </si>
  <si>
    <t>Trucking &amp; Transportation</t>
  </si>
  <si>
    <t>Truckload Shipping, Freight, Logistics, Warehousing</t>
  </si>
  <si>
    <t>ContractPod Technologies, Inc.</t>
  </si>
  <si>
    <t>500 7th Avenue;New York NY 10018;USA</t>
  </si>
  <si>
    <t>Contract Lifecycle Management (CLM)</t>
  </si>
  <si>
    <t>AI-Powered Legal Tech, Document Automation, Compliance Management</t>
  </si>
  <si>
    <t>Moreno Cleaning Services</t>
  </si>
  <si>
    <t>3686 Lugo Ave;Lynwood CA 90262 3609;USA</t>
  </si>
  <si>
    <t>Cleaning Services</t>
  </si>
  <si>
    <t>Commercial Cleaning, Residential Cleaning, Janitorial</t>
  </si>
  <si>
    <t>001288</t>
  </si>
  <si>
    <t>Les Services Mobitech, Inc.</t>
  </si>
  <si>
    <t>5281 Blvd Cieroux;Laval QC H7T 2E5;CAN</t>
  </si>
  <si>
    <t>Mobile Technology Services</t>
  </si>
  <si>
    <t>Equipment Repair, Field Service, Technical Support</t>
  </si>
  <si>
    <t>SERVPRO</t>
  </si>
  <si>
    <t>Attn: Servpro Assets, LLC;801 Industrial Blvd;Gallatin TN 37066-3742;USA</t>
  </si>
  <si>
    <t>Property Restoration Services (SERVPRO)</t>
  </si>
  <si>
    <t>Water Damage Restoration, Fire Damage, Mold Remediation, Cleaning Services</t>
  </si>
  <si>
    <t>R3 Environmental Management, Inc</t>
  </si>
  <si>
    <t>1050 E CHICAGO ST;ELGIN IL 60120-7041;USA</t>
  </si>
  <si>
    <t>Environmental Consulting &amp; Remediation</t>
  </si>
  <si>
    <t>Environmental Remediation, Hazardous Waste, Site Assessment, Compliance Consulting</t>
  </si>
  <si>
    <t>Horizontal Integration, Inc.</t>
  </si>
  <si>
    <t>1160 South Highway 100;Suite 200;Minneapolis MN 55416;USA</t>
  </si>
  <si>
    <t>Digital Consulting &amp; IT Staffing</t>
  </si>
  <si>
    <t>Digital Marketing, IT Staffing, UX Design, Software Development, Data Analytics</t>
  </si>
  <si>
    <t>Salt Edge Wash, LLC</t>
  </si>
  <si>
    <t>323 North Avenue;Bridgeport CT 06606;USA</t>
  </si>
  <si>
    <t>Petes Road Service Inc.</t>
  </si>
  <si>
    <t>2230 E Orangethorpe Ave;Fullerton CA 92831-5329;USA</t>
  </si>
  <si>
    <t>Roadside Assistance &amp; Tire Service</t>
  </si>
  <si>
    <t>Tire Repair, Towing, Roadside Service, Fleet Maintenance, Mobile Truck Repair</t>
  </si>
  <si>
    <t>Youngblood Automotive &amp; Tire, LLC</t>
  </si>
  <si>
    <t>171 PARK CENTRAL DRIVE;Hutto TX 78634;USA</t>
  </si>
  <si>
    <t>Automotive Repair &amp; Tire Services</t>
  </si>
  <si>
    <t>Tire Service, Oil Change, Brakes, Alignment, Auto Repair, Inspection</t>
  </si>
  <si>
    <t>Baymard Institute ApS</t>
  </si>
  <si>
    <t>Kastanie Alle 41;Farum 3520;DNK</t>
  </si>
  <si>
    <t>E-Commerce UX Research Platform</t>
  </si>
  <si>
    <t>UX Best Practice Guidelines, Site Audits, Benchmarking, Training</t>
  </si>
  <si>
    <t>International Trucks of Hawaii</t>
  </si>
  <si>
    <t>91-554 Komohana St;Kapolei HI 96707-1751;USA</t>
  </si>
  <si>
    <t>Truck Sales, Parts, Service, Body Shop, Fleet Solutions</t>
  </si>
  <si>
    <t>Pearl River Community College</t>
  </si>
  <si>
    <t>PO Box 5060;Poplarville MS 39470;USA</t>
  </si>
  <si>
    <t>Community College Education</t>
  </si>
  <si>
    <t>Workforce Training, Academic Programs, Technical Education, Continuing Education</t>
  </si>
  <si>
    <t>Katlynn Sierra Mullins</t>
  </si>
  <si>
    <t>780 S 52ND ST;APT 719;PHILADELPHIA PA 19143-3257;USA</t>
  </si>
  <si>
    <t>Chateau Products Inc.</t>
  </si>
  <si>
    <t>ATTN: Laura;1820 47TH TERRACE E.;Bradenton FL 34203;USA</t>
  </si>
  <si>
    <t>Insurance Services</t>
  </si>
  <si>
    <t>Supplemental Insurance, Health Insurance, Credit Insurance</t>
  </si>
  <si>
    <t>Charles G HIll</t>
  </si>
  <si>
    <t>1729 GUNSTON HALL RD;HIXSON TN 37343-2566;USA</t>
  </si>
  <si>
    <t>Sales Consulting &amp; Training</t>
  </si>
  <si>
    <t>Sales Training, Talent Development, Strategy Consulting</t>
  </si>
  <si>
    <t>Material Handling Systems, Inc.</t>
  </si>
  <si>
    <t>62 Arden Way;Sacramento CA 95815-3624;USA</t>
  </si>
  <si>
    <t>Conveyor Systems, Warehouse Automation, Distribution Solutions, System Integration</t>
  </si>
  <si>
    <t>Ally Vista LLC</t>
  </si>
  <si>
    <t>c/o Franklin Street Management Services;1311 North Westshore Blvd.;Suite 200;Tampa FL 33607;USA</t>
  </si>
  <si>
    <t>001150</t>
  </si>
  <si>
    <t>Diamond International Trucks Ltd.</t>
  </si>
  <si>
    <t>17020 118th Ave;Edmonton AB T5S 1S4;CAN</t>
  </si>
  <si>
    <t>Truck Sales, Parts, Fleet Service, Leasing</t>
  </si>
  <si>
    <t>Tri-star Plastics</t>
  </si>
  <si>
    <t>PO Box 3065;Boston MA 02241-3065;USA</t>
  </si>
  <si>
    <t>Plastic Products Manufacturing</t>
  </si>
  <si>
    <t>Plastic Extrusion, Custom Plastic Products, Packaging, Industrial Plastics</t>
  </si>
  <si>
    <t>NAVEX</t>
  </si>
  <si>
    <t>PO Box 60941;Charlotte NC 28260-0941;USA</t>
  </si>
  <si>
    <t>Governance, Risk &amp; Compliance (GRC) Software</t>
  </si>
  <si>
    <t>Ethics Hotline, Policy Management, Incident Management, Third-Party Risk, ESG</t>
  </si>
  <si>
    <t>McMillan LLP</t>
  </si>
  <si>
    <t>181 Bay street ;Suite 4400;Toronto ON M5J 2T3;CAN</t>
  </si>
  <si>
    <t>Corporate/Commercial, Litigation, Capital Markets, M&amp;A, Employment, IP, Tax</t>
  </si>
  <si>
    <t>OBannon Living Trust</t>
  </si>
  <si>
    <t>5745 Black Lake Belmore Rd SW;Olympia WA 98512-7051;USA</t>
  </si>
  <si>
    <t>Solarwinds Inc</t>
  </si>
  <si>
    <t>PO Box 730720;Dallas TX 75373;USA</t>
  </si>
  <si>
    <t>IT Monitoring &amp; Observability Software</t>
  </si>
  <si>
    <t>Network Monitoring, Database Management, ITSM, Log Analysis, Security, AIOps, Observability</t>
  </si>
  <si>
    <t>Jet Intermodal, Inc.</t>
  </si>
  <si>
    <t>1125 W Waterford Ave;Milwaukee WI 53221-1788;USA</t>
  </si>
  <si>
    <t>Intermodal Freight &amp; Drayage</t>
  </si>
  <si>
    <t>Container Transport, Trucking, Rail Drayage, Logistics</t>
  </si>
  <si>
    <t>Heather Magness</t>
  </si>
  <si>
    <t>825 Harbor Oak Ln;Clearwater FL 33756-3933;USA</t>
  </si>
  <si>
    <t>Business Consulting, Professional Services, Training</t>
  </si>
  <si>
    <t>Herculift, Inc.</t>
  </si>
  <si>
    <t>5655 Highway 12;Maple Plain MN 55359-9401;USA</t>
  </si>
  <si>
    <t>Forklift Rentals, Aerial Lift Rentals, Equipment Sales, Repair &amp; Maintenance, Railcar Movers</t>
  </si>
  <si>
    <t>VV3100 LLC</t>
  </si>
  <si>
    <t>1 Belmont Ave ;Suite 520;Bala Cynwyd PA 19004;USA</t>
  </si>
  <si>
    <t>SheerID Inc.</t>
  </si>
  <si>
    <t>PO Box 83017;Woburn MA 01813;USA</t>
  </si>
  <si>
    <t>Identity Verification Platform</t>
  </si>
  <si>
    <t>Student Verification, Military Verification, Teacher Discounts, Gated Offers, Digital Verification</t>
  </si>
  <si>
    <t>Top Gun Electrical Contractors Inc.</t>
  </si>
  <si>
    <t>1055 Idlewild Dr N;Dunedin FL 34698-3102;USA</t>
  </si>
  <si>
    <t>Commercial Electrical, Residential Electrical, Wiring, Panel Upgrades, Lighting</t>
  </si>
  <si>
    <t>United Rentals North America Inc</t>
  </si>
  <si>
    <t>PO Box 100711;Atlanta GA 30384-0711;USA</t>
  </si>
  <si>
    <t>Equipment Rental, Tool Rental, Aerial Lifts, Earthmoving, Power &amp; HVAC, Scaffolding, Trench Safety</t>
  </si>
  <si>
    <t>Ace Mini Self Storage</t>
  </si>
  <si>
    <t>3620 Day St;Montgomery AL 36108;USA</t>
  </si>
  <si>
    <t>Modular &amp; Portable Structures</t>
  </si>
  <si>
    <t>Angela Lloyd</t>
  </si>
  <si>
    <t>PO Box 114;Ridgeland SC 29936;USA</t>
  </si>
  <si>
    <t>Gosalia Inc.</t>
  </si>
  <si>
    <t>2780 E Fowler Ave;PMB 303;Tampa FL 33612;USA</t>
  </si>
  <si>
    <t>Michael &amp; Tracey LaPaglia</t>
  </si>
  <si>
    <t>26227 Sherman Rd;Menifee CA 92585-9223;USA</t>
  </si>
  <si>
    <t>Novus Investments LP</t>
  </si>
  <si>
    <t>15438 Cuttysark Street;Corpus Christi TX 78418;USA</t>
  </si>
  <si>
    <t>Snider Fleet Solutions</t>
  </si>
  <si>
    <t>1545 Saint James Church Rd;Newton NC 28658-8938;USA</t>
  </si>
  <si>
    <t>Fleet Maintenance &amp; Repair</t>
  </si>
  <si>
    <t>Mobile Maintenance, Preventive Maintenance, Roadside Repair, Trailer Service, Fleet Management</t>
  </si>
  <si>
    <t>Overhead Door Company</t>
  </si>
  <si>
    <t>1901 E 119th St;Olathe KS 66061-9502;USA</t>
  </si>
  <si>
    <t>Garage Door Installation, Repair, Commercial Doors, Openers, Dock Equipment</t>
  </si>
  <si>
    <t>Country Gardens of Bristol, LLC</t>
  </si>
  <si>
    <t>600 Middle Street;Bristol CT 06010;USA</t>
  </si>
  <si>
    <t>Lawn Care, Garden Design, Grounds Maintenance</t>
  </si>
  <si>
    <t>Rello Search Partners, LLC</t>
  </si>
  <si>
    <t>405 N. Reo Street, Suite 115;Tampa FL 33609;USA</t>
  </si>
  <si>
    <t>Executive Search &amp; Recruiting</t>
  </si>
  <si>
    <t>Executive Search, Talent Acquisition, Professional Recruiting, Staffing Solutions</t>
  </si>
  <si>
    <t>A-Better Landscape Design, LLC</t>
  </si>
  <si>
    <t>21531 Prairie Crest Dr;Richmond TX 77406-5303;USA</t>
  </si>
  <si>
    <t>Landscape Design, Lawn Care, Grounds Maintenance</t>
  </si>
  <si>
    <t>Southern Tire Mart LLC</t>
  </si>
  <si>
    <t>PO Box 1000;Dept 143;Memphis TN 38148-0001;USA</t>
  </si>
  <si>
    <t>Commercial Tire Sales &amp; Service</t>
  </si>
  <si>
    <t>Truck Tires, Retreading, Fleet Tire Management, Roadside Service, Alignment</t>
  </si>
  <si>
    <t>Penman Construction</t>
  </si>
  <si>
    <t>2571 Shawnee Road;Auburn CA 95603;USA</t>
  </si>
  <si>
    <t>Residential Construction, Commercial Construction, Remodeling, Project Management</t>
  </si>
  <si>
    <t>Suddath Relo Syst of St. Pete</t>
  </si>
  <si>
    <t>815 S Main St;Ste 446;Jacksonville FL 32207-9050;USA</t>
  </si>
  <si>
    <t>Corporate Relocation Services</t>
  </si>
  <si>
    <t>Employee Relocation, Household Goods Moving, Logistics, Destination Services, Storage</t>
  </si>
  <si>
    <t>Father and Sons Logistics LLC</t>
  </si>
  <si>
    <t>2256 Broad Street;Frankfort NY 13340;USA</t>
  </si>
  <si>
    <t>Real Estate, Logistics Facilities, Property Management</t>
  </si>
  <si>
    <t>Dorso &amp; Son Property Maintenance</t>
  </si>
  <si>
    <t>47 Park Street;Farmingdale ME 04344;USA</t>
  </si>
  <si>
    <t>Property Maintenance Services</t>
  </si>
  <si>
    <t>Lawn Care, Snow Removal, Grounds Maintenance</t>
  </si>
  <si>
    <t>ID Watchdog co of Equifax</t>
  </si>
  <si>
    <t>PO Box 71221;Charlotte NC 28272;USA</t>
  </si>
  <si>
    <t>Identity Theft Protection</t>
  </si>
  <si>
    <t>Credit Monitoring, Identity Restoration, Dark Web Monitoring, Fraud Alerts</t>
  </si>
  <si>
    <t>Gerber National Claim Services LLC</t>
  </si>
  <si>
    <t>977 N OAKLAWN AVE;STE 300;ELMHURST IL 60126-1045;USA</t>
  </si>
  <si>
    <t>Auto Glass Claims Administration</t>
  </si>
  <si>
    <t>Glass Claims Processing, Managed Glass Network, Call Center Services, Claims Technology</t>
  </si>
  <si>
    <t>Jay Cee Sales &amp; Rivet</t>
  </si>
  <si>
    <t>32861 Chesley Dr;Farmington MI 48336-5117;USA</t>
  </si>
  <si>
    <t>Industrial Fastener Distribution</t>
  </si>
  <si>
    <t>Rivets, Fasteners, Assembly Tools, Industrial Supplies</t>
  </si>
  <si>
    <t>Reimagine Office Furniture</t>
  </si>
  <si>
    <t>1212 N 39TH ST;Ste 100;TAMPA FL 33605-5898;USA</t>
  </si>
  <si>
    <t>Office Furniture Sales &amp; Service</t>
  </si>
  <si>
    <t>New &amp; Used Office Furniture, Space Planning, Installation, Liquidation</t>
  </si>
  <si>
    <t>Liveclicker, Inc.</t>
  </si>
  <si>
    <t>11 Lea Ave;Nashville TN 37210;USA</t>
  </si>
  <si>
    <t>Real-Time Email Personalization</t>
  </si>
  <si>
    <t>Dynamic Email Content, Video in Email, Personalization, Email Marketing Technology</t>
  </si>
  <si>
    <t>Southern Cat</t>
  </si>
  <si>
    <t>1816 W 27th St;Panama City FL 32405;USA</t>
  </si>
  <si>
    <t>Heavy Equipment Services</t>
  </si>
  <si>
    <t>Caterpillar Equipment, Parts, Service, Rental, Heavy Equipment Repair</t>
  </si>
  <si>
    <t>Briggs Equipment</t>
  </si>
  <si>
    <t>PO Box 841272;Dallas TX 75284 1272;USA</t>
  </si>
  <si>
    <t>Forklift Sales &amp; Service, Rentals, Fleet Management</t>
  </si>
  <si>
    <t>Blue Star Cleaning Services Inc.</t>
  </si>
  <si>
    <t>10415 47th Avenue;Beltsville MD 20705;USA</t>
  </si>
  <si>
    <t>Sweeten Creek Holdings LLC</t>
  </si>
  <si>
    <t>50 Portland Pier;Suite 400;Portland ME 04101-4721;USA</t>
  </si>
  <si>
    <t>DCI Industrial Welding and Fabrication</t>
  </si>
  <si>
    <t>80 LEETSDALE INDUSTRIAL DR;LEETSDALE PA 15056-1033;USA</t>
  </si>
  <si>
    <t>Industrial Welding &amp; Fabrication</t>
  </si>
  <si>
    <t>Structural Steel, Pipe Fabrication, Custom Metalwork</t>
  </si>
  <si>
    <t>Adesa Montreal Corp</t>
  </si>
  <si>
    <t>300 Albert Mondou;Saint-Eustache QC J7R 7A7;CAN</t>
  </si>
  <si>
    <t>Wholesale Auto Auctions, Fleet Remarketing, Transportation</t>
  </si>
  <si>
    <t>Sullivan Tire Co Inc</t>
  </si>
  <si>
    <t>PO Box 1993;Brattleboro VT 05302;USA</t>
  </si>
  <si>
    <t>Tire Sales &amp; Service</t>
  </si>
  <si>
    <t>Tire Sales, Auto Service, Alignment, Brakes, Oil Change, Fleet Service</t>
  </si>
  <si>
    <t>Executive Life Solutions</t>
  </si>
  <si>
    <t>131 Oak Street;Suite 5;Glastonbury CT 06033;USA</t>
  </si>
  <si>
    <t>Group Life Insurance Services</t>
  </si>
  <si>
    <t>Employer-Paid Life Insurance, Key Person Policies, Buy/Sell Agreements, Simplified Issue</t>
  </si>
  <si>
    <t>000030</t>
  </si>
  <si>
    <t>Gowlings Lafleur Henderson LLP</t>
  </si>
  <si>
    <t>PO Box 466 Stn D;Ottawa ON K1P 1C3;CAN</t>
  </si>
  <si>
    <t>Corporate Law, Litigation, IP, Energy, Infrastructure, Tax, Real Estate</t>
  </si>
  <si>
    <t>Anywhere Real Estate</t>
  </si>
  <si>
    <t>14375 Collection Center Drive;Chicago IL 60693;USA</t>
  </si>
  <si>
    <t>Real Estate Brokerage Services</t>
  </si>
  <si>
    <t>Residential Sales, Franchise Brands (Century 21, Coldwell Banker, Sotheby's), Relocation Services</t>
  </si>
  <si>
    <t>Amazon Web Services, Inc.</t>
  </si>
  <si>
    <t>PO Box 84023;410 Terry Ave N;Seattle WA 98124-8423;USA</t>
  </si>
  <si>
    <t>Cloud Computing Platform</t>
  </si>
  <si>
    <t>Cloud Infrastructure, Data Storage, Machine Learning, Database Services, Analytics</t>
  </si>
  <si>
    <t>Vogel Heating and Cooling Inc.</t>
  </si>
  <si>
    <t>1642 Manufacturers Dr;Fenton MO 63026-2839;USA</t>
  </si>
  <si>
    <t>Heating, Cooling, HVAC Repair, Installation, Maintenance, Duct Cleaning</t>
  </si>
  <si>
    <t>Fortra LLC</t>
  </si>
  <si>
    <t>11095 Viking Drive;Suite 100;Eden Prairie MN 55344;USA</t>
  </si>
  <si>
    <t>Cybersecurity Software &amp; Services</t>
  </si>
  <si>
    <t>Data Security, Brand Protection, Offensive Security, Email Security, Managed File Transfer</t>
  </si>
  <si>
    <t>Boulevard Tire Center</t>
  </si>
  <si>
    <t>816 S Woodland Blvd;Deland FL 32720-6836;USA</t>
  </si>
  <si>
    <t>Tire Sales, Tire Repair, Auto Maintenance</t>
  </si>
  <si>
    <t>Al Warren Oil</t>
  </si>
  <si>
    <t>PO Box 2279;Hammond IN 46323-0279;USA</t>
  </si>
  <si>
    <t>Petroleum &amp; Fuel Distribution</t>
  </si>
  <si>
    <t>Bulk Fuel Delivery, Fleet Fueling, Lubricants, DEF</t>
  </si>
  <si>
    <t>Blossman Gas-#2772800</t>
  </si>
  <si>
    <t>6109 Wilkinson Blvd;Belmont NC 28012-4800;USA</t>
  </si>
  <si>
    <t>Propane Delivery, Tank Installation, Commercial Propane</t>
  </si>
  <si>
    <t>Pomps Tire Service Inc.</t>
  </si>
  <si>
    <t>P.O. Box 88697;Milwaukee WI 53288;USA</t>
  </si>
  <si>
    <t>Tire Sales, Retreading, Fleet Service, Roadside Assistance, Alignment</t>
  </si>
  <si>
    <t>Adesa Autions Canada Corp</t>
  </si>
  <si>
    <t>Box 19,GRP 242, RR#2;Winnipeg MB R3C 2E6;CAN</t>
  </si>
  <si>
    <t>Wholesale Auto Auctions, Fleet Remarketing, Vehicle Inspections</t>
  </si>
  <si>
    <t>Pluralsight, LLC</t>
  </si>
  <si>
    <t>42 E FUTURE WAY;DRAPER UT 84020-9858;USA</t>
  </si>
  <si>
    <t>Online Technology Learning Platform</t>
  </si>
  <si>
    <t>Tech Skills Training, Cloud Certification Prep, Hands-On Labs, AI &amp; Data Science Courses, Cybersecurity Training</t>
  </si>
  <si>
    <t>BrightView Landscape Services</t>
  </si>
  <si>
    <t>PO Box 740655;Atlanta GA 30374-0655;USA</t>
  </si>
  <si>
    <t>Commercial Landscaping Services</t>
  </si>
  <si>
    <t>Landscape Design, Development, Maintenance, Snow &amp; Ice, Tree Care, Water Management</t>
  </si>
  <si>
    <t>East Bay Tire Co.</t>
  </si>
  <si>
    <t>2200 Huntington Dr;Unit C;Fairfield CA 94533 9732;USA</t>
  </si>
  <si>
    <t>Commercial Tires, Retreading, Fleet Service, Alignment</t>
  </si>
  <si>
    <t>350 Southgate, LLC</t>
  </si>
  <si>
    <t>1155 S Telshor Blvd;Suite B-1;Las Cruces NM 88011;USA</t>
  </si>
  <si>
    <t>Inbox Monster</t>
  </si>
  <si>
    <t>9935D Rea Road #234;Charlotte NC 28277;USA</t>
  </si>
  <si>
    <t>Email Deliverability Platform</t>
  </si>
  <si>
    <t>Inbox Placement Testing, Email Rendering, Reputation Monitoring, DMARC Protection, SMS Delivery</t>
  </si>
  <si>
    <t>Michael D LeBlanc</t>
  </si>
  <si>
    <t>839 RIVERWARD DR;MYRTLE BEACH SC 29588-6338;USA</t>
  </si>
  <si>
    <t>Plote Property Management -DO NOT USE</t>
  </si>
  <si>
    <t>The Knapheide Manufacturing Company</t>
  </si>
  <si>
    <t>1848 Westphalia Strasse;PO Box 7140;Quincy IL 62305;USA</t>
  </si>
  <si>
    <t>Truck Body Manufacturing</t>
  </si>
  <si>
    <t>Service Bodies, Platform Bodies, Dump Bodies, Van Bodies, Custom Truck Bodies</t>
  </si>
  <si>
    <t>OverHead Door of Albuquerque</t>
  </si>
  <si>
    <t>5656 Pasadena Avenue NE;Albuquerque NM 87113;USA</t>
  </si>
  <si>
    <t>SLS Consulting, Inc.</t>
  </si>
  <si>
    <t>260 Palermo Ave;Coral Gables FL 33134-6606;USA</t>
  </si>
  <si>
    <t>Management Consulting, Strategy Advisory, Process Improvement</t>
  </si>
  <si>
    <t>Interstate Nationalease</t>
  </si>
  <si>
    <t>PO Box 2222;Decatur AL 35609-2222;USA</t>
  </si>
  <si>
    <t>Truck Leasing &amp; Fleet Services</t>
  </si>
  <si>
    <t>Full-Service Truck Leasing, Contract Maintenance, Dedicated Fleet, Truck Rental</t>
  </si>
  <si>
    <t>CCC Development Partners, LLC</t>
  </si>
  <si>
    <t>PO Box 21509;Winston Salem NC 27120-1509;USA</t>
  </si>
  <si>
    <t>Delta Awnings Express Inc</t>
  </si>
  <si>
    <t>91 Ready Ave;Fort Walton Beach FL 32548;USA</t>
  </si>
  <si>
    <t>Awning &amp; Canopy Services</t>
  </si>
  <si>
    <t>Awning Installation, Shade Structures, Custom Canopies</t>
  </si>
  <si>
    <t>Mihir Transportation Inc.</t>
  </si>
  <si>
    <t>13519 John Glenn Road;Apple Valley CA 92392;USA</t>
  </si>
  <si>
    <t>Transportation Facility, Property Management</t>
  </si>
  <si>
    <t>Saad Resources, LLC</t>
  </si>
  <si>
    <t>183 Faris Circle;Greenville SC 29605;USA</t>
  </si>
  <si>
    <t>Davis Hartman Wright LLP</t>
  </si>
  <si>
    <t>209 POLLOCK ST;NEW BERN NC 28560-4942;USA</t>
  </si>
  <si>
    <t>Litigation, Real Estate Law, Estate Planning</t>
  </si>
  <si>
    <t>Birchwood Creek, LLC-Do Not Use</t>
  </si>
  <si>
    <t>180 Chatham Heights Rd;Fredericksburg VA 22405;USA</t>
  </si>
  <si>
    <t>VoIP, Voice Services, Cloud Computing, Network Services</t>
  </si>
  <si>
    <t>PORT CONSOLIDATED, INC</t>
  </si>
  <si>
    <t>PO Box 350430;Fort Lauderdale FL 33335 0430;USA</t>
  </si>
  <si>
    <t>Port Services, Container Drayage, Trucking, Warehousing</t>
  </si>
  <si>
    <t>Ryan Daniel Burts</t>
  </si>
  <si>
    <t>4160 FINCH RD SW;POWDER SPRINGS GA 30127-9121;USA</t>
  </si>
  <si>
    <t>Universal Premium/FuelMan Fleet</t>
  </si>
  <si>
    <t>PO Box 70995;Charlotte NC 28272-0995;USA</t>
  </si>
  <si>
    <t>Fleet Fuel Card Services</t>
  </si>
  <si>
    <t>Fuel Cards, Fleet Management, Expense Tracking, Discount Fuel Programs</t>
  </si>
  <si>
    <t>Maria Julieta Mello</t>
  </si>
  <si>
    <t>7915 Barnhill Drive;Houston TX 77338;USA</t>
  </si>
  <si>
    <t>Peconic Propane</t>
  </si>
  <si>
    <t>PO Box 607;Calverton NY 11933-0607;USA</t>
  </si>
  <si>
    <t>Sun Print Management</t>
  </si>
  <si>
    <t>5441 Provost Dr;Holiday FL 34690 2939;USA</t>
  </si>
  <si>
    <t>Print Management Services</t>
  </si>
  <si>
    <t>Print Procurement, Direct Mail, Marketing Materials, Promotional Products</t>
  </si>
  <si>
    <t>The Standard Ins Co of New York</t>
  </si>
  <si>
    <t>Life Insurance, Disability Insurance, Dental, Vision, Retirement Plans</t>
  </si>
  <si>
    <t>The Expediter, LLC</t>
  </si>
  <si>
    <t>6667 White Dr;West Palm Beach FL 33407-1236;USA</t>
  </si>
  <si>
    <t>Courier &amp; Delivery Services</t>
  </si>
  <si>
    <t>Same-Day Delivery, Courier Services, Expedited Shipping, Last Mile Delivery</t>
  </si>
  <si>
    <t>Sela Products, LLC</t>
  </si>
  <si>
    <t>2101 S KELLY AVE;EDMOND OK 73013-3665;USA</t>
  </si>
  <si>
    <t>Consumer Products Distribution</t>
  </si>
  <si>
    <t>Cleaning Supplies, Industrial Products, Consumer Goods Distribution</t>
  </si>
  <si>
    <t>USRPI REIT, INC</t>
  </si>
  <si>
    <t>30 HUDSON ST;FL 15;FL 15;JERSEY CITY NJ 07302-4805;USA</t>
  </si>
  <si>
    <t>Commercial Real Estate Investment</t>
  </si>
  <si>
    <t>Commercial Real Estate, Property Investment, Leasing, Asset Management</t>
  </si>
  <si>
    <t>EBIP, LLC</t>
  </si>
  <si>
    <t>11452 E BENNETT RD;GRASS VALLEY CA 95945-9110;USA</t>
  </si>
  <si>
    <t>Holland &amp; Knight LLP</t>
  </si>
  <si>
    <t>Po. Box 936937;Atlanta GA 31193;USA</t>
  </si>
  <si>
    <t>Litigation, Corporate Law, Real Estate, Government &amp; Public Policy, IP Law</t>
  </si>
  <si>
    <t>Bermuda Landscape &amp; Design, Inc.</t>
  </si>
  <si>
    <t>555 N Congress Ave;Suite 301;Boynton Beach FL 33426-3469;USA</t>
  </si>
  <si>
    <t>Landscape Design, Installation, Maintenance</t>
  </si>
  <si>
    <t>Enterprise Property Management LLC</t>
  </si>
  <si>
    <t>6344 Hwy 27 South;Enterprise AL 36330;USA</t>
  </si>
  <si>
    <t>Truck Park Management, LLC</t>
  </si>
  <si>
    <t>40 RAHLING CIR;LITTLE ROCK AR 72223-9187;USA</t>
  </si>
  <si>
    <t>Real Estate, Truck Parking, Property Management</t>
  </si>
  <si>
    <t>12 Interactive LLC</t>
  </si>
  <si>
    <t>DBS PerkSpot;Attn: Luke Van Drunen;320 W Ohio Street;Suite #1W;Chicago IL 60654;USA</t>
  </si>
  <si>
    <t>Employee Discount Platform</t>
  </si>
  <si>
    <t>Corporate Benefits, Voluntary Benefits, Consumer Discounts</t>
  </si>
  <si>
    <t>Friends Plumbing</t>
  </si>
  <si>
    <t>325 Mears Blvd;Ste 100;Oldsmar FL 34677 3048;USA</t>
  </si>
  <si>
    <t>Plumbing Services</t>
  </si>
  <si>
    <t>Commercial Plumbing, Residential Plumbing, Drain Cleaning, Water Heater Service</t>
  </si>
  <si>
    <t>Fuze, Inc.</t>
  </si>
  <si>
    <t>PO Box 347284;Pittsburgh PA 15251-4284;USA</t>
  </si>
  <si>
    <t>Cloud Communications (UCaaS)</t>
  </si>
  <si>
    <t>Video Conferencing, Voice Calling, Team Messaging, Contact Center, Collaboration</t>
  </si>
  <si>
    <t>Fox &amp; James NationaLease</t>
  </si>
  <si>
    <t>3690 State Route 30;Latrobe PA 15650-4308;USA</t>
  </si>
  <si>
    <t>Truck Leasing &amp; Rental</t>
  </si>
  <si>
    <t>Truck Leasing, Fleet Rental, Contract Maintenance, Full-Service Leasing</t>
  </si>
  <si>
    <t>Carolina International Trucks Inc</t>
  </si>
  <si>
    <t>1619 Bluff Road;Columbia SC 29201;USA</t>
  </si>
  <si>
    <t>Propane Man/Island LP Gas Services</t>
  </si>
  <si>
    <t>94-171 Leonui St;Waipahu HI 96797-2217;USA</t>
  </si>
  <si>
    <t>000156</t>
  </si>
  <si>
    <t>British Columbia Ministry of Finance</t>
  </si>
  <si>
    <t>Director, Provincial Sales Tax;1802 Douglas St;Victoria BC V8T 4K6;CAN</t>
  </si>
  <si>
    <t>Government Services</t>
  </si>
  <si>
    <t>Tax Collection, Government Fees, Regulatory Compliance</t>
  </si>
  <si>
    <t>OReilly Auto Parts</t>
  </si>
  <si>
    <t>PO Box 9464;Springfield MO 65801 9464;USA</t>
  </si>
  <si>
    <t>Automotive Parts &amp; Supplies</t>
  </si>
  <si>
    <t>Auto Parts, Tools, Accessories, Paint, Fleet Parts Programs</t>
  </si>
  <si>
    <t>Freightliner of Arizona, LLC</t>
  </si>
  <si>
    <t>Dept# 880097 PO Box 29650;Phoenix AZ 85038;USA</t>
  </si>
  <si>
    <t>Commercial Truck Dealer</t>
  </si>
  <si>
    <t>Freightliner Truck Sales, Parts, Service, Leasing, Financing</t>
  </si>
  <si>
    <t>Thomson Reuters</t>
  </si>
  <si>
    <t>PO Box 6292;Carol Stream IL 60197-6292;USA</t>
  </si>
  <si>
    <t>Legal Research &amp; Information Services</t>
  </si>
  <si>
    <t>Legal Research, Westlaw, Tax &amp; Accounting, Compliance, Reuters News, AI Legal Tools</t>
  </si>
  <si>
    <t>Gulf Controls Corp.</t>
  </si>
  <si>
    <t>PO Box 15100;Tampa FL 33684 5100;USA</t>
  </si>
  <si>
    <t>Industrial Controls &amp; Automation</t>
  </si>
  <si>
    <t>Process Automation, Valve Sales, Instrumentation, Control Systems</t>
  </si>
  <si>
    <t>Steiner Hawaii . c/o Steiner Corp</t>
  </si>
  <si>
    <t>2771 Waiwai Loop;Honolulu HI 96819-1941;USA</t>
  </si>
  <si>
    <t>Uniform &amp; Linen Services</t>
  </si>
  <si>
    <t>Uniform Rental, Linen Service, Restroom Supplies, Floor Mats, Facility Services</t>
  </si>
  <si>
    <t>8X8, Inc.</t>
  </si>
  <si>
    <t>675 CREEKSIDE WAY;CAMPBELL CA 95008-0636;USA</t>
  </si>
  <si>
    <t>Cloud Communications Platform (UCaaS/CCaaS)</t>
  </si>
  <si>
    <t>Contact Center, Unified Communications, Video Meetings, CPaaS APIs</t>
  </si>
  <si>
    <t>KPMG LLP</t>
  </si>
  <si>
    <t>PO BOX 4348;STATION A;Toronto ON M5W 7A6;CAN</t>
  </si>
  <si>
    <t>Audit &amp; Assurance, Tax Advisory, Advisory Services, Risk Consulting, Deal Advisory, KPMG Law</t>
  </si>
  <si>
    <t>Vortex Industries Inc</t>
  </si>
  <si>
    <t>FILE 1095 ;1801 W OLYMPIC BLVD;Pasadena CA 91199-1095;USA</t>
  </si>
  <si>
    <t>Industrial Door &amp; Gate Services</t>
  </si>
  <si>
    <t>Rolling Doors, Security Gates, Fire Doors, Dock Equipment, Installation, Repair</t>
  </si>
  <si>
    <t>Rachel Esposito</t>
  </si>
  <si>
    <t>1724 Grand Oaks Drive;Woodstock GA 30188;USA</t>
  </si>
  <si>
    <t>Pure Water Partners LLC-WA</t>
  </si>
  <si>
    <t>PO Box 24445;Seattle WA 98124-0445;USA</t>
  </si>
  <si>
    <t>Water Delivery &amp; Purification</t>
  </si>
  <si>
    <t>Bottled Water Delivery, Filtration Systems, Water Coolers</t>
  </si>
  <si>
    <t>Wendy Malloy</t>
  </si>
  <si>
    <t>15269 STONE HOUSE DR;BROOKSVILLE FL 34604-5834;USA</t>
  </si>
  <si>
    <t>Covington-Albany Road-TRUX JV LLC</t>
  </si>
  <si>
    <t>10719 Alpharetta Hwy;Ste 458;Roswell GA 30077;USA</t>
  </si>
  <si>
    <t>Mary Jane Michael</t>
  </si>
  <si>
    <t>PO Box 119;Port Republic VA 24471-0119;USA</t>
  </si>
  <si>
    <t>Diligent Corporation</t>
  </si>
  <si>
    <t>1111 19th St NW;floor 9;Washington DC 20036-3603;USA</t>
  </si>
  <si>
    <t>GRC &amp; Board Management Software</t>
  </si>
  <si>
    <t>Board Portal, Compliance Management, ESG Reporting, Entity Management, Risk Analytics</t>
  </si>
  <si>
    <t>Bright Star Import Export Corp</t>
  </si>
  <si>
    <t>Import/Export Services</t>
  </si>
  <si>
    <t>International Trade, Import/Export, Distribution</t>
  </si>
  <si>
    <t>Collin Keith Plyler</t>
  </si>
  <si>
    <t>2337 Watts Drive;Lancaster SC 29720;USA</t>
  </si>
  <si>
    <t>Handyman Services, Maintenance, Property Repairs</t>
  </si>
  <si>
    <t>001349</t>
  </si>
  <si>
    <t>Stream Logistics</t>
  </si>
  <si>
    <t>5425 Dixie Rd;Mississauga ON L4W 1E6;CAN</t>
  </si>
  <si>
    <t>Cross-Border Shipping, LTL, FTL, Warehousing, Supply Chain Solutions</t>
  </si>
  <si>
    <t>Propane Pete dba Kangaroo</t>
  </si>
  <si>
    <t>12828 S Ridgeway Ave;Alsip IL 60803;USA</t>
  </si>
  <si>
    <t>Laser Connection</t>
  </si>
  <si>
    <t>PO BOX 2127;Oldsmar FL 34677;USA</t>
  </si>
  <si>
    <t>Printer &amp; Copier Supplies</t>
  </si>
  <si>
    <t>Toner Cartridges, Ink Supplies, Printer Repair, Office Equipment</t>
  </si>
  <si>
    <t>Pape Material Handling</t>
  </si>
  <si>
    <t>PO Box 35144;Seattle WA 98124-5144;USA</t>
  </si>
  <si>
    <t>Forklift Sales, Forklift Rental, Parts &amp; Service, Material Handling Equipment</t>
  </si>
  <si>
    <t>Axecel Construction, LLC</t>
  </si>
  <si>
    <t>107 N ARMENIA AVE;TAMPA FL 33609-2301;USA</t>
  </si>
  <si>
    <t>Construction, Renovation, Project Management</t>
  </si>
  <si>
    <t>000585</t>
  </si>
  <si>
    <t>Bolts Plus</t>
  </si>
  <si>
    <t>7100 Torbram Rd;Mississauga ON L4T 4B5;CAN</t>
  </si>
  <si>
    <t>Industrial Fastener Supply</t>
  </si>
  <si>
    <t>Fasteners, Industrial Hardware, Supply Distribution</t>
  </si>
  <si>
    <t>Columbia Paint</t>
  </si>
  <si>
    <t>6822 Oak Hall Ln;Ste C2;Columbia MD 21045-4882;USA</t>
  </si>
  <si>
    <t>Paint &amp; Coatings Supply</t>
  </si>
  <si>
    <t>Commercial Painting, Paint Products, Coatings, Wallcovering</t>
  </si>
  <si>
    <t>Greater Tampa Chamber of Commerce</t>
  </si>
  <si>
    <t>PO Box 420;Tampa FL 33601 0420;USA</t>
  </si>
  <si>
    <t>Chamber of Commerce</t>
  </si>
  <si>
    <t>Business Advocacy, Networking, Economic Development, Community Events</t>
  </si>
  <si>
    <t>Moore, OBrien &amp; Foti</t>
  </si>
  <si>
    <t>891 STRAITS TPKE;MIDDLEBURY CT 06762-2844;USA</t>
  </si>
  <si>
    <t>Personal Injury, Workers' Comp, General Practice</t>
  </si>
  <si>
    <t>Southern Atlantic Group</t>
  </si>
  <si>
    <t>PLLC Trust Account F/B/O;Shannon Andrew Paul;Threlkeld Hagan and;Ashlee Hagan;USA</t>
  </si>
  <si>
    <t>Legal &amp; Professional Services</t>
  </si>
  <si>
    <t>Legal Representation, Trust Services, Real Estate Law</t>
  </si>
  <si>
    <t>Pro-Vac LLC</t>
  </si>
  <si>
    <t>PO Box 24351;Seattle WA 98124;USA</t>
  </si>
  <si>
    <t>Vacuum Truck &amp; Industrial Cleaning Services</t>
  </si>
  <si>
    <t>Vacuum Truck Services, Hydro Excavation, Industrial Waste Removal, Environmental Services</t>
  </si>
  <si>
    <t>Alain V. Bonavida</t>
  </si>
  <si>
    <t>9440 SANTA MONICA BLVD;Suite 301;BEVERLY HILLS CA 90210-4610;USA</t>
  </si>
  <si>
    <t>Attorney, Legal Counsel</t>
  </si>
  <si>
    <t>000540</t>
  </si>
  <si>
    <t>Josef Gas</t>
  </si>
  <si>
    <t>201 Basaltic Rd;Concord ON L4K 1G4;CAN</t>
  </si>
  <si>
    <t>Industrial Gas Supply</t>
  </si>
  <si>
    <t>Gas Distribution, Welding Gases, Specialty Gases</t>
  </si>
  <si>
    <t>San Diego Gas &amp; Electric Company</t>
  </si>
  <si>
    <t>8306 CENTURY PARK CT;CP-41K;SAN DIEGO CA 92123-1530;USA</t>
  </si>
  <si>
    <t>Natural Gas &amp; Electric Utility</t>
  </si>
  <si>
    <t>Natural Gas Service, Electric Service, Utility Operations, Energy Programs</t>
  </si>
  <si>
    <t>DuraServ dba Just Rite Equipment</t>
  </si>
  <si>
    <t>PO Box 414746;Boston MA 02241-4746;USA</t>
  </si>
  <si>
    <t>Loading Dock Equipment, Overhead Doors, Safety Equipment, Installation &amp; Service</t>
  </si>
  <si>
    <t>The Boyd Group (U.S.) Inc.</t>
  </si>
  <si>
    <t>977 N OAKLAWN AVE;STE 300;ELMHURST IL 60126-1062;USA</t>
  </si>
  <si>
    <t>Auto Body &amp; Collision Repair</t>
  </si>
  <si>
    <t>Collision Repair, Auto Glass, Paintless Dent Repair, Fleet Services, Insurance Claims</t>
  </si>
  <si>
    <t>Securitas Technology Corporation</t>
  </si>
  <si>
    <t>3800 TABS DR;UNIONTOWN OH 44685-9564;USA</t>
  </si>
  <si>
    <t>Electronic Security Integration</t>
  </si>
  <si>
    <t>Access Control, Video Surveillance, Intrusion Detection, Security Monitoring, Cloud Security</t>
  </si>
  <si>
    <t>Schellman &amp; Company, LLC</t>
  </si>
  <si>
    <t>4010 W BOY SCOUT BLVD;Suite 600;TAMPA FL 33607-5727;USA</t>
  </si>
  <si>
    <t>IT Compliance &amp; Cybersecurity Assessment</t>
  </si>
  <si>
    <t>SOC Audits, PCI DSS, ISO 27001, FedRAMP, HITRUST, Penetration Testing, CMMC</t>
  </si>
  <si>
    <t>Natalia Perez</t>
  </si>
  <si>
    <t>4115 2ND ST;RIVERSIDE CA 92501-2311;USA</t>
  </si>
  <si>
    <t>Marmic Fire &amp; Safety</t>
  </si>
  <si>
    <t>PO Box 1939;Lowell AR 72745;USA</t>
  </si>
  <si>
    <t>Fire Protection &amp; Safety Services</t>
  </si>
  <si>
    <t>Fire Extinguishers, Fire Suppression, Safety Training, Inspections, Emergency Lighting</t>
  </si>
  <si>
    <t>Mohammad Frotan</t>
  </si>
  <si>
    <t>411 STATE HIGHWAY 78;LAVON TX 75166-1201;USA</t>
  </si>
  <si>
    <t>Search Solution Group, Inc.</t>
  </si>
  <si>
    <t>501 MINUET LN;CHARLOTTE NC 28217-2767;USA</t>
  </si>
  <si>
    <t>Executive Recruiting &amp; Staffing</t>
  </si>
  <si>
    <t>Direct Hire, Executive Search, Recruiting, Talent Acquisition, Staffing Solutions</t>
  </si>
  <si>
    <t>Jessey Booco-Ramirez</t>
  </si>
  <si>
    <t>23671 E EASTER DR;UNIT 107;AURORA CO 80016-2614;USA</t>
  </si>
  <si>
    <t>Foothills Group, Inc.</t>
  </si>
  <si>
    <t>PO Box 2250;Decatur AL 35609;USA</t>
  </si>
  <si>
    <t>Industrial &amp; Commercial Services</t>
  </si>
  <si>
    <t>Industrial Equipment, Construction Services, Facility Maintenance</t>
  </si>
  <si>
    <t>Timothy Harlow</t>
  </si>
  <si>
    <t>15908 W Lake Burrell Dr;Unit A;Apt 103;Lutz FL 33549-3554;USA</t>
  </si>
  <si>
    <t>Brennan Equipment Services</t>
  </si>
  <si>
    <t>6940 Hall Street;Holland OH 43528;USA</t>
  </si>
  <si>
    <t>Facilities Maintenance Corp.</t>
  </si>
  <si>
    <t>PO Box 3689;Poughkeepsie NY 12603;USA</t>
  </si>
  <si>
    <t>Facility Maintenance &amp; Management</t>
  </si>
  <si>
    <t>Building Maintenance, Janitorial, HVAC, Plumbing, Electrical Repairs</t>
  </si>
  <si>
    <t>The Patch Company LLC</t>
  </si>
  <si>
    <t>2801 South Valley View Blvd.;Suite 5;Las Vegas NV 89102;USA</t>
  </si>
  <si>
    <t>Custom Embroidered Patches</t>
  </si>
  <si>
    <t>Custom Patches, Embroidered Patches, PVC Patches, Iron-On Patches, Promotional Products</t>
  </si>
  <si>
    <t>Chico Scrap Metal, Inc</t>
  </si>
  <si>
    <t>766 OROVILLE CHICO HWY;DURHAM CA 95938-9796;USA</t>
  </si>
  <si>
    <t>Industrial Services</t>
  </si>
  <si>
    <t>Manufacturing, Industrial Products</t>
  </si>
  <si>
    <t>Lifecare Inc</t>
  </si>
  <si>
    <t>Attn: Michael Giacopassi;PO Box 31503;Hartford CT 06150;USA</t>
  </si>
  <si>
    <t>Healthcare &amp; Disability Management</t>
  </si>
  <si>
    <t>Catastrophic Case Management, Life Care Planning, Rehabilitation, Expert Witness Services</t>
  </si>
  <si>
    <t>Best Rolling Doors, Inc.</t>
  </si>
  <si>
    <t>9780 NW 79th Ave;Hialeah Gardens FL 33016 2514;USA</t>
  </si>
  <si>
    <t>Rolling Steel Doors, Installation, Repair, Industrial Doors</t>
  </si>
  <si>
    <t>BFPE International</t>
  </si>
  <si>
    <t>PO Box 791045;Baltimore MD 21279-1045;USA</t>
  </si>
  <si>
    <t>Fire Extinguishers, Fire Suppression, Safety Equipment, Inspections</t>
  </si>
  <si>
    <t>Kodiak Equipment Services Inc</t>
  </si>
  <si>
    <t>1603 Engle Creek Road;Barnhart MO 63012;USA</t>
  </si>
  <si>
    <t>Equipment Rental, Repair, Sales, Maintenance</t>
  </si>
  <si>
    <t>Lalezary Law Firm LLP dba The Law</t>
  </si>
  <si>
    <t>8370 WILSHIRE BLVD;2nd Floor;BEVERLY HILLS CA 90211-2333;USA</t>
  </si>
  <si>
    <t>Personal Injury Law Firm</t>
  </si>
  <si>
    <t>Auto Accidents, Slip &amp; Fall, Wrongful Death, Medical Malpractice</t>
  </si>
  <si>
    <t>Wyott Capital Group</t>
  </si>
  <si>
    <t>1808 N Boise Ave;Loveland CO 80538;USA</t>
  </si>
  <si>
    <t>T&amp;W Tire, LLC</t>
  </si>
  <si>
    <t>PO Box 258859;Oklahoma City OK 73125;USA</t>
  </si>
  <si>
    <t>Tire Sales, Tire Repair, Fleet Tire Service, Retread Tires, Wheel Services</t>
  </si>
  <si>
    <t>Bela Tech Electrical Contractor LLC</t>
  </si>
  <si>
    <t>11864 Ottawa Avenue;Orlando FL 32837;USA</t>
  </si>
  <si>
    <t>Electrical Contractor</t>
  </si>
  <si>
    <t>Commercial Electrical, Installation, Repair, Low Voltage Systems</t>
  </si>
  <si>
    <t>Luckys Truck &amp; Trailer</t>
  </si>
  <si>
    <t>5636 HORATIO ST;UTICA NY 13502-1402;USA</t>
  </si>
  <si>
    <t>Truck &amp; Trailer Repair</t>
  </si>
  <si>
    <t>Truck Service, Trailer Repair, Fleet Maintenance, Parts</t>
  </si>
  <si>
    <t>Les Produits Forestiers MES Inc</t>
  </si>
  <si>
    <t>590 rue Sagard;St-Bruno-de-Montarville;Saint-Bruno QC J3V 6C2;CAN</t>
  </si>
  <si>
    <t>Forestry Products</t>
  </si>
  <si>
    <t>Lumber Supply, Wood Products, Forest Management</t>
  </si>
  <si>
    <t>Innova Solutions Inc.</t>
  </si>
  <si>
    <t>2400 Meadowbrook Parkway;Duluth GA 30096;USA</t>
  </si>
  <si>
    <t>IT Solutions &amp; Digital Transformation</t>
  </si>
  <si>
    <t>Cloud Services, AI/ML, Cybersecurity, Data Analytics, IT Staffing, Digital Engineering</t>
  </si>
  <si>
    <t>Quantum Lift, Inc.</t>
  </si>
  <si>
    <t>21300 MacArthur Blvd.;Warren MI 48089;USA</t>
  </si>
  <si>
    <t>Forklift Sales, Rental, Parts, Service, Material Handling</t>
  </si>
  <si>
    <t>Keller Williams Realty, Inc.</t>
  </si>
  <si>
    <t>1221 S MO Pac Expy;Ste 400;Austin TX 78746-6819;USA</t>
  </si>
  <si>
    <t>Real Estate Brokerage &amp; Franchise</t>
  </si>
  <si>
    <t>Residential Sales, Commercial Real Estate, Agent Training, Property Management</t>
  </si>
  <si>
    <t>RWC International LTD dba RWC Group</t>
  </si>
  <si>
    <t>600 North 75th Avenue;Phoenix AZ 85043;USA</t>
  </si>
  <si>
    <t>Commercial Truck &amp; Equipment Dealer</t>
  </si>
  <si>
    <t>Truck Sales, Parts, Service, Leasing, Commercial Vehicles</t>
  </si>
  <si>
    <t>Elmer Scott Huey dba Lawn Care</t>
  </si>
  <si>
    <t>Po Box 753;Safety Harbor FL 34695;USA</t>
  </si>
  <si>
    <t>Lawn Care Services</t>
  </si>
  <si>
    <t>Lawn Mowing, Yard Maintenance, Landscaping</t>
  </si>
  <si>
    <t>Ready Refresh-856158</t>
  </si>
  <si>
    <t>PO Box 856158;Louisville KY 40285-6158;USA</t>
  </si>
  <si>
    <t>Water &amp; Beverage Delivery Services</t>
  </si>
  <si>
    <t>Bottled Water, Coffee, Beverage Delivery, Filtration, Break Room Supplies</t>
  </si>
  <si>
    <t>OBrien Doors</t>
  </si>
  <si>
    <t>18717 Templeville Rd;Marydel MD 21649-1429;USA</t>
  </si>
  <si>
    <t>Door Installation &amp; Service</t>
  </si>
  <si>
    <t>Overhead Doors, Commercial Doors, Garage Doors, Repair</t>
  </si>
  <si>
    <t>Awesome Landscaping Corp.</t>
  </si>
  <si>
    <t>PO Box 627;Armonk NY 10504;USA</t>
  </si>
  <si>
    <t>Commercial Landscaping, Grounds Maintenance, Lawn Care</t>
  </si>
  <si>
    <t>Scott Hans</t>
  </si>
  <si>
    <t>12 BRIDLE LN;SEWELL NJ 08080-3306;USA</t>
  </si>
  <si>
    <t>CorpLand LLC</t>
  </si>
  <si>
    <t>PO Box 5191;Clinton NJ 08809-0191;USA</t>
  </si>
  <si>
    <t>Corporate Real Estate Consulting</t>
  </si>
  <si>
    <t>Site Selection, Lease Administration, Portfolio Management</t>
  </si>
  <si>
    <t>Talx UC Express</t>
  </si>
  <si>
    <t>4076 Paysphere Circle;Chicago IL 60674;USA</t>
  </si>
  <si>
    <t>Unemployment Cost Management</t>
  </si>
  <si>
    <t>Unemployment Tax Management, Claims Processing, Tax Credit Services, Compliance</t>
  </si>
  <si>
    <t>EmployBridge Holding Company</t>
  </si>
  <si>
    <t>1507 LYNDON B JOHNSON FWY;Suite 400;FARMERS BRANCH TX 75234-6088;USA</t>
  </si>
  <si>
    <t>Industrial Staffing &amp; Services</t>
  </si>
  <si>
    <t>Warehouse Staffing, Manufacturing Staffing, Logistics Staffing, Temp-to-Hire, Direct Hire</t>
  </si>
  <si>
    <t>Smartsheet.com</t>
  </si>
  <si>
    <t>PO Box 123421;Dept 3421;Dallas TX 75312-3421;USA</t>
  </si>
  <si>
    <t>Collaborative Work Management Software</t>
  </si>
  <si>
    <t>Project Management, Resource Management, Collaboration, Workflow Automation, Dashboards, Gantt Charts</t>
  </si>
  <si>
    <t>RocKilco LLC</t>
  </si>
  <si>
    <t>93 TRIANGLE ST;DANBURY CT 06810-3715;USA</t>
  </si>
  <si>
    <t>Blacks Tire Service Inc</t>
  </si>
  <si>
    <t>PO Box 919;Whiteville NC 28472;USA</t>
  </si>
  <si>
    <t>Tire Sales, Tire Repair, Fleet Services</t>
  </si>
  <si>
    <t>Prologis Logistics</t>
  </si>
  <si>
    <t>Industrial Real Estate &amp; Logistics</t>
  </si>
  <si>
    <t>Warehouse &amp; Distribution, Industrial Space, Logistics Real Estate, Supply Chain Solutions</t>
  </si>
  <si>
    <t>LBNW LLC</t>
  </si>
  <si>
    <t>65315 N HIGHWAY 97;BEND OR 97701-8849;USA</t>
  </si>
  <si>
    <t>Iron Mountain</t>
  </si>
  <si>
    <t>PO Box 27128;New York NY 10087 7128;USA</t>
  </si>
  <si>
    <t>Records &amp; Information Management</t>
  </si>
  <si>
    <t>Document Storage, Secure Shredding, Data Backup &amp; Recovery, Digital Transformation, Tape Vaulting</t>
  </si>
  <si>
    <t>ADESA Edmonton</t>
  </si>
  <si>
    <t>1701 9th Street;Nisku AB T9E 8M8;CAN</t>
  </si>
  <si>
    <t>Atlanta Commercial Tire Inc</t>
  </si>
  <si>
    <t>5067 Kennedy Rd;Forest Park GA 30297 2017;USA</t>
  </si>
  <si>
    <t>Commercial Tire Services</t>
  </si>
  <si>
    <t>Tire Sales, Fleet Service, Tire Repair</t>
  </si>
  <si>
    <t>Kobalt Industries, Inc.</t>
  </si>
  <si>
    <t>PO BOX 4175;Ontario CA 91761;USA</t>
  </si>
  <si>
    <t>Amazon Gift Cards</t>
  </si>
  <si>
    <t>Gift Card Services</t>
  </si>
  <si>
    <t>Employee Rewards, Incentives, Corporate Gifts</t>
  </si>
  <si>
    <t>Move Buddha</t>
  </si>
  <si>
    <t>Attn: Ryan Carrigan;PO Box 41;Athens GA 30603;USA</t>
  </si>
  <si>
    <t>Moving Industry Marketplace</t>
  </si>
  <si>
    <t>Moving Company Comparison, Cost Estimates, Moving Guides, Reviews</t>
  </si>
  <si>
    <t>1499 E Philadelphia LLC</t>
  </si>
  <si>
    <t>922 STATE ROUTE 33;STE 8 Suite 802;FREEHOLD NJ 07728-8439;USA</t>
  </si>
  <si>
    <t>Real Estate, Office/Retail Space</t>
  </si>
  <si>
    <t>Lift Solutions, Inc</t>
  </si>
  <si>
    <t>14616 Shepard St;Omaha NE 68138-4315;USA</t>
  </si>
  <si>
    <t>B4 Logistics</t>
  </si>
  <si>
    <t>PO Box 82128;Las Vegas NV 89180;USA</t>
  </si>
  <si>
    <t>Trucking, Hotshot Delivery, LTL Shipping</t>
  </si>
  <si>
    <t>Storemytruck.com, LLC</t>
  </si>
  <si>
    <t>PO Box 2661;Norcross GA 30091;USA</t>
  </si>
  <si>
    <t>Truck &amp; Vehicle Storage</t>
  </si>
  <si>
    <t>Truck Parking, Vehicle Storage, Fleet Parking, Secure Storage</t>
  </si>
  <si>
    <t>Mountain Laurel Ashby, LLC</t>
  </si>
  <si>
    <t>PO BOX 2970;ACTON MA 01720-6970;USA</t>
  </si>
  <si>
    <t>Livingston International-us</t>
  </si>
  <si>
    <t>PO Box 7410166;Chicago IL 60674-0166;USA</t>
  </si>
  <si>
    <t>Sand Key Associates LP DBA Sheraton</t>
  </si>
  <si>
    <t>1160 Gulf Blvd;Clearwater Beach FL 33767;USA</t>
  </si>
  <si>
    <t>Hotel &amp; Hospitality Services</t>
  </si>
  <si>
    <t>Hotel Accommodations, Event Space, Resort Services</t>
  </si>
  <si>
    <t>Airmax Heating &amp; Cooling Inc</t>
  </si>
  <si>
    <t>4563 TECHNOLOGY DR;STE 1;WILMINGTON NC 28405-2173;USA</t>
  </si>
  <si>
    <t>Heating, Air Conditioning, HVAC Installation</t>
  </si>
  <si>
    <t>Davis Wright Tremaine LLP</t>
  </si>
  <si>
    <t>920 5TH AVE;STE 3300;SEATTLE WA 98104-1189;USA</t>
  </si>
  <si>
    <t>Corporate Law, Litigation, IP, Privacy &amp; Cybersecurity, Employment Law</t>
  </si>
  <si>
    <t>44 River LLC</t>
  </si>
  <si>
    <t>8 Pond View;Montville NJ 07045;USA</t>
  </si>
  <si>
    <t>PetroChoice Holdings Inc</t>
  </si>
  <si>
    <t>P.O. Box 737894;Dallas TX 75373;USA</t>
  </si>
  <si>
    <t>Lubricant Distribution &amp; Solutions</t>
  </si>
  <si>
    <t>Lubricant Sales, Mobil Distribution, Oil Analysis, Equipment Reliability Services, Blending</t>
  </si>
  <si>
    <t>Arnold Machinery Company</t>
  </si>
  <si>
    <t>PO Box 30020;Salt Lake City UT 84130 0020;USA</t>
  </si>
  <si>
    <t>Forklift Sales &amp; Service, Parts, Warehouse Solutions, Rentals</t>
  </si>
  <si>
    <t>Central Auto &amp; Transport LLC</t>
  </si>
  <si>
    <t>195 MAXIM RD;HARTFORD CT 06114-1628;USA</t>
  </si>
  <si>
    <t>Assoc of National Advertisers</t>
  </si>
  <si>
    <t>708 3rd Ave;New York NY 10017-4201;USA</t>
  </si>
  <si>
    <t>Marketing &amp; Advertising Association</t>
  </si>
  <si>
    <t>Industry Networking, Marketing Resources, Advocacy</t>
  </si>
  <si>
    <t>Southern Lift Trucks, LLC</t>
  </si>
  <si>
    <t>871 South Washington Avenue;Mobile AL 36603;USA</t>
  </si>
  <si>
    <t>Forklift &amp; Lift Truck Sales/Service</t>
  </si>
  <si>
    <t>Smart Community Storage Inc.</t>
  </si>
  <si>
    <t>13045 Sawpit Road;Jacksonville FL 32226;USA</t>
  </si>
  <si>
    <t>Storage Units, Climate-Controlled Storage, Moving Supplies</t>
  </si>
  <si>
    <t>PricewaterhouseCoopers LLP UK</t>
  </si>
  <si>
    <t>1 Embankment Place;London WCR2R;GBR</t>
  </si>
  <si>
    <t>Royal Brass, Inc.</t>
  </si>
  <si>
    <t>1470 AMHERST RD;KNOXVILLE TN 37909-1264;USA</t>
  </si>
  <si>
    <t>Hydraulic Hose &amp; Fittings Distribution</t>
  </si>
  <si>
    <t>Hydraulic Hoses, Brass Fittings, Industrial Supplies, Fluid Power</t>
  </si>
  <si>
    <t>001128</t>
  </si>
  <si>
    <t>Gregg Distributors LP</t>
  </si>
  <si>
    <t>16215 - 118 Avenue;Edmonton AB T5V 1C7;CAN</t>
  </si>
  <si>
    <t>Industrial &amp; Automotive Parts Distribution</t>
  </si>
  <si>
    <t>Automotive Parts, Industrial Supplies, Safety Equipment, Tools, Hydraulics</t>
  </si>
  <si>
    <t>BestOne Tire</t>
  </si>
  <si>
    <t>PO Box 734028;Chicago IL 60673-4028;USA</t>
  </si>
  <si>
    <t>Tire Sales, Tire Repair, Wheel Services, Auto Maintenance</t>
  </si>
  <si>
    <t>AMX Logistics</t>
  </si>
  <si>
    <t>10720 E US HIGHWAY 84;ASHFORD AL 36312-4497;USA</t>
  </si>
  <si>
    <t>Trucking, Logistics, Hotshot Delivery</t>
  </si>
  <si>
    <t>VSC Fire &amp; Security Inc-Z027,Z130</t>
  </si>
  <si>
    <t>PO BOX 749259;ATLANTA GA 30374-9259;USA</t>
  </si>
  <si>
    <t>Fire &amp; Security Systems</t>
  </si>
  <si>
    <t>Fire Alarms, Sprinkler Systems, Security Systems, Monitoring, Suppression, Inspections</t>
  </si>
  <si>
    <t>LiftOne LLC</t>
  </si>
  <si>
    <t>PO Box 602727;Charlotte NC 28260-2727;USA</t>
  </si>
  <si>
    <t>Forklift Sales &amp; Service, Parts, Rental, Fleet Management, Warehouse Solutions</t>
  </si>
  <si>
    <t>Horizon Electronics Loss Prevention</t>
  </si>
  <si>
    <t>7925 EVIES WAY;PORT RICHEY FL 34668-6819;USA</t>
  </si>
  <si>
    <t>Electronic Security &amp; Loss Prevention</t>
  </si>
  <si>
    <t>CCTV Systems, Alarm Systems, Loss Prevention Technology, Security Consulting</t>
  </si>
  <si>
    <t>Piper Fire Protection, Inc.</t>
  </si>
  <si>
    <t>13075 US Highway 19 N;Clearwater FL 33764-7224;USA</t>
  </si>
  <si>
    <t>Fire Sprinkler Systems, Fire Alarm Installation, Backflow Prevention, Inspections</t>
  </si>
  <si>
    <t>Trailco of Florida, Inc</t>
  </si>
  <si>
    <t>8601 E CHURCH ST;HASTINGS FL 32145-3901;USA</t>
  </si>
  <si>
    <t>Trailer Sales &amp; Service</t>
  </si>
  <si>
    <t>Trailer Sales, Trailer Repair, Parts, Rental, Flatbed Trailers</t>
  </si>
  <si>
    <t>000978</t>
  </si>
  <si>
    <t>Nordic Mechanical Services Ltd.</t>
  </si>
  <si>
    <t>4143 78 Avenue;Edmonton AB T6B 2N3;CAN</t>
  </si>
  <si>
    <t>HVAC, Plumbing, Piping, Refrigeration, Mechanical Service</t>
  </si>
  <si>
    <t>US Lawns Nashua</t>
  </si>
  <si>
    <t>373 South Willow Street;#300;Manchester NH 03103;USA</t>
  </si>
  <si>
    <t>Landscaping &amp; Lawn Care</t>
  </si>
  <si>
    <t>Commercial Landscaping, Lawn Maintenance, Irrigation, Snow Removal, Grounds Care</t>
  </si>
  <si>
    <t>Muldowney Development Inc.</t>
  </si>
  <si>
    <t>10 Beach Rd;Dunkirk NY 14048;USA</t>
  </si>
  <si>
    <t>PEAC Solutions</t>
  </si>
  <si>
    <t>PO Box 13604;Philadelphia PA 19101;USA</t>
  </si>
  <si>
    <t>Equipment Loans, Technology Leasing, Capital Finance, Asset Management</t>
  </si>
  <si>
    <t>Cision US, Inc.</t>
  </si>
  <si>
    <t>1785 Greensboro Station 8th Floor;Mc Lean VA 22102;USA</t>
  </si>
  <si>
    <t>Commercial Banking Services</t>
  </si>
  <si>
    <t>Business Banking, Treasury Management, Commercial Lending</t>
  </si>
  <si>
    <t>Humble Flooring Services Inc</t>
  </si>
  <si>
    <t>1390 FM 1960 BYPASS RD E;HUMBLE TX 77338-3908;USA</t>
  </si>
  <si>
    <t>Flooring Installation &amp; Services</t>
  </si>
  <si>
    <t>Hardwood, Tile, Carpet, Vinyl Flooring Installation, Floor Refinishing</t>
  </si>
  <si>
    <t>M&amp;L Industries, LLC</t>
  </si>
  <si>
    <t>1210 St Charles St;Houma LA 70360;USA</t>
  </si>
  <si>
    <t>Fabrication, Welding, Manufacturing, Marine Industrial Services</t>
  </si>
  <si>
    <t>Wolter, Inc.</t>
  </si>
  <si>
    <t>3125 INTERTECH DR;BROOKFIELD WI 53045-5113;USA</t>
  </si>
  <si>
    <t>Forklift Sales &amp; Service, Parts, Rentals, Material Handling, Warehouse Equipment, Battery Service</t>
  </si>
  <si>
    <t>Gen Digital Inc.</t>
  </si>
  <si>
    <t>60 E Rio Salado Parkway;Suite 1000;Tempe AZ 85281;USA</t>
  </si>
  <si>
    <t>Consumer Cybersecurity Software</t>
  </si>
  <si>
    <t>Norton Antivirus, LifeLock Identity Protection, Avast, AVG, VPN, CCleaner</t>
  </si>
  <si>
    <t>Simeral Properties LLC</t>
  </si>
  <si>
    <t>PO Box 142;Grand Coteau LA 70541;USA</t>
  </si>
  <si>
    <t>Miguel Sanchez Painting</t>
  </si>
  <si>
    <t>101 Sunset St.;Rochester NY 14606;USA</t>
  </si>
  <si>
    <t>Painting Contractor</t>
  </si>
  <si>
    <t>Commercial Painting, Residential Painting, Interior/Exterior Painting</t>
  </si>
  <si>
    <t>Spokane Recycling Company, LLC</t>
  </si>
  <si>
    <t>2111 E Hawthorne Rd;Spokane WA 99218;USA</t>
  </si>
  <si>
    <t>Recycling &amp; Waste Management</t>
  </si>
  <si>
    <t>Recycling Services, Waste Collection, Scrap Metal, Property Management</t>
  </si>
  <si>
    <t>WJM Holdings LLC</t>
  </si>
  <si>
    <t>5550 TRIANGLE PKWY;STE 210;PEACHTREE CORNERS GA 30092-6527;USA</t>
  </si>
  <si>
    <t>Atlassian</t>
  </si>
  <si>
    <t>Level 6, 341 George St.;Sydney ACT NSW 2000;AUS</t>
  </si>
  <si>
    <t>Collaboration Software Platform</t>
  </si>
  <si>
    <t>Jira Project Management, Confluence Documentation, Trello, Bitbucket</t>
  </si>
  <si>
    <t>TLC Total Lawn Care</t>
  </si>
  <si>
    <t>6655 Blanding Blvd;Jacksonville FL 32244-3713;USA</t>
  </si>
  <si>
    <t>Lawn Mowing, Landscaping, Irrigation, Tree Service, Commercial Grounds Maintenance</t>
  </si>
  <si>
    <t>Taylor Nelson Slattery Bernard PLLC</t>
  </si>
  <si>
    <t>20 3RD ST SW;STE 209;WINTER HAVEN FL 33880-2966;USA</t>
  </si>
  <si>
    <t>Litigation, Real Estate Law, Family Law, Estate Planning, Business Law</t>
  </si>
  <si>
    <t>Quench USA Inc</t>
  </si>
  <si>
    <t>P.O. BOX 735777;Dallas TX 75373;USA</t>
  </si>
  <si>
    <t>Water Filtration &amp; Dispensing Solutions</t>
  </si>
  <si>
    <t>Bottleless Water Coolers, Filtration, Sparkling Water, Coffee Service</t>
  </si>
  <si>
    <t>Gregory Poole Equipment co.</t>
  </si>
  <si>
    <t>Processing Center;PO Box 60457;Charlotte NC 28260;USA</t>
  </si>
  <si>
    <t>CAT Equipment, Construction Equipment, Power Systems, Parts, Rental</t>
  </si>
  <si>
    <t>Steves Repair Service LLC</t>
  </si>
  <si>
    <t>1661 Nakula St;Apt B;Wahiawa HI 96786-2630;USA</t>
  </si>
  <si>
    <t>Equipment Repair Services</t>
  </si>
  <si>
    <t>Appliance Repair, Equipment Maintenance, General Repair Services</t>
  </si>
  <si>
    <t>Temperance Hill Square, LLC</t>
  </si>
  <si>
    <t>8221 RANCH BLVD;STE A-1;LITTLE ROCK AR 72223-4616;USA</t>
  </si>
  <si>
    <t>L&amp;S Contracting Services LLC</t>
  </si>
  <si>
    <t>PO Box 163;25 Longview Lane;Hamburg NJ 07419;USA</t>
  </si>
  <si>
    <t>Construction, Maintenance, Renovation, Building Services</t>
  </si>
  <si>
    <t>Safetyculture Pty Ltd</t>
  </si>
  <si>
    <t>Level 8, 210 George Street,;Sydney ACT NSW 2000;AUS</t>
  </si>
  <si>
    <t>Safety &amp; Compliance Software Platform</t>
  </si>
  <si>
    <t>Safety Inspections, Audits, Compliance Management, Quality Assurance, Incident Reporting</t>
  </si>
  <si>
    <t>Entertainment Benefits Group</t>
  </si>
  <si>
    <t>Attn: Noa Nijamkin;19495 Biscayne Blvd;Ste 300;Aventura FL 33180-2319;USA</t>
  </si>
  <si>
    <t>Corporate Perks &amp; Discount Platform</t>
  </si>
  <si>
    <t>Employee Discount Programs, Theme Park Tickets, Travel Deals, Corporate Perks Platform</t>
  </si>
  <si>
    <t>Lets Plan a Party, LLC</t>
  </si>
  <si>
    <t>27152 Evergreen Chase Drive;Wesley Chapel FL 33544;USA</t>
  </si>
  <si>
    <t>Event Planning &amp; Rental</t>
  </si>
  <si>
    <t>Party Supplies, Event Rentals, Event Coordination</t>
  </si>
  <si>
    <t>Real Time Board Inc. dba Miro</t>
  </si>
  <si>
    <t>201 Spear Street;Suite 1100;San Francisco CA 94105;USA</t>
  </si>
  <si>
    <t>Online Collaborative Whiteboard Platform</t>
  </si>
  <si>
    <t>Visual Collaboration, Diagramming, Brainstorming, Agile Workflows, Meetings &amp; Workshops, Project Management</t>
  </si>
  <si>
    <t>KRV LLC</t>
  </si>
  <si>
    <t>4425 Rue Saint Martin;Kenner LA 70065;USA</t>
  </si>
  <si>
    <t>Advance Treads Inc.</t>
  </si>
  <si>
    <t>PO Box 188;Norma NJ 08347-0188;USA</t>
  </si>
  <si>
    <t>Tire &amp; Tread Services</t>
  </si>
  <si>
    <t>Tire Retreading, Commercial Tires, Fleet Services</t>
  </si>
  <si>
    <t>APFS Staffing, Inc</t>
  </si>
  <si>
    <t>7076 SOLUTIONS CTR;CHICAGO IL 60677-7000;USA</t>
  </si>
  <si>
    <t>Temporary Staffing, Workforce Solutions, Recruiting</t>
  </si>
  <si>
    <t>Northwind Air Conditioning</t>
  </si>
  <si>
    <t>5921 Thomas Road;Houston TX 77041;USA</t>
  </si>
  <si>
    <t>Air Conditioning, Heating, Ventilation, Repair, Installation</t>
  </si>
  <si>
    <t>Union Realtime LLC</t>
  </si>
  <si>
    <t>405 Lexington Ave;Floor 9;New York NY 10174-0002;USA</t>
  </si>
  <si>
    <t>Financial Technology &amp; SaaS</t>
  </si>
  <si>
    <t>Financial Software, Payment Processing, Capital Markets Technology, SaaS Solutions</t>
  </si>
  <si>
    <t>Banter LLC</t>
  </si>
  <si>
    <t>2302 East 12th Street;Austin TX 78702;USA</t>
  </si>
  <si>
    <t>Marketing &amp; Communications</t>
  </si>
  <si>
    <t>Brand Strategy, Content Creation, Digital Marketing</t>
  </si>
  <si>
    <t>Ewing D. Blackston</t>
  </si>
  <si>
    <t>PO Box 306;Seneca SC 29679-0306;USA</t>
  </si>
  <si>
    <t>Ward International Trucks, LLC</t>
  </si>
  <si>
    <t>2101 Perimeter Rd;Mobile AL 36615-1129;USA</t>
  </si>
  <si>
    <t>International Trucks, Parts, Service, Truck Sales, Leasing</t>
  </si>
  <si>
    <t>Euless Wrecker Service Inc</t>
  </si>
  <si>
    <t>1201 W Euless Blvd;Euless TX 76040 4914;USA</t>
  </si>
  <si>
    <t>Towing &amp; Wrecker Services</t>
  </si>
  <si>
    <t>Vehicle Towing, Roadside Assistance, Accident Recovery, Impound Services</t>
  </si>
  <si>
    <t>Tampa Bay Staging &amp; Events</t>
  </si>
  <si>
    <t>2519 N McMullen Booth Rd;Suit 510-130;Clearwater FL 33761-4173;USA</t>
  </si>
  <si>
    <t>Event Production &amp; Staging</t>
  </si>
  <si>
    <t>Stage Rental, Lighting, Sound, AV Equipment, Event Production, Decor</t>
  </si>
  <si>
    <t>Opaljur PTY LTD</t>
  </si>
  <si>
    <t>32 George St;NSW ;AUS</t>
  </si>
  <si>
    <t>Consulting, Business Advisory</t>
  </si>
  <si>
    <t>Womble Bond Dickinson (US) LLP</t>
  </si>
  <si>
    <t>PO Box 601879;Charlotte NC 28260-1879;USA</t>
  </si>
  <si>
    <t>Litigation, Corporate Transactions, IP, Real Estate, Employment Law, Data Privacy, M&amp;A</t>
  </si>
  <si>
    <t>New England Lift Truck Corp.</t>
  </si>
  <si>
    <t>131 Comstock Parkway;Cranston RI 02921;USA</t>
  </si>
  <si>
    <t>Kaufman Real Estate</t>
  </si>
  <si>
    <t>7908 Sweet Iron Court SE;Tumwater WA 98501;USA</t>
  </si>
  <si>
    <t>Starlite</t>
  </si>
  <si>
    <t>111 S 4th St;Bay Shore NY 11706 1230;USA</t>
  </si>
  <si>
    <t>Utility Services</t>
  </si>
  <si>
    <t>Electric Service, Utility Billing, Power Distribution</t>
  </si>
  <si>
    <t>F&amp;S Tire Corp</t>
  </si>
  <si>
    <t>58 Brunswick Ave;Edison NJ 08817 2513;USA</t>
  </si>
  <si>
    <t>Tire Sales, Tire Repair, Wheel Alignment, Fleet Tire Services</t>
  </si>
  <si>
    <t>Reading Industrial LLC</t>
  </si>
  <si>
    <t>Browserstack Inc.</t>
  </si>
  <si>
    <t>4512 Legacy Drive;Suite 100;Plano TX 75024;USA</t>
  </si>
  <si>
    <t>Software Testing Platform</t>
  </si>
  <si>
    <t>Cross-Browser Testing, Mobile App Testing, Automated Testing, Visual Testing</t>
  </si>
  <si>
    <t>Callaghans Best-One Tire &amp; Serv</t>
  </si>
  <si>
    <t>PO Box 20681;Tampa FL 33622-0681;USA</t>
  </si>
  <si>
    <t>Paving Products Manufacturing</t>
  </si>
  <si>
    <t>Pavers, Retaining Walls, Outdoor Living Products</t>
  </si>
  <si>
    <t>Discount Fence Company</t>
  </si>
  <si>
    <t>550 W 162nd St;South Holland IL 60473-2072;USA</t>
  </si>
  <si>
    <t>Fencing Services</t>
  </si>
  <si>
    <t>Fence Installation, Repair, Custom Fencing</t>
  </si>
  <si>
    <t>Alternative Landscape &amp; Mntc, .</t>
  </si>
  <si>
    <t>1602 Fuller Road;Colorado Springs CO 80920;USA</t>
  </si>
  <si>
    <t>Landscape Maintenance, Grounds Care, Commercial Landscaping</t>
  </si>
  <si>
    <t>Pacific Material Handling</t>
  </si>
  <si>
    <t>PO Box 7685;Fremont CA 94537 7685;USA</t>
  </si>
  <si>
    <t>Forklift Sales &amp; Service, Parts, Rental, Warehouse Solutions</t>
  </si>
  <si>
    <t>230 Sussex Street LLC</t>
  </si>
  <si>
    <t>227 Sussex Street;Pewaukee WI 53072;USA</t>
  </si>
  <si>
    <t>Broadway Properties Management LLC</t>
  </si>
  <si>
    <t>PO Box 1233;New Albany IN 47150;USA</t>
  </si>
  <si>
    <t>TY Investments LLC</t>
  </si>
  <si>
    <t>15115 Forest Rd;Forest VA 24551;USA</t>
  </si>
  <si>
    <t>Mariner-Gulf Consulting &amp; Services</t>
  </si>
  <si>
    <t>17414 Riverside Lane;Tickfaw LA 70466;USA</t>
  </si>
  <si>
    <t>Oil &amp; Gas Consulting</t>
  </si>
  <si>
    <t>Marine Consulting, Energy Services, Environmental Compliance</t>
  </si>
  <si>
    <t>CFE Equipment Corporation Do Not Use-(Use This Acc 152307-Northern Coast Lift Truck, Inc.)</t>
  </si>
  <si>
    <t>818 WIDGEON RD;NORFOLK VA 23513-3041;USA</t>
  </si>
  <si>
    <t>Forklift Sales &amp; Service, Equipment Rental</t>
  </si>
  <si>
    <t>Maid for Kings Cleaning Service LLC</t>
  </si>
  <si>
    <t>4606 Mary Ave;Baltimore MD 21206-2815;USA</t>
  </si>
  <si>
    <t>Residential Cleaning, Commercial Cleaning, Deep Cleaning</t>
  </si>
  <si>
    <t>Johnson Controls Security Solutions</t>
  </si>
  <si>
    <t>PO Box 371967;Pittsburgh PA 15250-7967;USA</t>
  </si>
  <si>
    <t>Access Control, Video Surveillance, Intrusion Detection, Fire Alarms, Cybersecurity</t>
  </si>
  <si>
    <t>R&amp;S Erection of Santa Rosa, Inc.</t>
  </si>
  <si>
    <t>3531 Santa Rosa Avenue;Santa Rosa CA 95407;USA</t>
  </si>
  <si>
    <t>Overhead Door &amp; Dock Equipment</t>
  </si>
  <si>
    <t>Loading Dock Equipment, Overhead Doors, Installation, Service &amp; Repair</t>
  </si>
  <si>
    <t>The driveN Agency Inc.</t>
  </si>
  <si>
    <t>11239 Ventura Blvd. #103-1023;Studio City CA 91604;USA</t>
  </si>
  <si>
    <t>Performance Marketing, Paid Media, Creative Services, Social Media, Brand Strategy</t>
  </si>
  <si>
    <t>Paloma Model &amp; Talent, Inc</t>
  </si>
  <si>
    <t>1600 Rosecrans Avenue, Media Center, 4th Floor,;Manhattan Beach CA 90266;USA</t>
  </si>
  <si>
    <t>Talent &amp; Modeling Agency</t>
  </si>
  <si>
    <t>Fashion Modeling, Acting Talent, Print &amp; Commercial, Talent Representation</t>
  </si>
  <si>
    <t>Barnwell House Of Tires Inc</t>
  </si>
  <si>
    <t>65 Jetson Ln;Central Islip NY 11722 1202;USA</t>
  </si>
  <si>
    <t>Tire Sales, Fleet Service, Tire Repair, Wheel Services</t>
  </si>
  <si>
    <t>Teamster Local Union No. 384</t>
  </si>
  <si>
    <t>Attn: Matthew Condron;2910 Hannah Ave.;Norristown PA 19401;USA</t>
  </si>
  <si>
    <t>Stephen Gould Corporation</t>
  </si>
  <si>
    <t>5 Giralda Farms;Madison NJ 07940;USA</t>
  </si>
  <si>
    <t>Packaging Solutions Provider</t>
  </si>
  <si>
    <t>Custom Packaging, Display Solutions, Contract Manufacturing, Supply Chain Services</t>
  </si>
  <si>
    <t>Shred-It USA,LLC</t>
  </si>
  <si>
    <t>28883 Network Pl;Chicago IL 60673-1288;USA</t>
  </si>
  <si>
    <t>Document Destruction Services</t>
  </si>
  <si>
    <t>Secure Shredding, Records Management, Hard Drive Destruction, Compliance Services</t>
  </si>
  <si>
    <t>Quinlan Enterprise, LLC</t>
  </si>
  <si>
    <t>152 Wheeler Rd;Stonington CT 06378;USA</t>
  </si>
  <si>
    <t>ResNav Solutions Inc.</t>
  </si>
  <si>
    <t>51 Main Street;Suite 2;Stoneham MA 02180;USA</t>
  </si>
  <si>
    <t>IT &amp; Navigation Solutions</t>
  </si>
  <si>
    <t>IT Consulting, Navigation Solutions, Software Development</t>
  </si>
  <si>
    <t>Sasha Bogie Inc.</t>
  </si>
  <si>
    <t>1445 N STANLEY AVE;2nd Floor;LOS ANGELES CA 90046-4015;USA</t>
  </si>
  <si>
    <t>Talent &amp; Entertainment Agency</t>
  </si>
  <si>
    <t>Talent Representation, Entertainment Production, Commercial Casting</t>
  </si>
  <si>
    <t>Allied Garage Door, Inc.</t>
  </si>
  <si>
    <t>PO Box 817;Lombard IL 60148;USA</t>
  </si>
  <si>
    <t>Commercial Garage Door Services</t>
  </si>
  <si>
    <t>Sectional Steel Doors, Rolling Steel Doors, Fire-Rated Doors, 24/7 Emergency Service</t>
  </si>
  <si>
    <t>Specialty Panel Products USA</t>
  </si>
  <si>
    <t>1740 West 5th Avenue;Eugene OR 97402;USA</t>
  </si>
  <si>
    <t>Plywood, Panel Products, Specialty Wood, Wholesale Distribution</t>
  </si>
  <si>
    <t>Alpha Services Corporation</t>
  </si>
  <si>
    <t>4535 Sunbelt Dr;Addison TX 75001 5204;USA</t>
  </si>
  <si>
    <t>Asset Management, Workforce Development, Capital Planning, Maintenance</t>
  </si>
  <si>
    <t>Davis-Ulmer Sprinkler Co. Inc</t>
  </si>
  <si>
    <t>PO BOX 412007;BOSTON MA 02241-2007;USA</t>
  </si>
  <si>
    <t>Fire Protection, Sprinkler Installation, Inspection &amp; Testing</t>
  </si>
  <si>
    <t>Gabbard Overhead Door</t>
  </si>
  <si>
    <t>8733 COLBY LAKE RD;LAINGSBURG MI 48848-9726;USA</t>
  </si>
  <si>
    <t>Garage Door Repair, Installation, Commercial &amp; Residential Doors</t>
  </si>
  <si>
    <t>Ryan Lantz and Sons Painting LLC</t>
  </si>
  <si>
    <t>6725 ITASKA ST;SAINT LOUIS MO 63109-3012;USA</t>
  </si>
  <si>
    <t>Painting Services</t>
  </si>
  <si>
    <t>Interior/Exterior Painting, Residential &amp; Commercial, Surface Prep</t>
  </si>
  <si>
    <t>Power Systems Inc.</t>
  </si>
  <si>
    <t>355 Gus Hipp Blvd;Ste 9;Rockledge FL 32955-4806;USA</t>
  </si>
  <si>
    <t>IT Infrastructure &amp; Power Solutions</t>
  </si>
  <si>
    <t>UPS Systems, Power Distribution, IT Infrastructure, Data Center Solutions</t>
  </si>
  <si>
    <t>000564</t>
  </si>
  <si>
    <t>Lordco Auto Parts</t>
  </si>
  <si>
    <t>1525 Kingsway Ave;Port Coquitlam BC V3C 1S2;CAN</t>
  </si>
  <si>
    <t>Auto Parts, Tools, Equipment, Accessories, Wholesale &amp; Retail</t>
  </si>
  <si>
    <t>Passport Unlimited Inc.</t>
  </si>
  <si>
    <t>PO Box 727;Kirkland WA 98083;USA</t>
  </si>
  <si>
    <t>Employee Perks &amp; Discount Platform</t>
  </si>
  <si>
    <t>Corporate Discount Programs, Employee Benefits, Travel Deals, Entertainment Tickets</t>
  </si>
  <si>
    <t>Alhambra</t>
  </si>
  <si>
    <t>PO Box 660579;Dallas TX 75266-0579;USA</t>
  </si>
  <si>
    <t>Bottled Water Delivery</t>
  </si>
  <si>
    <t>Water Dispensers, Office Water Service, Filtration Systems</t>
  </si>
  <si>
    <t>DH Pace Company, Inc.</t>
  </si>
  <si>
    <t>1901 East 19th Street;Olathe KS 66061;USA</t>
  </si>
  <si>
    <t>Door &amp; Dock Equipment Services</t>
  </si>
  <si>
    <t>Overhead Doors, Loading Dock Equipment, Automatic Doors, Access Solutions</t>
  </si>
  <si>
    <t>Alta Industrial Equipment MI. LLC</t>
  </si>
  <si>
    <t>25538 Network Pl;Chicago IL 60673-1255;USA</t>
  </si>
  <si>
    <t>Forklift Sales &amp; Service, Rentals, Parts, Fleet Management, Motive Power</t>
  </si>
  <si>
    <t>AudiencePoint Inc.</t>
  </si>
  <si>
    <t>1100 MARKET ST;Suite 600;CHATTANOOGA TN 37402-2893;USA</t>
  </si>
  <si>
    <t>Email Marketing Platform</t>
  </si>
  <si>
    <t>Email Analytics, Audience Insights, Marketing Intelligence</t>
  </si>
  <si>
    <t>Asana Inc.</t>
  </si>
  <si>
    <t>633 Folsom St;San Francisco CA 94107;USA</t>
  </si>
  <si>
    <t>Project Management Software</t>
  </si>
  <si>
    <t>Task Management, Workflow Automation, Team Collaboration, Goal Tracking</t>
  </si>
  <si>
    <t>Cty Secure Parking &amp; Trailer Repair</t>
  </si>
  <si>
    <t>10220 W Reno Ave;Oklahoma City OK 73127-7155;USA</t>
  </si>
  <si>
    <t>Secure Parking &amp; Trailer Repair</t>
  </si>
  <si>
    <t>Trailer Storage, Parking Lot Management, Trailer Maintenance</t>
  </si>
  <si>
    <t>Gardners Cleaning</t>
  </si>
  <si>
    <t>PO Box 52026;Riverside CA 92517-3026;USA</t>
  </si>
  <si>
    <t>Janitorial, Office Cleaning, Floor Care</t>
  </si>
  <si>
    <t>Johnny Piper</t>
  </si>
  <si>
    <t>660 LEGENDS CREST DR;FRANKLIN TN 37069-4656;USA</t>
  </si>
  <si>
    <t>Allegra Marketing Print Mail</t>
  </si>
  <si>
    <t>107 North Jefferson Street;Tampa FL 33602;USA</t>
  </si>
  <si>
    <t>Printing &amp; Marketing Services</t>
  </si>
  <si>
    <t>Commercial Printing, Direct Mail, Graphic Design, Signage</t>
  </si>
  <si>
    <t>Elite Landscaping and Lawn Mntc</t>
  </si>
  <si>
    <t>100 Essex Drive;Winterville NC 28590;USA</t>
  </si>
  <si>
    <t>Landscaping &amp; Lawn Maintenance</t>
  </si>
  <si>
    <t>Lawn Mowing, Landscape Design, Irrigation, Grounds Maintenance</t>
  </si>
  <si>
    <t>Parker Gas Company Inc.</t>
  </si>
  <si>
    <t>PO Box 2590;Clinton NC 28329;USA</t>
  </si>
  <si>
    <t>Propane Delivery, Tank Installation, Residential &amp; Commercial Gas Service</t>
  </si>
  <si>
    <t>Kinko ./Overhead Door Co. of Waco</t>
  </si>
  <si>
    <t>PO Box 21987;Waco TX 76702-1987;USA</t>
  </si>
  <si>
    <t>Black and McDonald Ltd.</t>
  </si>
  <si>
    <t>401A WESTON ST;WINNIPEG MB R3E 3H4;CAN</t>
  </si>
  <si>
    <t>Facility Management &amp; Construction</t>
  </si>
  <si>
    <t>Mechanical Services, Electrical, Facility Maintenance, Construction</t>
  </si>
  <si>
    <t>Linde Gas &amp; Equipment</t>
  </si>
  <si>
    <t>Dept CH10660;Palatine IL 60055;USA</t>
  </si>
  <si>
    <t>Industrial Gas &amp; Equipment</t>
  </si>
  <si>
    <t>Industrial Gases, Welding Supplies, Gas Distribution, Equipment Sales</t>
  </si>
  <si>
    <t>Brainlabs USA, LLC</t>
  </si>
  <si>
    <t>501 N Morton St;Suite 212;Bloomington IN 47404;USA</t>
  </si>
  <si>
    <t>Bolt Acquireco, Inc.</t>
  </si>
  <si>
    <t>7291 Cottage Hill Rd;Mobile AL 36695;USA</t>
  </si>
  <si>
    <t>Industrial Supply</t>
  </si>
  <si>
    <t>Industrial Fasteners, Hardware, Supply Distribution</t>
  </si>
  <si>
    <t>Albert Vaughters</t>
  </si>
  <si>
    <t>89 Old Henry Grady Rd;Dawsonville GA 30534-2433;USA</t>
  </si>
  <si>
    <t>Real Estate, Property Rental</t>
  </si>
  <si>
    <t>Bash Realty FL, LLC</t>
  </si>
  <si>
    <t>39 Fairway View Drive;Sutton MA 01590;USA</t>
  </si>
  <si>
    <t>Cinnati Lift Truck &amp; Battery Serv</t>
  </si>
  <si>
    <t>7685 St Rt 48 #5;Maineville OH 45039;USA</t>
  </si>
  <si>
    <t>Insurance Defense, Workers' Compensation, Litigation</t>
  </si>
  <si>
    <t>COS IV LLC</t>
  </si>
  <si>
    <t>14110 Castle Brook Rd;Evansville IN 47725-8320;USA</t>
  </si>
  <si>
    <t>Hotsy Equipment Company</t>
  </si>
  <si>
    <t>77 ILLINOIS AVE S;MANSFIELD OH 44905-2824;USA</t>
  </si>
  <si>
    <t>Pressure Washer Sales &amp; Service</t>
  </si>
  <si>
    <t>Hot Water Pressure Washers, Parts, Cleaning Chemicals, Equipment Repair</t>
  </si>
  <si>
    <t>Signarama, Inc. - West Palm Beach</t>
  </si>
  <si>
    <t>2121 Vista Pkwy;West Palm Beach FL 33411-2706;USA</t>
  </si>
  <si>
    <t>Sign Manufacturing &amp; Franchising</t>
  </si>
  <si>
    <t>Custom Signs, Banners, Vehicle Wraps, Digital Printing, Trade Show Displays</t>
  </si>
  <si>
    <t>TCL Industries, Inc.</t>
  </si>
  <si>
    <t>191 Poplar Place, Unit 4;North Aurora IL 60542;USA</t>
  </si>
  <si>
    <t>Industrial Manufacturing</t>
  </si>
  <si>
    <t>Metal Fabrication, Industrial Components, Custom Manufacturing</t>
  </si>
  <si>
    <t>Tritech Electric, LLC</t>
  </si>
  <si>
    <t>9578 NIMS LN;PENSACOLA FL 32534-1302;USA</t>
  </si>
  <si>
    <t>Commercial Electrical, Residential Electrical, Wiring, Panel Upgrades, Service</t>
  </si>
  <si>
    <t>Motor City Door Company, Inc.</t>
  </si>
  <si>
    <t>2142 AUSTIN DR;TROY MI 48083-2238;USA</t>
  </si>
  <si>
    <t>Commercial Doors, Overhead Doors, Loading Dock Equipment, Repair</t>
  </si>
  <si>
    <t>000966</t>
  </si>
  <si>
    <t>United Rentals of Canada Inc</t>
  </si>
  <si>
    <t>PO Box 7406, STN Terminal;C/O V7406;Vancouver BC V6B 4E2;CAN</t>
  </si>
  <si>
    <t>Equipment Rental, Tool Rental, Aerial Lifts, Earthmoving, Scaffolding</t>
  </si>
  <si>
    <t>Quarles &amp; Brady LLP</t>
  </si>
  <si>
    <t>Bin 88895;Milwaukee WI 53288;USA</t>
  </si>
  <si>
    <t>Corporate Law, Litigation, Intellectual Property, Labor &amp; Employment, Real Estate, Healthcare</t>
  </si>
  <si>
    <t>Brothers Electric Co., Inc.</t>
  </si>
  <si>
    <t>5808 Shawood Dr;Raleigh NC 27609-3832;USA</t>
  </si>
  <si>
    <t>Commercial Electrical, Installation, Repair, Maintenance</t>
  </si>
  <si>
    <t>EFuel, LLC</t>
  </si>
  <si>
    <t>4605 E. Vine Ave;Fresno CA 93725;USA</t>
  </si>
  <si>
    <t>Fuel &amp; Energy Services</t>
  </si>
  <si>
    <t>Fuel Delivery, Diesel Supply, Fleet Fueling</t>
  </si>
  <si>
    <t>Wayne Automatic Fire Sprinklers</t>
  </si>
  <si>
    <t>222 Capitol Ct;Ocoee FL 34761-3019;USA</t>
  </si>
  <si>
    <t>Fire Sprinkler Installation, Inspection, Design, Repair, Fire Protection</t>
  </si>
  <si>
    <t>Outlaw Equipment Service</t>
  </si>
  <si>
    <t>6766 Hokaday Road;Slaughter LA 70777;USA</t>
  </si>
  <si>
    <t>Heavy Equipment Repair &amp; Service</t>
  </si>
  <si>
    <t>Equipment Maintenance, Field Service, Welding, Fabrication</t>
  </si>
  <si>
    <t>Keystone Contractors Partnership</t>
  </si>
  <si>
    <t>239 New Bridge Street;Jacksonville NC 28540;USA</t>
  </si>
  <si>
    <t>Commercial Construction, Property Maintenance, Facility Renovation</t>
  </si>
  <si>
    <t>Port of Bremerton</t>
  </si>
  <si>
    <t>8850 SW State Highway 3;Bremerton WA 98312;USA</t>
  </si>
  <si>
    <t>Port Authority &amp; Marina Services</t>
  </si>
  <si>
    <t>Marina Operations, Public Moorage, Airport Operations, Economic Development</t>
  </si>
  <si>
    <t>McCarthy Tire Service Company</t>
  </si>
  <si>
    <t>PO Box 1125;Wilkes Barre PA 18703 1125;USA</t>
  </si>
  <si>
    <t>Truck Tires, Retreading, Fleet Tire Management, 24-Hour Road Service</t>
  </si>
  <si>
    <t>000770</t>
  </si>
  <si>
    <t>JPMorgan Chase Bank N.A., Toronto Branch</t>
  </si>
  <si>
    <t>Commercial Banking</t>
  </si>
  <si>
    <t>Corporate Banking, Treasury Services, Investment Banking, Trade Finance</t>
  </si>
  <si>
    <t>Clean Water Technologies, LLC</t>
  </si>
  <si>
    <t>21731 SE 259th St;Maple Valley WA 98038-7568;USA</t>
  </si>
  <si>
    <t>Water Treatment Services</t>
  </si>
  <si>
    <t>Water Purification, Wastewater Treatment, Environmental Services</t>
  </si>
  <si>
    <t>Evolution Forklift, LLC</t>
  </si>
  <si>
    <t>PO Box 120499;East Haven CT 06512;USA</t>
  </si>
  <si>
    <t>Forklift Sales, Forklift Repair, Equipment Rental, Parts</t>
  </si>
  <si>
    <t>Ferrellgas</t>
  </si>
  <si>
    <t>PO Box 173940;Denver CO 80217-3940;USA</t>
  </si>
  <si>
    <t>Propane Delivery, Tank Installation, Auto Fill, Forklift Fuel, Agricultural Propane</t>
  </si>
  <si>
    <t>Benesch, Friedlander, Coplan &amp; Aron</t>
  </si>
  <si>
    <t>127 PUBLIC SQ;STE 4900;CLEVELAND OH 44114-1217;USA</t>
  </si>
  <si>
    <t>Legal Services - Corporate Law</t>
  </si>
  <si>
    <t>Corporate &amp; Securities, Litigation, Healthcare Law, Real Estate, IP</t>
  </si>
  <si>
    <t>Anne M. Carter</t>
  </si>
  <si>
    <t>PO Box 407;Blacksburg VA 24063-0407;USA</t>
  </si>
  <si>
    <t>Consolidated Pallet Co. INC</t>
  </si>
  <si>
    <t>PO Box 1036 ;Elk Grove CA 95759;USA</t>
  </si>
  <si>
    <t>Pallet Manufacturing &amp; Supply</t>
  </si>
  <si>
    <t>Wood Pallets, Custom Pallets, Pallet Recycling</t>
  </si>
  <si>
    <t>Ogletree, Deakins, Nash, Smoak, P.C</t>
  </si>
  <si>
    <t>PO Box 89;Columbia SC 29202;USA</t>
  </si>
  <si>
    <t>Employment &amp; Labor Law Firm</t>
  </si>
  <si>
    <t>Employment Law, Workplace Safety, Immigration, Benefits, Litigation</t>
  </si>
  <si>
    <t>Hatfield Brothers Truck Service LTD</t>
  </si>
  <si>
    <t>PO Box 139;Fishkill NY 12524;USA</t>
  </si>
  <si>
    <t>Truck Repair &amp; Maintenance</t>
  </si>
  <si>
    <t>Truck Repair, Fleet Maintenance, Parts &amp; Service, Diesel Repair</t>
  </si>
  <si>
    <t>Chris Wolodkowlcz</t>
  </si>
  <si>
    <t>PO Box 0766;Lockport IL 60441;USA</t>
  </si>
  <si>
    <t>Real Estate, Construction</t>
  </si>
  <si>
    <t>Woodfin Heating Inc dba Woodfin Oil</t>
  </si>
  <si>
    <t>1823 N Hamilton St;PO Box 90308;Richmond VA 23230-4005;USA</t>
  </si>
  <si>
    <t>HVAC &amp; Oil Services</t>
  </si>
  <si>
    <t>Heating Oil, HVAC, Plumbing, Electrical, Generator Service, Home Comfort Plans</t>
  </si>
  <si>
    <t>CLS Facilitites Mgt Servs,</t>
  </si>
  <si>
    <t>8061 Tyler Blvd;Mentor OH 44060-4809;USA</t>
  </si>
  <si>
    <t>Building Maintenance, Janitorial, Facility Services</t>
  </si>
  <si>
    <t>Canyon Overhead Doors Inc.</t>
  </si>
  <si>
    <t>5716 S Jordan Canal Rd;Taylorsville UT 84129;USA</t>
  </si>
  <si>
    <t>Equipment Leasing &amp; Financing</t>
  </si>
  <si>
    <t>Office Equipment Financing, Technology Leasing, Dealer Financing Programs</t>
  </si>
  <si>
    <t>Vans Towing &amp; Transport</t>
  </si>
  <si>
    <t>29191 Groesbeck Highway;Roseville MI 48066;USA</t>
  </si>
  <si>
    <t>Towing &amp; Transport Services</t>
  </si>
  <si>
    <t>Vehicle Towing, Transport, Heavy-Duty Towing, Roadside Assistance</t>
  </si>
  <si>
    <t>000659</t>
  </si>
  <si>
    <t>Staples Business Advantage</t>
  </si>
  <si>
    <t>C/O T04446C PO Box 4446;Toronto ON M5W 4A3;CAN</t>
  </si>
  <si>
    <t>Office Supplies, Furniture, Technology, Print &amp; Copy, Breakroom Supplies</t>
  </si>
  <si>
    <t>F &amp; A Concrete and Landsc Servs,</t>
  </si>
  <si>
    <t>PO Box 16483;Denver CO 80216-0483;USA</t>
  </si>
  <si>
    <t>Concrete &amp; Landscaping Services</t>
  </si>
  <si>
    <t>Concrete Work, Landscaping, Hardscaping, Demolition</t>
  </si>
  <si>
    <t>Honey Bucket</t>
  </si>
  <si>
    <t>PO Box 73399;Puyallup WA 98373-0399;USA</t>
  </si>
  <si>
    <t>Portable Sanitation Services</t>
  </si>
  <si>
    <t>Portable Restrooms, Handwash Stations, Event Sanitation, Construction Sanitation</t>
  </si>
  <si>
    <t>Maricela Garcia</t>
  </si>
  <si>
    <t>13348 Sayre St;Sylmar CA 91342;USA</t>
  </si>
  <si>
    <t>Kept Co. Inc. dba Fleetwash</t>
  </si>
  <si>
    <t>PO Box 36014;Newark NJ 07188;USA</t>
  </si>
  <si>
    <t>Fleet Washing &amp; Facility Cleaning</t>
  </si>
  <si>
    <t>Truck Washing, Building Exterior Cleaning, Pressure Washing, Fleet Maintenance</t>
  </si>
  <si>
    <t>J.V.S. Sprint Enterprises, Inc.</t>
  </si>
  <si>
    <t>72 E HOFFMAN AVE;LINDENHURST NY 11757-5001;USA</t>
  </si>
  <si>
    <t>Encore Fire Protection</t>
  </si>
  <si>
    <t>70 Bacon St.;Pawtucket RI 02860;USA</t>
  </si>
  <si>
    <t>Fire Sprinkler Installation, Inspection, Fire Alarm Systems</t>
  </si>
  <si>
    <t>Sampsons Automotive LLC</t>
  </si>
  <si>
    <t>2544 South County Trail ;North Kingstown RI 02892;USA</t>
  </si>
  <si>
    <t>Auto Repair &amp; Service</t>
  </si>
  <si>
    <t>Auto Repair, Maintenance, Inspection, Diagnostics</t>
  </si>
  <si>
    <t>Laura Gabriel</t>
  </si>
  <si>
    <t>6405 Kirby Oaks Dr;Memphis TN 38119-6515;USA</t>
  </si>
  <si>
    <t>Steve and Sally Wood</t>
  </si>
  <si>
    <t>2300 CONTRA COSTA BLVD;STE 310;PLEASANT HILL CA 94523-3918;USA</t>
  </si>
  <si>
    <t>Pulte Group Divosta</t>
  </si>
  <si>
    <t>Attn: NFS Team 3350 Peachtree Rd;Atlanta GA 30326;USA</t>
  </si>
  <si>
    <t>Homebuilding &amp; Real Estate Development</t>
  </si>
  <si>
    <t>New Home Construction, Community Development, Mortgage Services, Home Design</t>
  </si>
  <si>
    <t>000719</t>
  </si>
  <si>
    <t>A.M.B. LIFT INC</t>
  </si>
  <si>
    <t>123 Wescar Lane;Ottawaw ON K0A 1L0;CAN</t>
  </si>
  <si>
    <t>Lift Equipment Services</t>
  </si>
  <si>
    <t>Forklift Repair, Equipment Rental, Material Handling</t>
  </si>
  <si>
    <t>Cal-State Site Services</t>
  </si>
  <si>
    <t>4518 Industrial St;Simi Valley CA 93063-3411;USA</t>
  </si>
  <si>
    <t>Plant A Insights Group, LLC</t>
  </si>
  <si>
    <t>153 Remsen St;Brooklyn NY 11201;USA</t>
  </si>
  <si>
    <t>Market Research &amp; Consumer Insights</t>
  </si>
  <si>
    <t>Consumer Research, Brand Strategy, Data Analytics, Competitive Intelligence</t>
  </si>
  <si>
    <t>Sila Services, LLC</t>
  </si>
  <si>
    <t>900 E 8TH AVE;STE 106;KING OF PRUSSIA PA 19406-1324;USA</t>
  </si>
  <si>
    <t>HVAC &amp; Home Services</t>
  </si>
  <si>
    <t>HVAC Installation, Plumbing, Electrical, Indoor Air Quality, Home Comfort</t>
  </si>
  <si>
    <t>Jim Whitehead Tire &amp; Auto</t>
  </si>
  <si>
    <t>2514 Deans Bridge Rd;Augusta GA 30906-2202;USA</t>
  </si>
  <si>
    <t>Tire &amp; Auto Repair Services</t>
  </si>
  <si>
    <t>Tire Sales, Brake Service, Oil Change, Auto Maintenance</t>
  </si>
  <si>
    <t>Jet Brains Americas Inc.</t>
  </si>
  <si>
    <t>989 E Hillsdale Blvd;Ste 20;Foster City CA 94404-2113;USA</t>
  </si>
  <si>
    <t>Software Development Tools</t>
  </si>
  <si>
    <t>IDE (IntelliJ, PyCharm, WebStorm), Code Analysis, CI/CD (TeamCity), Project Management (YouTrack)</t>
  </si>
  <si>
    <t>The Crazy Eight</t>
  </si>
  <si>
    <t>12247 Margaret Dr;Fenton MI 48430;USA</t>
  </si>
  <si>
    <t>Rental Concepts Inc</t>
  </si>
  <si>
    <t>695 Boston Mills Rd;Hudson OH 44236;USA</t>
  </si>
  <si>
    <t>Equipment Rental, Party Rentals, Construction Equipment, Event Supplies</t>
  </si>
  <si>
    <t>Maria Maldonado</t>
  </si>
  <si>
    <t>201 59TH ST SW;Apt A;ALBUQUERQUE NM 87121-2551;USA</t>
  </si>
  <si>
    <t>Figma Inc.</t>
  </si>
  <si>
    <t>760 Market Street;Floor 10;San Francisco CA 94102;USA</t>
  </si>
  <si>
    <t>Collaborative Design Software</t>
  </si>
  <si>
    <t>UI/UX Design, Prototyping, Design Systems, Dev Mode, Collaborative Whiteboard</t>
  </si>
  <si>
    <t>Jason Edwards</t>
  </si>
  <si>
    <t>10675 Lois Lane;Montgomery TX 77316;USA</t>
  </si>
  <si>
    <t>Lighthouse Electrical Contractors</t>
  </si>
  <si>
    <t>2345 Urban Road;Jacksonville FL 32210;USA</t>
  </si>
  <si>
    <t>Commercial Electrical, Residential Electrical, Wiring, Repairs</t>
  </si>
  <si>
    <t>Extreme Cleaning and Detailing LLC</t>
  </si>
  <si>
    <t>136 Forest Rd E;Mastic Beach NY 11951-5534;USA</t>
  </si>
  <si>
    <t>Commercial Cleaning &amp; Detailing</t>
  </si>
  <si>
    <t>Power Washing, Auto Detailing, Commercial Cleaning, Janitorial Services</t>
  </si>
  <si>
    <t>St.Augustine Electric Motor Works</t>
  </si>
  <si>
    <t>14 CENTER ST;SAINT AUGUSTINE FL 32084-2758;USA</t>
  </si>
  <si>
    <t>Electric Motor Repair &amp; Sales</t>
  </si>
  <si>
    <t>Electric Motor Repair, Rewinding, Pump Repair, Generator Service</t>
  </si>
  <si>
    <t>Danielle Facer</t>
  </si>
  <si>
    <t>234 East 1800 South;Unit F234;Clearfield UT 84015;USA</t>
  </si>
  <si>
    <t>Individual Consultant/Contractor</t>
  </si>
  <si>
    <t>Joseph P Steo</t>
  </si>
  <si>
    <t>PO BOX 17256;ROCHESTER NY 14617-0256;USA</t>
  </si>
  <si>
    <t>AS&amp;P Billing Services Corp.</t>
  </si>
  <si>
    <t>PO Box 733746;Dallas TX 75373-3745;USA</t>
  </si>
  <si>
    <t>Billing &amp; Revenue Services</t>
  </si>
  <si>
    <t>Medical Billing, Collections, Revenue Cycle</t>
  </si>
  <si>
    <t>Mojave Air and Space Port</t>
  </si>
  <si>
    <t>1434 Flightline;Mojave CA 93501;USA</t>
  </si>
  <si>
    <t>Airport &amp; Spaceport Operations</t>
  </si>
  <si>
    <t>Aircraft Hangars, Flight Testing, Aerospace Facilities, Leasing</t>
  </si>
  <si>
    <t>Nitco LLC</t>
  </si>
  <si>
    <t>PO Box 21918;New York NY 10087;USA</t>
  </si>
  <si>
    <t>IT Services, Staff Augmentation, Digital Transformation, Application Development</t>
  </si>
  <si>
    <t>HQI Hydraulics</t>
  </si>
  <si>
    <t>3400 Delaware Ave;Des Moines IA 50313-4765;USA</t>
  </si>
  <si>
    <t>Hydraulic Equipment &amp; Repair</t>
  </si>
  <si>
    <t>Hydraulic Cylinder Repair, Hose Assembly, Fluid Power Components, Pump &amp; Motor Repair</t>
  </si>
  <si>
    <t>Liberty Ashes</t>
  </si>
  <si>
    <t>Waste Removal &amp; Carting</t>
  </si>
  <si>
    <t>Commercial Waste Hauling, Recycling, Roll-Off Containers, Debris Removal</t>
  </si>
  <si>
    <t>Andersen Construction</t>
  </si>
  <si>
    <t>9712 Somerset Blvd, ;Bellflower CA 90706;USA</t>
  </si>
  <si>
    <t>Roofing, Commercial Construction, Tenant Improvements, Painting</t>
  </si>
  <si>
    <t>Killeen S Park Commercial Prop,</t>
  </si>
  <si>
    <t>2901 E Stan Schlueter Loop;Killeen TX 76542-4593;USA</t>
  </si>
  <si>
    <t>Jellyfish US Limited</t>
  </si>
  <si>
    <t>1201 Wills St;Ste 600;Baltimore MD 21231-3805;USA</t>
  </si>
  <si>
    <t>Paid Search, SEO, Social Media, Analytics, Creative, Programmatic, AI Solutions</t>
  </si>
  <si>
    <t>Sawyers Self Strg of East Troy,LLC</t>
  </si>
  <si>
    <t>W1540 SAWYER LN;EAST TROY WI 53120-2109;USA</t>
  </si>
  <si>
    <t>Self-Storage Services</t>
  </si>
  <si>
    <t>Self-Storage Units, Climate Controlled, Vehicle Storage</t>
  </si>
  <si>
    <t>Russos Cape Cod Bark &amp; Landsc</t>
  </si>
  <si>
    <t>PO BOX 1328;FORESTDALE MA 02644-0716;USA</t>
  </si>
  <si>
    <t>Landscaping &amp; Bark Supply</t>
  </si>
  <si>
    <t>Bark Mulch, Landscaping, Lawn Care, Snow Removal</t>
  </si>
  <si>
    <t>The S Land Company LLC</t>
  </si>
  <si>
    <t>PO BOX 151;MCDONOUGH GA 30253-0151;USA</t>
  </si>
  <si>
    <t>1st Choice Material Handling</t>
  </si>
  <si>
    <t>2005 Fletcher Creek Drive;Memphis TN 38133;USA</t>
  </si>
  <si>
    <t>Forklift Sales &amp; Service, Rentals, Parts &amp; Repair</t>
  </si>
  <si>
    <t>OpenTech Alliance, Inc.</t>
  </si>
  <si>
    <t>2101 W PEORIA AVE;STE 100;PHOENIX AZ 85029-4934;USA</t>
  </si>
  <si>
    <t>Self-Storage Technology Solutions</t>
  </si>
  <si>
    <t>Kiosks, Access Control, Call Center Services, Payment Processing, Tenant Insurance</t>
  </si>
  <si>
    <t>McDoles Fabricating and Repair LLC</t>
  </si>
  <si>
    <t>82 County Rd 639;Wantage NJ 07461-3119;USA</t>
  </si>
  <si>
    <t>Metal Fabrication &amp; Repair</t>
  </si>
  <si>
    <t>Welding, Custom Fabrication, Equipment Repair, Structural Steel</t>
  </si>
  <si>
    <t>200 Summer Street Kingston LLC</t>
  </si>
  <si>
    <t>80 Washington St;Bldg J-40;Norwell MA 02061 1740;USA</t>
  </si>
  <si>
    <t>The Hose Helper</t>
  </si>
  <si>
    <t>PO Box 1011;Azusa CA 91702-1011;USA</t>
  </si>
  <si>
    <t>Hydraulic Hose &amp; Fittings</t>
  </si>
  <si>
    <t>Hydraulic Hoses, Fittings, Mobile Hose Repair, Industrial Hose, Adapters</t>
  </si>
  <si>
    <t>Absolute Protective Systems, Inc.</t>
  </si>
  <si>
    <t>51 Suttons Ln;Piscataway NJ 08854-5716;USA</t>
  </si>
  <si>
    <t>Security Systems</t>
  </si>
  <si>
    <t>Alarm Systems, Video Surveillance, Access Control</t>
  </si>
  <si>
    <t>Twin Spans Business Park, LLC</t>
  </si>
  <si>
    <t>405 Marsh Ln;Ste 1;Wilmington DE 19804 2445;USA</t>
  </si>
  <si>
    <t>Shrader Tire &amp; Oil Inc.</t>
  </si>
  <si>
    <t>2045 W Sylvania Ave;Toledo OH 43613-4526;USA</t>
  </si>
  <si>
    <t>Tire Sales, Oil Change, Fleet Service, Tire Retreading, Automotive Repair</t>
  </si>
  <si>
    <t>Project Resources Group, Inc</t>
  </si>
  <si>
    <t>Attn. Damage Claims,;5690 DTC Blvd, Suite 650 E;Greenwood Village CO 80111;USA</t>
  </si>
  <si>
    <t>Moving &amp; Relocation Services</t>
  </si>
  <si>
    <t>Corporate Relocation, Household Goods Moving, Employee Transfer, Destination Services</t>
  </si>
  <si>
    <t>Fedex Freight-223125</t>
  </si>
  <si>
    <t>PO Box 223125;Pittsburgh PA 15251-2125;USA</t>
  </si>
  <si>
    <t>NFP Executive Benefits, LLC</t>
  </si>
  <si>
    <t>12 E 49th St;New York NY 10017-1028;USA</t>
  </si>
  <si>
    <t>Insurance Brokerage &amp; Benefits Consulting</t>
  </si>
  <si>
    <t>Executive Benefits, Corporate Insurance, Retirement Planning, Wealth Management</t>
  </si>
  <si>
    <t>American Allegiance Lawn&amp; Landsc,</t>
  </si>
  <si>
    <t>12011 Amedicus Ln;Unit 1;Fort Myers FL 33907-4056;USA</t>
  </si>
  <si>
    <t>Lawn Care, Landscape Maintenance, Grounds Care</t>
  </si>
  <si>
    <t>Guardian Gate Company</t>
  </si>
  <si>
    <t>PO Box 313071;Jamaica NY 11431;USA</t>
  </si>
  <si>
    <t>Gate &amp; Fence Installation</t>
  </si>
  <si>
    <t>Gate Installation, Fence Installation, Automated Gates, Security Fencing</t>
  </si>
  <si>
    <t>A Better Clean</t>
  </si>
  <si>
    <t>10 Locust street ;New Britain CT 06051;USA</t>
  </si>
  <si>
    <t>Suburban Propane-1627 1449 1608</t>
  </si>
  <si>
    <t>PO Box 12027;Fresno CA 93776-2027;USA</t>
  </si>
  <si>
    <t>Propane Delivery, Tank Installation, Heating, Commercial Propane</t>
  </si>
  <si>
    <t>Wessel Lawncare &amp; Landscaping</t>
  </si>
  <si>
    <t>PO Box 830;Union KY 41091;USA</t>
  </si>
  <si>
    <t>Lawn Mowing, Landscaping, Mulching, Snow Removal, Commercial Grounds</t>
  </si>
  <si>
    <t>Foley &amp; Lardner LLP</t>
  </si>
  <si>
    <t>777 E Wisconsin Ave;Milwaukee WI 53202;USA</t>
  </si>
  <si>
    <t>Law Firm - Full Service</t>
  </si>
  <si>
    <t>Corporate Law, IP &amp; Patent, Litigation, Tax, Employment, M&amp;A, Real Estate</t>
  </si>
  <si>
    <t>C &amp; R Property Services, LLC.</t>
  </si>
  <si>
    <t>PO BOX 5280;Orange CA 92863;USA</t>
  </si>
  <si>
    <t>Property Management, Grounds Maintenance, Facility Services</t>
  </si>
  <si>
    <t>C&amp;P Offroad Specialist&amp; Auto Repair</t>
  </si>
  <si>
    <t>5517 Wellington Rd;Gainesville VA 20155-1614;USA</t>
  </si>
  <si>
    <t>Vehicle Repair, Off-road Vehicles, Auto Maintenance</t>
  </si>
  <si>
    <t>Clean Sweep, Inc.</t>
  </si>
  <si>
    <t>PO Box 518;Baker LA 70704;USA</t>
  </si>
  <si>
    <t>Janitorial Services, Facility Maintenance, Office Cleaning</t>
  </si>
  <si>
    <t>The Kent Architectural Collab</t>
  </si>
  <si>
    <t>284 Sayville Blvd;Sayville NY 11782-2012;USA</t>
  </si>
  <si>
    <t>Architecture &amp; Design</t>
  </si>
  <si>
    <t>Architectural Design, Interior Design, Planning, Commercial Architecture, Renovations</t>
  </si>
  <si>
    <t>First Protection Services, Inc.</t>
  </si>
  <si>
    <t>PO Box 7209;Scarborough ME 04070;USA</t>
  </si>
  <si>
    <t>Security Guard &amp; Patrol Services</t>
  </si>
  <si>
    <t>Security Guards, Patrol Services, Event Security, Alarm Response</t>
  </si>
  <si>
    <t>Colony Tire Corporation</t>
  </si>
  <si>
    <t>PO Box 96713;Charlotte NC 28296-0713;USA</t>
  </si>
  <si>
    <t>Commercial Tires, Fleet Tire Management, Retreading, Road Service</t>
  </si>
  <si>
    <t>SB Truck &amp; Trailer</t>
  </si>
  <si>
    <t>2320 Carver Dr;Leesburg FL 34748;USA</t>
  </si>
  <si>
    <t>Truck Repair, Trailer Service, Fleet Maintenance, Welding</t>
  </si>
  <si>
    <t>WMS Trimble Company</t>
  </si>
  <si>
    <t>PO Box 154;Knoxville TN 37901-0154;USA</t>
  </si>
  <si>
    <t>General Contracting, Construction Management, Renovation, Project Management</t>
  </si>
  <si>
    <t>Underwood Sales</t>
  </si>
  <si>
    <t>137 Troy Breland Dr;Ovett MS 39464-3907;USA</t>
  </si>
  <si>
    <t>Industrial Sales &amp; Distribution</t>
  </si>
  <si>
    <t>Industrial Equipment, Parts Distribution, Sales, Service</t>
  </si>
  <si>
    <t>Llano Waste Company LLC</t>
  </si>
  <si>
    <t>PO BOX 988;WOLFFORTH TX 79382-0988;USA</t>
  </si>
  <si>
    <t>Trash Collection, Roll-Off Dumpsters, Recycling, Debris Removal</t>
  </si>
  <si>
    <t>Ace Hydraulics Inc.</t>
  </si>
  <si>
    <t>20637 Krick Road;Walton Hills OH 44146;USA</t>
  </si>
  <si>
    <t>Insurance Brokerage &amp; Fintech</t>
  </si>
  <si>
    <t>Business Insurance, Employee Benefits, Cybersecurity, Payroll</t>
  </si>
  <si>
    <t>Extreme Reach Talent, Inc.</t>
  </si>
  <si>
    <t>PO Box 7410115;Chicago IL 60674;USA</t>
  </si>
  <si>
    <t>Advertising Operations Platform</t>
  </si>
  <si>
    <t>Ad Delivery, Talent Payments, Rights Management, Asset Management, Creative Workflow</t>
  </si>
  <si>
    <t>Cardinal Logistics Mngmnt Corp</t>
  </si>
  <si>
    <t>PO BOX 405069;Atlanta GA 30384-5069;USA</t>
  </si>
  <si>
    <t>Challenger, Gray &amp; Christmas, Inc.</t>
  </si>
  <si>
    <t>PO Box 8148;Northfield IL 60093;USA</t>
  </si>
  <si>
    <t>Educational Publishing &amp; Technology</t>
  </si>
  <si>
    <t>Textbooks, Digital Learning Platforms, Course Materials</t>
  </si>
  <si>
    <t>Ultimate Fleet Repair</t>
  </si>
  <si>
    <t>920 Aldrin Drive;Saint Paul MN 55121;USA</t>
  </si>
  <si>
    <t>Fleet Repair &amp; Maintenance</t>
  </si>
  <si>
    <t>Truck Repair, Fleet Maintenance, Diesel Service, Trailer Repair, Mobile Service</t>
  </si>
  <si>
    <t>Foremost Industrial Technologies</t>
  </si>
  <si>
    <t>6518 W Plank Rd;Peoria IL 61604-5239;USA</t>
  </si>
  <si>
    <t>Industrial Real Estate, Manufacturing Space, Property Management</t>
  </si>
  <si>
    <t>Golden Bears Propane</t>
  </si>
  <si>
    <t>73769 South Delleker Road;Portola CA 96122;USA</t>
  </si>
  <si>
    <t>Cory M Robinson</t>
  </si>
  <si>
    <t>PO Box 635;Hutto TX 78634-0635;USA</t>
  </si>
  <si>
    <t>Fine Fixtures</t>
  </si>
  <si>
    <t>Real Estate, Commercial/Retail Space</t>
  </si>
  <si>
    <t>AQUA, LLC</t>
  </si>
  <si>
    <t>9000 Sunset Blvd;SUITE 700;West Hollywood CA 90069;USA</t>
  </si>
  <si>
    <t>Talent Management/Entertainment</t>
  </si>
  <si>
    <t>Artist Management, Entertainment Services</t>
  </si>
  <si>
    <t>Jan-Pro Ottawa</t>
  </si>
  <si>
    <t>2323 Boul.Du Versant Nord Unite 114;Quebec QC G1N 4P4;CAN</t>
  </si>
  <si>
    <t>Janitorial, Office Cleaning, Disinfection, Floor Care</t>
  </si>
  <si>
    <t>David McKivitz</t>
  </si>
  <si>
    <t>15 MARTERA PL;PITTSBURGH PA 15205-3428;USA</t>
  </si>
  <si>
    <t>Madison Air, Inc.</t>
  </si>
  <si>
    <t>1230 N Jefferson St ;#G;Anaheim CA 92807;USA</t>
  </si>
  <si>
    <t>HVAC Distribution &amp; Services</t>
  </si>
  <si>
    <t>Air Conditioning, Heating Equipment, HVAC Parts, Wholesale Distribution</t>
  </si>
  <si>
    <t>Mashwork Inc dba Canvs</t>
  </si>
  <si>
    <t>26 Broadway;Floor 3;New York NY 10004;USA</t>
  </si>
  <si>
    <t>AI Text Analytics &amp; Consumer Insights</t>
  </si>
  <si>
    <t>Sentiment Analysis, Open-End Survey Analysis, Social Listening, NLP</t>
  </si>
  <si>
    <t>Just Clean LLC</t>
  </si>
  <si>
    <t>PO Box 180681;Richland MS 39218-0681;USA</t>
  </si>
  <si>
    <t>C.&amp;R. Truck West Ltd</t>
  </si>
  <si>
    <t>19765 Telegraph Trail;Langley BC V1M 3E6;CAN</t>
  </si>
  <si>
    <t>Truck Parts &amp; Service</t>
  </si>
  <si>
    <t>Truck Parts, Fleet Service, Commercial Vehicle Repair</t>
  </si>
  <si>
    <t>000506</t>
  </si>
  <si>
    <t>Perkopolis</t>
  </si>
  <si>
    <t>Attn: Kelly Sanders ;3080 Younge Street Ste 4010;Toronto ON M4N 3N1;CAN</t>
  </si>
  <si>
    <t>Corporate Discounts, Employee Perks, Entertainment Deals, Travel Savings</t>
  </si>
  <si>
    <t>Bellflower Landscaping</t>
  </si>
  <si>
    <t>214 Overlook Drive;Riverhead NY 11901;USA</t>
  </si>
  <si>
    <t>Commercial Landscaping, Lawn Maintenance, Grounds Care</t>
  </si>
  <si>
    <t>Jani-King of Ft Worth</t>
  </si>
  <si>
    <t>4535 Sunbelt Dr;Addison TX 75001-5204;USA</t>
  </si>
  <si>
    <t>Janitorial, Office Cleaning, Green Cleaning, Floor Care</t>
  </si>
  <si>
    <t>Bee-Line Overhead Door LLC</t>
  </si>
  <si>
    <t>25650 1-45 N;Suite 1006;Spring TX 77386;USA</t>
  </si>
  <si>
    <t>Overhead Doors, Door Installation, Repair, Industrial Doors</t>
  </si>
  <si>
    <t>000707</t>
  </si>
  <si>
    <t>Marks Commercial</t>
  </si>
  <si>
    <t>PO Box 6000 Station Main;Welland ON L3B 6A2;CAN</t>
  </si>
  <si>
    <t>Commercial Equipment &amp; Supplies</t>
  </si>
  <si>
    <t>Janitorial Supplies, Cleaning Equipment, Facility Products</t>
  </si>
  <si>
    <t>Lorena Patricia Berrios Lizama</t>
  </si>
  <si>
    <t>20930 PARTHENIA ST;UNIT 107;CANOGA PARK CA 91304-2051;USA</t>
  </si>
  <si>
    <t>Rood Landscaping LLC</t>
  </si>
  <si>
    <t>2630 Winnemissett Oaks Dr;Deland FL 32724-4863;USA</t>
  </si>
  <si>
    <t>Commercial Landscaping, Lawn Maintenance, Irrigation, Mulching</t>
  </si>
  <si>
    <t>000676</t>
  </si>
  <si>
    <t>ABAV</t>
  </si>
  <si>
    <t>2450 Lancaster Rd;Unit #43;Ottawa ON K1B 5N3;CAN</t>
  </si>
  <si>
    <t>Audio, Video &amp; Security Systems</t>
  </si>
  <si>
    <t>Alarm Systems, Home Automation, Video Surveillance, Home Theater</t>
  </si>
  <si>
    <t>iPower Georgia</t>
  </si>
  <si>
    <t>145 Lantana Crossing;Dallas GA 30132;USA</t>
  </si>
  <si>
    <t>Electrical Installation, Repair, Commercial Electrical, Residential Electrical, Generator Service</t>
  </si>
  <si>
    <t>Cornerstone OnDemand, Inc.</t>
  </si>
  <si>
    <t>1601 Cloverfield Blvd;# 620;Santa Monica CA 90404 4082;USA</t>
  </si>
  <si>
    <t>Talent Management &amp; Learning Platform</t>
  </si>
  <si>
    <t>LMS, Performance Management, Succession Planning, Recruiting</t>
  </si>
  <si>
    <t>Telecom System Solutions</t>
  </si>
  <si>
    <t>4981 72nd Ave N;Pinellas Park FL 33781-4443;USA</t>
  </si>
  <si>
    <t>Telecommunications Systems</t>
  </si>
  <si>
    <t>Phone Systems, VoIP, Network Cabling, Telecommunications Equipment, Installation</t>
  </si>
  <si>
    <t>AccuWeather Enterprise Solutions</t>
  </si>
  <si>
    <t>385 Science Park Road;State College PA 16803;USA</t>
  </si>
  <si>
    <t>Weather Intelligence Services</t>
  </si>
  <si>
    <t>Forecasting, Severe Weather Alerts, Predictive Analytics</t>
  </si>
  <si>
    <t>Sovos Compliance, LLC</t>
  </si>
  <si>
    <t>PO Box 347977;Pittsburgh PA 15251-4977;USA</t>
  </si>
  <si>
    <t>Tax Compliance &amp; Regulatory Software</t>
  </si>
  <si>
    <t>Tax Reporting, VAT Compliance, E-Invoicing, 1099 Reporting, Sales &amp; Use Tax, IPT</t>
  </si>
  <si>
    <t>Christopher Solis</t>
  </si>
  <si>
    <t>217 W Victory Ave;Temple TX 76501-1716;USA</t>
  </si>
  <si>
    <t>Management Consulting, Advisory Services</t>
  </si>
  <si>
    <t>Carbajal Reality, Inc.</t>
  </si>
  <si>
    <t>1621 JAMES AVE;WACO TX 76706-2005;USA</t>
  </si>
  <si>
    <t>Real Estate Sales</t>
  </si>
  <si>
    <t>LEB Services LLC</t>
  </si>
  <si>
    <t>128 Milestone Way;Greenville SC 29615;USA</t>
  </si>
  <si>
    <t>Building Maintenance, Janitorial, Property Services</t>
  </si>
  <si>
    <t>Taylor Marie Luettke</t>
  </si>
  <si>
    <t>17910 Dunbridge Road;Bowling Green OH 43402;USA</t>
  </si>
  <si>
    <t>Paradigm Industrial LLC</t>
  </si>
  <si>
    <t>730 Lorain Ave;Dayton OH 45410-2425;USA</t>
  </si>
  <si>
    <t>Industrial Fabrication &amp; Welding</t>
  </si>
  <si>
    <t>Structural Steel Fabrication, Welding, Industrial Installation, Maintenance</t>
  </si>
  <si>
    <t>Mayer Paint &amp; Hardware</t>
  </si>
  <si>
    <t>226 Winton Rd N;Rochester NY 14610;USA</t>
  </si>
  <si>
    <t>Paint &amp; Hardware Supply</t>
  </si>
  <si>
    <t>Paint, Stains, Sundries, Hardware, Contractor Supplies</t>
  </si>
  <si>
    <t>Axis Freight Ltd</t>
  </si>
  <si>
    <t>46 Copperstone Close SE;Calgary AB T2Z 0P5;CAN</t>
  </si>
  <si>
    <t>Trucking, Cross-Border Shipping, Logistics</t>
  </si>
  <si>
    <t>Fleet Professional Services Inc.</t>
  </si>
  <si>
    <t>2312 13th Street Ensley;Birmingham AL 35208-1102;USA</t>
  </si>
  <si>
    <t>Truck Repair, Preventive Maintenance, Fleet Maintenance, Mobile Service</t>
  </si>
  <si>
    <t>JEFFERIES INC.</t>
  </si>
  <si>
    <t>PO BOX 1561;EASTLAKE CO 80614-1561;USA</t>
  </si>
  <si>
    <t>BrandVerity</t>
  </si>
  <si>
    <t>555 E North Ln;Ste 5045;Conshohocken PA 19428-2233;USA</t>
  </si>
  <si>
    <t>Brand Protection &amp; Compliance Software</t>
  </si>
  <si>
    <t>Paid Search Monitoring, Trademark Protection, Affiliate Compliance, Web Compliance</t>
  </si>
  <si>
    <t>Leary Masonry Solutions Inc</t>
  </si>
  <si>
    <t>10 GEORGE ST;HOLYOKE MA 01040-2031;USA</t>
  </si>
  <si>
    <t>Masonry Contracting</t>
  </si>
  <si>
    <t>Brickwork, Stonework, Concrete, Masonry Repair, Restoration</t>
  </si>
  <si>
    <t>001223</t>
  </si>
  <si>
    <t>Superior Propane</t>
  </si>
  <si>
    <t>PO Box 4568, Stn A;Toronto ON M5W 0J5;CAN</t>
  </si>
  <si>
    <t>Propane Delivery, Tank Installation, Heating, Commercial Propane, Auto Propane</t>
  </si>
  <si>
    <t>Petrospect Industrial Services Inc</t>
  </si>
  <si>
    <t>7064 Patillo Rd.;Beaumont TX 77705;USA</t>
  </si>
  <si>
    <t>Industrial Cleaning &amp; Inspection Services</t>
  </si>
  <si>
    <t>Hydroblasting, Tank Cleaning, Pipeline Services, Vacuum Truck Services, Industrial Maintenance</t>
  </si>
  <si>
    <t>Cintas Corporation #0562 #0610</t>
  </si>
  <si>
    <t>PO Box 88005;Chicago IL 60680-1005;USA</t>
  </si>
  <si>
    <t>Roofing &amp; Sheet Metal Services</t>
  </si>
  <si>
    <t>Commercial Roofing, Sheet Metal Fabrication, Installation</t>
  </si>
  <si>
    <t>000575</t>
  </si>
  <si>
    <t>TBJ Services LTD</t>
  </si>
  <si>
    <t>8 Highland Cres;Cambridge ON N1S 1L6;CAN</t>
  </si>
  <si>
    <t>Facility Maintenance &amp; Cleaning</t>
  </si>
  <si>
    <t>Janitorial Services, Building Maintenance, Cleaning, Facility Services</t>
  </si>
  <si>
    <t>Marion Self Storage</t>
  </si>
  <si>
    <t>1843 Senator Gasque Road;Marion SC 29571;USA</t>
  </si>
  <si>
    <t>Personal Storage, Business Storage, Vehicle Storage</t>
  </si>
  <si>
    <t>Amerifleet Transportation, Inc</t>
  </si>
  <si>
    <t>110 ROCK CLIFF CT;STE D;SAINT LOUIS MO 63123-1161;USA</t>
  </si>
  <si>
    <t>Vehicle Transport &amp; Logistics</t>
  </si>
  <si>
    <t>Auto Relocation, Fleet Delivery, Drive-Away Services, Vehicle Storage</t>
  </si>
  <si>
    <t>SSS Down To Earth Opco, LLC</t>
  </si>
  <si>
    <t>500 WINDERLEY PL;STE 222;MAITLAND FL 32751-7247;USA</t>
  </si>
  <si>
    <t>Landscaping &amp; Ground Maintenance</t>
  </si>
  <si>
    <t>Landscaping, Ground Maintenance, Site Services</t>
  </si>
  <si>
    <t>Times Square District Management Assoc, Inc.</t>
  </si>
  <si>
    <t>1560 Broadway;Ste 800;New York NY 10036-1537;USA</t>
  </si>
  <si>
    <t>Business Improvement District (BID)</t>
  </si>
  <si>
    <t>Public Safety, Sanitation, Streetscape Improvement, Marketing &amp; Events, Advocacy</t>
  </si>
  <si>
    <t>Benjamin Turnage</t>
  </si>
  <si>
    <t>Nest Holdings Inc</t>
  </si>
  <si>
    <t>1010 N UNIVERSITY PARKS DR;WACO TX 76707-3854;USA</t>
  </si>
  <si>
    <t>Investment &amp; Holding Company</t>
  </si>
  <si>
    <t>Real Estate Investments, Business Holdings, Property Management</t>
  </si>
  <si>
    <t>Conserve, LLC</t>
  </si>
  <si>
    <t>5060 Parete Rd S;Jacksonville FL 32218;USA</t>
  </si>
  <si>
    <t>Janitorial &amp; Cleaning Services</t>
  </si>
  <si>
    <t>Commercial Cleaning, Floor Care, Facility Maintenance</t>
  </si>
  <si>
    <t>Arkansas National Guard Morate Wel</t>
  </si>
  <si>
    <t>CAMP ROBINSON BLDG 5305;NORTH LITTLE ROCK AR 72199-0001;USA</t>
  </si>
  <si>
    <t>Military/Government Services</t>
  </si>
  <si>
    <t>Morale &amp; Welfare Programs, Community Support</t>
  </si>
  <si>
    <t>Postman Inc</t>
  </si>
  <si>
    <t>PO Box 120485;Dept 0485;Dallas TX 75312;USA</t>
  </si>
  <si>
    <t>API Development &amp; Collaboration Platform</t>
  </si>
  <si>
    <t>API Testing, API Design, API Documentation, Mock Servers, API Monitoring, AI Agent Builder</t>
  </si>
  <si>
    <t>000538</t>
  </si>
  <si>
    <t>Reels Hose Fix</t>
  </si>
  <si>
    <t>#113-12332 Pattullo Place;Surrey BC V3V 8C3;CAN</t>
  </si>
  <si>
    <t>Hydraulic Hose Repair Services</t>
  </si>
  <si>
    <t>On-Site Hydraulic Hose Repair, Fittings, Mobile Service</t>
  </si>
  <si>
    <t>Sapphire Hydralics, Inc</t>
  </si>
  <si>
    <t>227 Highway 90A West;Rosenberg TX 77471;USA</t>
  </si>
  <si>
    <t>Hydraulic Hose &amp; Cylinder Repair</t>
  </si>
  <si>
    <t>Hydraulic Repair, Custom Hoses, Fittings, Cylinder Service</t>
  </si>
  <si>
    <t>Northern Virginia Cleaning Inc</t>
  </si>
  <si>
    <t>7606 Thurston Ln;Manassas VA 20111-1766;USA</t>
  </si>
  <si>
    <t>Janitorial, Office Cleaning, Floor Care, Window Cleaning</t>
  </si>
  <si>
    <t>Gary Burkeens dba Burkeens Welding</t>
  </si>
  <si>
    <t>79141 KEATING RD;COVINGTON LA 70435-7804;USA</t>
  </si>
  <si>
    <t>Welding Services</t>
  </si>
  <si>
    <t>Custom Welding, Fabrication, Structural Welding</t>
  </si>
  <si>
    <t>Trane U.S. Inc.</t>
  </si>
  <si>
    <t>PO Box 406469;Atlanta GA 30384-6469;USA</t>
  </si>
  <si>
    <t>HVAC Systems, Heating, Cooling, Building Automation, Energy Solutions, Controls</t>
  </si>
  <si>
    <t>ASCO Aerospace USA LLC</t>
  </si>
  <si>
    <t>3003 N PERKINS RD;STILLWATER OK 74075-2218;USA</t>
  </si>
  <si>
    <t>Aerospace Parts Manufacturing</t>
  </si>
  <si>
    <t>Structural Components, Precision Machining, Assembly Services</t>
  </si>
  <si>
    <t>Love Talent Corp</t>
  </si>
  <si>
    <t>1541 Ocean Ave., Suite 200;Santa Monica CA 90401;USA</t>
  </si>
  <si>
    <t>Talent Management &amp; Recruiting</t>
  </si>
  <si>
    <t>Executive Search, Staffing, Talent Acquisition, HR Consulting</t>
  </si>
  <si>
    <t>AutoZone Stores LLC</t>
  </si>
  <si>
    <t>PO Box 116067;Atlanta GA 30368;USA</t>
  </si>
  <si>
    <t>Auto Parts Retail</t>
  </si>
  <si>
    <t>Automotive Parts, DIY Supplies, Batteries, Accessories</t>
  </si>
  <si>
    <t>HG Fire Systems, LP</t>
  </si>
  <si>
    <t>15102 Sommermeyer St;Suite 100;Houston TX 77041-5307;USA</t>
  </si>
  <si>
    <t>Fire Protection Systems</t>
  </si>
  <si>
    <t>Fire Sprinkler Systems, Fire Alarm Installation, Inspection, Suppression Systems</t>
  </si>
  <si>
    <t>Memtech Inc.</t>
  </si>
  <si>
    <t>ATTN: Linda Wortham;9033 GENERAL DRIVE;Plymouth MI 48170;USA</t>
  </si>
  <si>
    <t>Membrane Technology &amp; Manufacturing</t>
  </si>
  <si>
    <t>Custom Keypads, Membrane Switches, Touch Screens, Graphic Overlays</t>
  </si>
  <si>
    <t>ChemStation International</t>
  </si>
  <si>
    <t>PO Box 931097;Cleveland OH 44193-0004;USA</t>
  </si>
  <si>
    <t>AG Services of KS Inc</t>
  </si>
  <si>
    <t>1406 N MURRAY CT;WICHITA KS 67212-4216;USA</t>
  </si>
  <si>
    <t>Agricultural Services</t>
  </si>
  <si>
    <t>Farm Services, Equipment, Agricultural Supplies</t>
  </si>
  <si>
    <t>Think-Cell Software GmbH</t>
  </si>
  <si>
    <t>Leipziger Str. 51;Berlin 10117;DEU</t>
  </si>
  <si>
    <t>Presentation Design Software</t>
  </si>
  <si>
    <t>PowerPoint Charts, Data Visualization, Slide Design, Automated Charting, Excel Integration</t>
  </si>
  <si>
    <t>Crisafulli Bros. Plumbing&amp; Heating</t>
  </si>
  <si>
    <t>25 Industrial Park Rd;Albany NY 12206;USA</t>
  </si>
  <si>
    <t>Plumbing &amp; Heating Services</t>
  </si>
  <si>
    <t>Plumbing Repair, Heating Installation, Water Heaters, Drain Cleaning</t>
  </si>
  <si>
    <t>American Overhead Doors, inc.</t>
  </si>
  <si>
    <t>1885 South Main Street;Middletown CT 06457;USA</t>
  </si>
  <si>
    <t>Commercial Overhead Door Services</t>
  </si>
  <si>
    <t>Garage Doors, Installation, Repair, Industrial Doors, Dock Equipment</t>
  </si>
  <si>
    <t>Wanda L. Carmichael</t>
  </si>
  <si>
    <t>36124 HIGHWAY 315;BATESVILLE MS 38606-9151;USA</t>
  </si>
  <si>
    <t>Coca-Cola Consolidated, Inc</t>
  </si>
  <si>
    <t>1800 CONTINENTAL BLVD;STE 400;CHARLOTTE NC 28273-6388;USA</t>
  </si>
  <si>
    <t>Beverage Bottling &amp; Distribution</t>
  </si>
  <si>
    <t>Soft Drink Manufacturing, Wholesale Distribution, Vending Services</t>
  </si>
  <si>
    <t>My Blue Robot</t>
  </si>
  <si>
    <t>310 10th Ave N;Safety Harbor FL 34695;USA</t>
  </si>
  <si>
    <t>Digital Marketing &amp; Creative Agency</t>
  </si>
  <si>
    <t>Web Design, Social Media, Brand Strategy, Content Marketing</t>
  </si>
  <si>
    <t>Richards Lawn and More Austin Ric</t>
  </si>
  <si>
    <t>153 DIXIE PLZ;RICHMOND KY 40475-3474;USA</t>
  </si>
  <si>
    <t>Lawn Care &amp; Landscaping Services</t>
  </si>
  <si>
    <t>Lawn Mowing, Landscaping, Yard Maintenance, Seasonal Cleanup</t>
  </si>
  <si>
    <t>Boland Trane Services, Inc</t>
  </si>
  <si>
    <t>PO Box 223862;Chantilly VA 20153;USA</t>
  </si>
  <si>
    <t>Commercial HVAC Services</t>
  </si>
  <si>
    <t>HVAC Systems, Building Automation, Energy Services, Maintenance</t>
  </si>
  <si>
    <t>Boston Quality Cleaning Servs</t>
  </si>
  <si>
    <t>1 Shipyard Way;Ste 306;Medford MA 02155-3816;USA</t>
  </si>
  <si>
    <t>000675</t>
  </si>
  <si>
    <t>UPI Energy</t>
  </si>
  <si>
    <t>105 Silvercreek Pky N Ste 200;Guelph ON N1H 8M1;CAN</t>
  </si>
  <si>
    <t>Petroleum Distribution</t>
  </si>
  <si>
    <t>Fuel Distribution, Heating Oil, Lubricants, Propane, Fleet Fueling</t>
  </si>
  <si>
    <t>Colton Jester dba JeRoCo Services</t>
  </si>
  <si>
    <t>916 Cherry Blossom;Anna TX 75409;USA</t>
  </si>
  <si>
    <t>General Maintenance Services</t>
  </si>
  <si>
    <t>Property Maintenance, Handyman, Cleaning Services</t>
  </si>
  <si>
    <t>OT Technology</t>
  </si>
  <si>
    <t>PO Box 735381;Chicago IL 60673;USA</t>
  </si>
  <si>
    <t>IT Services &amp; Technology Solutions</t>
  </si>
  <si>
    <t>Managed IT, Cloud Services, Cybersecurity, Network Support</t>
  </si>
  <si>
    <t>All American Stoneworks</t>
  </si>
  <si>
    <t>75 Debbie Lee Lane;Bohemia NY 11716;USA</t>
  </si>
  <si>
    <t>Masonry &amp; Stonework</t>
  </si>
  <si>
    <t>Stone Setting, Masonry Contracting, Concrete Work</t>
  </si>
  <si>
    <t>ABF Facility Services</t>
  </si>
  <si>
    <t>3004 141st Street;Blue Island IL 60406;USA</t>
  </si>
  <si>
    <t>Building Maintenance, Janitorial, HVAC Support</t>
  </si>
  <si>
    <t>Bison Fleet Specialists</t>
  </si>
  <si>
    <t>1615 William St;Buffalo NY 14206-1345;USA</t>
  </si>
  <si>
    <t>Fleet Maintenance Services</t>
  </si>
  <si>
    <t>Fleet Repair, Truck Maintenance, Diesel Service</t>
  </si>
  <si>
    <t>Eastern Door &amp; Dock, Inc.</t>
  </si>
  <si>
    <t>9537 Alt US-264;Farmville NC 27828;USA</t>
  </si>
  <si>
    <t>Commercial Door &amp; Dock Services</t>
  </si>
  <si>
    <t>Overhead Doors, Dock Levelers, Installation &amp; Repair</t>
  </si>
  <si>
    <t>Propane Services</t>
  </si>
  <si>
    <t>PO Box 981045;Boston MA 02298;USA</t>
  </si>
  <si>
    <t>Accelerated Services Inc.</t>
  </si>
  <si>
    <t>158-2 Remington Road;Ronkonkoma NY 11779;USA</t>
  </si>
  <si>
    <t>Transportation Services</t>
  </si>
  <si>
    <t>Courier, Delivery, Logistics</t>
  </si>
  <si>
    <t>Cutting Edge Industries, Ltd. dba Byler Rivet Supply</t>
  </si>
  <si>
    <t>PO BOX 154093;IRVING TX 75015-4093;USA</t>
  </si>
  <si>
    <t>Industrial Fasteners &amp; Supply</t>
  </si>
  <si>
    <t>Rivets, Fasteners, Industrial Supply, Assembly Tools</t>
  </si>
  <si>
    <t>Jan-PRO Cleaning Systems of Raleigh</t>
  </si>
  <si>
    <t>8321 Bandford Way;Suite #003;Raleigh NC 27615-2759;USA</t>
  </si>
  <si>
    <t>Jan-Pro of Wilmington</t>
  </si>
  <si>
    <t>775 South Kerr Avenue;Wilmington NC 28403;USA</t>
  </si>
  <si>
    <t>Elizabeth Kean</t>
  </si>
  <si>
    <t>120 Dorman Drive;Elizabeth PA 15037;USA</t>
  </si>
  <si>
    <t>T&amp;S Jewell, LLC dba Overhead Door Co. of Wilmington</t>
  </si>
  <si>
    <t>2914 Orville Wright Way;Wilmington NC 28405-8635;USA</t>
  </si>
  <si>
    <t>Overhead Door Sales &amp; Service</t>
  </si>
  <si>
    <t>Garage Doors, Commercial Doors, Dock Equipment, Installation, Repair, Maintenance</t>
  </si>
  <si>
    <t>Pardo Fleet Solutions, LLC</t>
  </si>
  <si>
    <t>106 Sewell Rd;Sewell NJ 08080;USA</t>
  </si>
  <si>
    <t>Mobile Fleet Repair, Preventive Maintenance, Truck Service, On-Site Repair</t>
  </si>
  <si>
    <t>General Saw Company</t>
  </si>
  <si>
    <t>2902 E Sligh Ave;Tampa FL 33610-1412;USA</t>
  </si>
  <si>
    <t>Industrial Saw &amp; Tool Sales</t>
  </si>
  <si>
    <t>Saw Blades, Cutting Tools, Sharpening Services, Industrial Equipment</t>
  </si>
  <si>
    <t>Smart Heating &amp; Cooling LLC</t>
  </si>
  <si>
    <t>4255 73RD AVE N;UNIT D;PINELLAS PARK FL 33781-4546;USA</t>
  </si>
  <si>
    <t>Heating, Air Conditioning, Repair, Installation, Maintenance</t>
  </si>
  <si>
    <t>Harnois Energies, Inc</t>
  </si>
  <si>
    <t>80, route 158;Saint-Thomas QC J0K 3L0;CAN</t>
  </si>
  <si>
    <t>Fuel &amp; Energy Distribution</t>
  </si>
  <si>
    <t>Fuel Delivery, Gas Station Operations, Propane, Petroleum Distribution</t>
  </si>
  <si>
    <t>Anderson IND 1 LLC</t>
  </si>
  <si>
    <t>8595 Pelham Road;Suite 400-132;Greenville SC 29615;USA</t>
  </si>
  <si>
    <t>Industrial Real Estate, Warehouse Space</t>
  </si>
  <si>
    <t>Central Moving</t>
  </si>
  <si>
    <t>211 Anderson Rd;Mount Vernon WA 98273 9032;USA</t>
  </si>
  <si>
    <t>Metco Investment Realty, Inc</t>
  </si>
  <si>
    <t>388 Q St;Springfield OR 97477;USA</t>
  </si>
  <si>
    <t>Mmag Concrete LLC</t>
  </si>
  <si>
    <t>PO Box 25836;Colorado Springs CO 80936-5836;USA</t>
  </si>
  <si>
    <t>Rent Equipment</t>
  </si>
  <si>
    <t>Concrete Contracting</t>
  </si>
  <si>
    <t>Concrete Pouring, Flatwork, Driveways, Foundations, Demolition</t>
  </si>
  <si>
    <t>MM Everett LLC</t>
  </si>
  <si>
    <t>430 91ST AVE NE;STE 13;LAKE STEVENS WA 98258-2534;USA</t>
  </si>
  <si>
    <t>Stars and Stripes</t>
  </si>
  <si>
    <t>633 3rd Street NW;Suite 500;Washington DC 20001;USA</t>
  </si>
  <si>
    <t>Military News Publication</t>
  </si>
  <si>
    <t>Military News, Digital Media, Print Publishing, Defense Coverage</t>
  </si>
  <si>
    <t>Sport Dimension Inc.</t>
  </si>
  <si>
    <t>1 CIVIC PLAZA DR;STE 600;CARSON CA 90745-2243;USA</t>
  </si>
  <si>
    <t>Water Sports &amp; Recreation Products</t>
  </si>
  <si>
    <t>Life Jackets, Water Sports Gear, Recreational Equipment, Safety Products</t>
  </si>
  <si>
    <t>Trustpilot Inc</t>
  </si>
  <si>
    <t>PO Box 392680;Pittsburgh PA 15251-9600;USA</t>
  </si>
  <si>
    <t>Online Review Platform</t>
  </si>
  <si>
    <t>Consumer Reviews, Business Reviews, Trust Building, Review Collection, Customer Insights</t>
  </si>
  <si>
    <t>Firetrol Protection Systems, Inc.</t>
  </si>
  <si>
    <t>4616 West Howard Lane;#7-700;Austin TX 78728;USA</t>
  </si>
  <si>
    <t>Fire Protection Systems Contractor</t>
  </si>
  <si>
    <t>Fire Sprinkler Design &amp; Installation, Fire Alarm, Suppression, Inspection, Life Safety</t>
  </si>
  <si>
    <t>Sofia E Rivera</t>
  </si>
  <si>
    <t>45 Elm Rd;Devens MA 01434-5081;USA</t>
  </si>
  <si>
    <t>HLB Mann Judd</t>
  </si>
  <si>
    <t>13 Rowood Road;Blacktown NSW 2148;AUS</t>
  </si>
  <si>
    <t>Accounting &amp; Business Advisory</t>
  </si>
  <si>
    <t>Audit &amp; Assurance, Tax Consulting, Business Advisory, Wealth Management, Insolvency Services</t>
  </si>
  <si>
    <t>5 Star CDL Training LLC</t>
  </si>
  <si>
    <t>601 COMMERCE RD;RICHMOND VA 23224-5415;USA</t>
  </si>
  <si>
    <t>Education &amp; Training</t>
  </si>
  <si>
    <t>CDL Training School</t>
  </si>
  <si>
    <t>Class A/B CDL Training, ELDT Courses, Job Placement, Third-Party Testing</t>
  </si>
  <si>
    <t>Roberts Printing, Inc.</t>
  </si>
  <si>
    <t>2049 CALUMET ST;CLEARWATER FL 33765-1308;USA</t>
  </si>
  <si>
    <t>Commercial Printing Services</t>
  </si>
  <si>
    <t>Offset Printing, Digital Printing, Large Format, Marketing Collateral, Mailing Services</t>
  </si>
  <si>
    <t>Baker &amp; McKenzie</t>
  </si>
  <si>
    <t>300 E Randolph St;Ste 5000;Level 27;Chicago IL 60601-5014;USA</t>
  </si>
  <si>
    <t>International Law Firm</t>
  </si>
  <si>
    <t>Corporate Law, M&amp;A, Tax Law, Intellectual Property, Litigation</t>
  </si>
  <si>
    <t>Elite Cleaning Solutions, LLC</t>
  </si>
  <si>
    <t>7003 BLACK WALNUT CIR;LOUISVILLE KY 40229-2474;USA</t>
  </si>
  <si>
    <t>Commercial Tire Inc.</t>
  </si>
  <si>
    <t>450 E Gowen Rd;Boise ID 83716-6609;USA</t>
  </si>
  <si>
    <t>Fleet Tire Management, Alignment, Retreading, Mobile Service</t>
  </si>
  <si>
    <t>HOJ Forklift, LLC</t>
  </si>
  <si>
    <t>PO Box 271123;Salt Lake City UT 84127;USA</t>
  </si>
  <si>
    <t>Forklift Sales &amp; Service, Dock &amp; Door Equipment, Crane &amp; Conveyor Systems, Parts &amp; Repair</t>
  </si>
  <si>
    <t>Bob J Joseph</t>
  </si>
  <si>
    <t>6010 South State Route 201;Tipp City OH 45371;USA</t>
  </si>
  <si>
    <t>22 Park Road LLC</t>
  </si>
  <si>
    <t>213 MAPLE ST;GLENS FALLS NY 12801-3725;USA</t>
  </si>
  <si>
    <t>CTE Company, LLC</t>
  </si>
  <si>
    <t>32 J C RD;WAYNESVILLE NC 28785-2758;USA</t>
  </si>
  <si>
    <t>Murden Investments, LLC</t>
  </si>
  <si>
    <t>3300 CRIPPLE CREEK CT;GRANBURY TX 76048-6800;USA</t>
  </si>
  <si>
    <t>Joshua D Smith</t>
  </si>
  <si>
    <t>602 N 17TH ST;COPPERAS COVE TX 76522-1513;USA</t>
  </si>
  <si>
    <t>Serge Tanner dba Airman Heat &amp; Air</t>
  </si>
  <si>
    <t>31751 GROVE;FRASER MI 48026-2662;USA</t>
  </si>
  <si>
    <t>Heating, Air Conditioning, Furnace Repair, AC Installation</t>
  </si>
  <si>
    <t>TKOT Enterprises, LLC Dba Jan-Pro of Tampa</t>
  </si>
  <si>
    <t>PO BOX 340271;TAMPA FL 33694-0271;USA</t>
  </si>
  <si>
    <t>Janitorial Services, Office Cleaning, Green Cleaning, Sanitization</t>
  </si>
  <si>
    <t>Advanced Revert LLC</t>
  </si>
  <si>
    <t>1131 MICA RD;RIDGEWAY VA 24148-4993;USA</t>
  </si>
  <si>
    <t>Real Estate, Industrial Space</t>
  </si>
  <si>
    <t>Hepaco Blocker, Inc</t>
  </si>
  <si>
    <t>42 LONGWATER DR;NORWELL MA 02061-1612;USA</t>
  </si>
  <si>
    <t>Environmental Remediation Services</t>
  </si>
  <si>
    <t>Hazardous Waste Cleanup, Emergency Spill Response, Environmental Consulting, Decontamination</t>
  </si>
  <si>
    <t>Lynch Fuel Co dba Glover Oil</t>
  </si>
  <si>
    <t>PO Box 790;3109 S Main St;Melbourne FL 32901;USA</t>
  </si>
  <si>
    <t>Fuel &amp; Oil Distribution</t>
  </si>
  <si>
    <t>Heating Oil, Diesel, Gasoline, Propane, Fuel Delivery</t>
  </si>
  <si>
    <t>J1 Consulting DBA/Gill Metal Cons</t>
  </si>
  <si>
    <t>7720 24TH AVE W;BRADENTON FL 34209-5229;USA</t>
  </si>
  <si>
    <t>Metal Construction &amp; Consulting</t>
  </si>
  <si>
    <t>Metal Roofing, Structural Steel, Fabrication</t>
  </si>
  <si>
    <t>LHR Fire Protection</t>
  </si>
  <si>
    <t>1 Zachary Drive ;Unit 4;Raymond NH 03077;USA</t>
  </si>
  <si>
    <t>Fire Sprinkler Installation, Inspections, Fire Alarm Systems, Maintenance</t>
  </si>
  <si>
    <t>Tri Weld industries, Inc.</t>
  </si>
  <si>
    <t>65 S 2nd St;Bay Shore NY 11706 1001;USA</t>
  </si>
  <si>
    <t>Welding &amp; Industrial Supply</t>
  </si>
  <si>
    <t>Welding Equipment, Welding Supplies, Industrial Gases, Fabrication, Cutting Tools</t>
  </si>
  <si>
    <t>Jan-PRO Franchise Dev Charlotte</t>
  </si>
  <si>
    <t>7400 Carmel Executive Park Drive ;Suite 350;Charlotte NC 28226;USA</t>
  </si>
  <si>
    <t>Leeville</t>
  </si>
  <si>
    <t>137 POSTWOOD PL;c/o McCall;NASHVILLE TN 37205-1603;USA</t>
  </si>
  <si>
    <t>Chester Resources</t>
  </si>
  <si>
    <t>Po Box 785;Sparta NJ 07871;USA</t>
  </si>
  <si>
    <t>Third-Party Administration</t>
  </si>
  <si>
    <t>Buster Brown Propane</t>
  </si>
  <si>
    <t>PO Box 719;New Caney TX 77357;USA</t>
  </si>
  <si>
    <t>Cleaning Frenzy Inc</t>
  </si>
  <si>
    <t>2860 Ogletown Rd;Bldg 6, Suite 1;Newark DE 19713-1857;USA</t>
  </si>
  <si>
    <t>Janitorial Services, Office Cleaning, Facility Maintenance</t>
  </si>
  <si>
    <t>001304</t>
  </si>
  <si>
    <t>Atco Structures &amp; Logistics, Ltd.</t>
  </si>
  <si>
    <t>115 Peacekeepers Dr SW;Calgary AB T3E;CAN</t>
  </si>
  <si>
    <t>Temporary Buildings, Site Offices, Workforce Housing</t>
  </si>
  <si>
    <t>Tulip LLC DBA Commercial Driver Scl</t>
  </si>
  <si>
    <t>11000 34th Ave South;Unit B;Lakewood WA 98499;USA</t>
  </si>
  <si>
    <t>Class A/B CDL Training, ELDT, Job Placement, Behind-the-Wheel, Commercial Driver School</t>
  </si>
  <si>
    <t>Jason Keely</t>
  </si>
  <si>
    <t>WEBWEJ LLC 2862 Southern Hills Dr;North Garden VA 22959;USA</t>
  </si>
  <si>
    <t>E.H. Wolf &amp; Sons, Inc.</t>
  </si>
  <si>
    <t>PO Box 348;Slinger WI 53086;USA</t>
  </si>
  <si>
    <t>Site Work, Excavation, Concrete, Building Construction</t>
  </si>
  <si>
    <t>Survey Monkey Inc.</t>
  </si>
  <si>
    <t>910 PARK PL;STE 300;SAN MATEO CA 94403-1907;USA</t>
  </si>
  <si>
    <t>Online Survey &amp; Research Platform</t>
  </si>
  <si>
    <t>Online Surveys, Market Research, Customer Feedback, Employee Engagement, Data Analytics</t>
  </si>
  <si>
    <t>DJs Auto Clinic North Inc</t>
  </si>
  <si>
    <t>905 N BROADWAY;WHITE PLAINS NY 10603-2405;USA</t>
  </si>
  <si>
    <t>General Auto Repair, Diagnostics, Brake Service, Oil Change</t>
  </si>
  <si>
    <t>Maid on the Spot, Inc</t>
  </si>
  <si>
    <t>1521 Merchant St;Ambridge PA 15003;USA</t>
  </si>
  <si>
    <t>Office Cleaning, Residential Cleaning, Janitorial</t>
  </si>
  <si>
    <t>000776</t>
  </si>
  <si>
    <t>Yale Truck Industries</t>
  </si>
  <si>
    <t>560 Orly;Dorval QC H9P 1E9;CAN</t>
  </si>
  <si>
    <t>Forklifts, Warehouse Equipment, Parts, Service, Material Handling</t>
  </si>
  <si>
    <t>001068</t>
  </si>
  <si>
    <t>Hepburn Enterprises, Inc.</t>
  </si>
  <si>
    <t>1481 Charleswood Rd.;Winnipeg MB R3S 1C3;CAN</t>
  </si>
  <si>
    <t>Construction, Renovation, Building Services, Maintenance</t>
  </si>
  <si>
    <t>Gembecki Mechanical Services, Inc</t>
  </si>
  <si>
    <t>1311 Seminola Blvd;Casselberry FL 32707;USA</t>
  </si>
  <si>
    <t>HVAC, Plumbing, Mechanical Systems, Refrigeration</t>
  </si>
  <si>
    <t>VelocityEHS</t>
  </si>
  <si>
    <t>27185 Network Place;Chicago IL 60673;USA</t>
  </si>
  <si>
    <t>EHS &amp; Compliance Software</t>
  </si>
  <si>
    <t>Environment Management, Safety Management, Industrial Hygiene, Chemical Management, ESG Reporting</t>
  </si>
  <si>
    <t>Shindig, LLC</t>
  </si>
  <si>
    <t>4667 West 141st Street;Hawthorne CA 90250;USA</t>
  </si>
  <si>
    <t>Event Production &amp; Decor</t>
  </si>
  <si>
    <t>Event Décor, Props, Themed Events, Party Supplies, Set Design</t>
  </si>
  <si>
    <t>Willie Green</t>
  </si>
  <si>
    <t>280 nw 53rd ct;Ocala FL 34482;USA</t>
  </si>
  <si>
    <t>Leland Frink</t>
  </si>
  <si>
    <t>5733 BENT CREEK DR;PINSON AL 35126-3096;USA</t>
  </si>
  <si>
    <t>CRH California Water Inc</t>
  </si>
  <si>
    <t>1925 BURGUNDY PL;ONTARIO CA 91761-2317;USA</t>
  </si>
  <si>
    <t>Water Services</t>
  </si>
  <si>
    <t>Water Delivery, Water Treatment, Commercial Water</t>
  </si>
  <si>
    <t>Charleys Crane Service</t>
  </si>
  <si>
    <t>8613 Old Ardmore Rd;Hyattsville MD 20785 2316;USA</t>
  </si>
  <si>
    <t>Industrial Scale &amp; Weighing Equipment</t>
  </si>
  <si>
    <t>Scale Sales, Service, Calibration, Industrial Weighing</t>
  </si>
  <si>
    <t>Salary.com</t>
  </si>
  <si>
    <t>PO Box 844048;Boston MA 02284-4048;USA</t>
  </si>
  <si>
    <t>Compensation Data &amp; Analytics Platform</t>
  </si>
  <si>
    <t>Salary Benchmarking, Compensation Planning, Pay Equity Analysis, HR Data</t>
  </si>
  <si>
    <t>J and G Masonry</t>
  </si>
  <si>
    <t>115 WALES ST;CRANSTON RI 02920-7039;USA</t>
  </si>
  <si>
    <t>Brickwork, Stonework, Concrete, Chimney Repair, Restoration</t>
  </si>
  <si>
    <t>Marcos Alvarado Cabrera</t>
  </si>
  <si>
    <t>6416 PEARSON LN;NORTH HIGHLANDS CA 95660-4138;USA</t>
  </si>
  <si>
    <t>Meyer &amp; Depew Co., Inc.</t>
  </si>
  <si>
    <t>309 Lafayette Ave;Kenilworth NJ 07033-1016;USA</t>
  </si>
  <si>
    <t>HVAC, Plumbing, Fire Protection, Building Automation, Energy Services</t>
  </si>
  <si>
    <t>Pack &amp; Load Services, Inc.</t>
  </si>
  <si>
    <t>2960 E Bay Dr;Largo FL 33771-2637;USA</t>
  </si>
  <si>
    <t>Moving &amp; Packing Services</t>
  </si>
  <si>
    <t>Loading &amp; Unloading, Furniture Moving, Packing Services, Local &amp; Long-Distance Moving</t>
  </si>
  <si>
    <t>Inside Moves-Relocation Service Inc</t>
  </si>
  <si>
    <t>Attn: Ted Cotter ;7055 Geyser Ave;Reseda CA 91335 4033;USA</t>
  </si>
  <si>
    <t>Office Moving, Furniture Installation, Commercial Relocation, Records Moving</t>
  </si>
  <si>
    <t>Green Velvet Landscaping, Inc.</t>
  </si>
  <si>
    <t>315 Orinoco Drive;Bay Shore NY 11706;USA</t>
  </si>
  <si>
    <t>Commercial Landscaping, Lawn Maintenance, Grounds Care, Snow Removal</t>
  </si>
  <si>
    <t>Tacoma Screw Products Inc.</t>
  </si>
  <si>
    <t>PO Box 35165;Seattle WA 98124-5165;USA</t>
  </si>
  <si>
    <t>Fastener &amp; Industrial Supply Distribution</t>
  </si>
  <si>
    <t>Fasteners, Bolts, Nuts, Screws, Industrial Supplies, Cutting Tools, Safety Products</t>
  </si>
  <si>
    <t>Portable Storage Of Nebraska</t>
  </si>
  <si>
    <t>11831 Centennial Rd;Lavista NE 68128 5511;USA</t>
  </si>
  <si>
    <t>Gypsys Palace FLP</t>
  </si>
  <si>
    <t>362 Myoma Rd;Mars PA 16046-2122;USA</t>
  </si>
  <si>
    <t>Pettys Welding Company, LLC DO NOT USE</t>
  </si>
  <si>
    <t>3610 E Magnolia Ave;Knoxville TN 37914-3907;USA</t>
  </si>
  <si>
    <t>Structural Welding, Fabrication, Mobile Welding</t>
  </si>
  <si>
    <t>Jani-King of Austin</t>
  </si>
  <si>
    <t>2523 South Lakeline Boulevard;Cedar Park TX 78613;USA</t>
  </si>
  <si>
    <t>Barclays Bank</t>
  </si>
  <si>
    <t>70 Hudson St;Fl 10;Jersey City NJ 07302 4585;USA</t>
  </si>
  <si>
    <t>Banking &amp; Financial Services</t>
  </si>
  <si>
    <t>Corporate Banking, Credit Cards, Investment Services</t>
  </si>
  <si>
    <t>Two Maids to Clean</t>
  </si>
  <si>
    <t>Po Box 103;Ida MI 48140;USA</t>
  </si>
  <si>
    <t>Residential Cleaning Services</t>
  </si>
  <si>
    <t>House Cleaning, Deep Cleaning, Move-In/Move-Out Cleaning, Recurring Service</t>
  </si>
  <si>
    <t>Lakeview Trucking LLC</t>
  </si>
  <si>
    <t>12040 Hoyt St;Lake View Terrace CA 91342-6441;USA</t>
  </si>
  <si>
    <t>Trucking &amp; Hauling Services</t>
  </si>
  <si>
    <t>Material Hauling, Dump Truck Services, Construction Transport</t>
  </si>
  <si>
    <t>S&amp;R Adventures LLC dba MaidPro</t>
  </si>
  <si>
    <t>1105 US Highway 80 East;Suite B;Pooler GA 31322;USA</t>
  </si>
  <si>
    <t>Commercial Cleaning Services (MaidPro)</t>
  </si>
  <si>
    <t>Residential Cleaning, Deep Cleaning, Move-In/Out Cleaning</t>
  </si>
  <si>
    <t>S&amp;R Louisiana LLC</t>
  </si>
  <si>
    <t>5600 Jefferson Hwy;Bldg W-1 Ste. 160;New Orleans LA 70123;USA</t>
  </si>
  <si>
    <t>Staffing, Industrial Services, Workforce Solutions</t>
  </si>
  <si>
    <t>Progressive Casualty Ins Co</t>
  </si>
  <si>
    <t>PO Box 89429;Cleveland OH 44101;USA</t>
  </si>
  <si>
    <t>Auto Insurance, Home Insurance, Business Insurance, Claims Services</t>
  </si>
  <si>
    <t>C&amp;B Cleaning LLC</t>
  </si>
  <si>
    <t>28478 Hoover Rd;Apt. 3;Warren MI 48093;USA</t>
  </si>
  <si>
    <t>Niagara River World Inc</t>
  </si>
  <si>
    <t>4000 River Rd;Tonawanda NY 14150 6527;USA</t>
  </si>
  <si>
    <t>Event Venue, Waterfront Property, Property Management</t>
  </si>
  <si>
    <t>Mapline</t>
  </si>
  <si>
    <t>PO Box 749;Pleasant Grove UT 84062-0749;USA</t>
  </si>
  <si>
    <t>Data Mapping &amp; Visualization Software</t>
  </si>
  <si>
    <t>Geospatial Analytics, Territory Mapping, Route Optimization, Data Dashboards</t>
  </si>
  <si>
    <t>Triliji Group</t>
  </si>
  <si>
    <t>PO Box 20263;Waco TX 76702;USA</t>
  </si>
  <si>
    <t>Lakin D Kirk</t>
  </si>
  <si>
    <t>4102 S 31ST ST;TEMPLE TX 76502-3350;USA</t>
  </si>
  <si>
    <t>000854</t>
  </si>
  <si>
    <t>Princess Auto</t>
  </si>
  <si>
    <t>PO Box 1005;Winnipeg MB R3C 2W7;CAN</t>
  </si>
  <si>
    <t>Auto Parts &amp; Tools Retail</t>
  </si>
  <si>
    <t>Auto Parts, Power Tools, Welding Equipment, Farm &amp; Home Supplies</t>
  </si>
  <si>
    <t>CSC</t>
  </si>
  <si>
    <t>PO Box 7410023;Chicago IL 60674-5024;USA</t>
  </si>
  <si>
    <t>Corporate Legal Services &amp; Compliance</t>
  </si>
  <si>
    <t>Registered Agent, Entity Formation, UCC Filing, Corporate Compliance, Digital Brand Services</t>
  </si>
  <si>
    <t>MK Industries, Inc.</t>
  </si>
  <si>
    <t>998 Forest Edge Drive;Vernon Hills IL 60061;USA</t>
  </si>
  <si>
    <t>Custom Manufacturing, Industrial Components, Fabrication</t>
  </si>
  <si>
    <t>Mortgage Research Center LLC</t>
  </si>
  <si>
    <t>1400 Veterans United Dr;Columbia MO 65203-3001;USA</t>
  </si>
  <si>
    <t>Mortgage Services &amp; VA Lending</t>
  </si>
  <si>
    <t>VA Home Loans, Mortgage Origination, Refinancing, Real Estate Tools</t>
  </si>
  <si>
    <t>Stratus Building Solutions</t>
  </si>
  <si>
    <t>PO Box 208299;Dallas TX 75320-8299;USA</t>
  </si>
  <si>
    <t>Green Cleaning, Janitorial Services, Office Cleaning, Floor Care, Sanitization</t>
  </si>
  <si>
    <t>Peak Technologies</t>
  </si>
  <si>
    <t>8458 Solutions Center;Chicago IL 60677;USA</t>
  </si>
  <si>
    <t>Barcode &amp; Data Capture Technology</t>
  </si>
  <si>
    <t>Barcode Scanners, Label Printers, RFID Solutions, Mobile Computing, Repair Services</t>
  </si>
  <si>
    <t>Super Clean 360</t>
  </si>
  <si>
    <t>1191 Solano Ave;Unit 6621;Albany CA 94706-5099;USA</t>
  </si>
  <si>
    <t>Office Cleaning, Janitorial Services, Deep Cleaning, Sanitization</t>
  </si>
  <si>
    <t>Proscape Landscaping Mgt Corp</t>
  </si>
  <si>
    <t>PO Box 231;East Greenwich RI 02818-0231;USA</t>
  </si>
  <si>
    <t>Landscaping &amp; Property Management</t>
  </si>
  <si>
    <t>Commercial Landscaping, Lawn Maintenance, Snow Removal, Grounds Care</t>
  </si>
  <si>
    <t>Twin City Garage Door Company</t>
  </si>
  <si>
    <t>5601 Boone Ave N;Minneapolis MN 55428-3048;USA</t>
  </si>
  <si>
    <t>Garage Door Sales &amp; Service</t>
  </si>
  <si>
    <t>Garage Doors, Openers, Installation, Repair, Commercial Doors, Loading Dock Equipment</t>
  </si>
  <si>
    <t>Michael H Bruegge</t>
  </si>
  <si>
    <t>1604 Bentbrook Ct;Champaign IL 61822-9222;USA</t>
  </si>
  <si>
    <t>D M Conversions, Ltd</t>
  </si>
  <si>
    <t>12651 W Silver Spring Dr;Butler WI 53007-1014;USA</t>
  </si>
  <si>
    <t>Vehicle Conversions &amp; Upfitting</t>
  </si>
  <si>
    <t>Fleet Vehicle Conversions, Accessibility Modifications, Custom Builds</t>
  </si>
  <si>
    <t>Fire Protection Services, LLC</t>
  </si>
  <si>
    <t>2030 Powers Ferry Rd ;Ste 100;Atlanta GA 30339;USA</t>
  </si>
  <si>
    <t>Fire Sprinkler Systems, Fire Alarm Installation, Inspection, Maintenance, Consulting</t>
  </si>
  <si>
    <t>Jan-Pro of Greater Nashville</t>
  </si>
  <si>
    <t>209 Gothic Court;Suite 107;Franklin TN 37067;USA</t>
  </si>
  <si>
    <t>Lady Boss Lawn Care LLC</t>
  </si>
  <si>
    <t>115 Redwood Track Course;Ocala FL 34472;USA</t>
  </si>
  <si>
    <t>Lawn Care &amp; Landscaping</t>
  </si>
  <si>
    <t>Mowing, Edging, Lawn Maintenance, Grounds Care</t>
  </si>
  <si>
    <t>Johnson Equipment Company</t>
  </si>
  <si>
    <t>PO BOX 802009;Dallas TX 75380-2009;USA</t>
  </si>
  <si>
    <t>Forklift Sales &amp; Service, Dock Equipment, Warehouse Solutions</t>
  </si>
  <si>
    <t>Pacific Metal Buildings Inc</t>
  </si>
  <si>
    <t>PO BOX 485;275 Old Hwy 99W;MAXWELL CA 95955-0485;USA</t>
  </si>
  <si>
    <t>Metal Building Construction</t>
  </si>
  <si>
    <t>Pre-Engineered Metal Buildings, Steel Structures, Agricultural Buildings, Commercial Construction</t>
  </si>
  <si>
    <t>Power Clean</t>
  </si>
  <si>
    <t>3132 Carolina Rd;Suffolk VA 23434-8762;USA</t>
  </si>
  <si>
    <t>Commercial Pressure Washing Services</t>
  </si>
  <si>
    <t>Pressure Washing, Exterior Cleaning, Fleet Washing, Deck &amp; Concrete Cleaning</t>
  </si>
  <si>
    <t>Precision Door Service - Pensacola</t>
  </si>
  <si>
    <t>135 Terry Drive;Pensacola FL 32503;USA</t>
  </si>
  <si>
    <t>Garage Door Repair, Installation, Openers, Springs, Maintenance</t>
  </si>
  <si>
    <t>GTG Peterbilt - Davenport</t>
  </si>
  <si>
    <t>PO Box 2208;Decatur AL 35609;USA</t>
  </si>
  <si>
    <t>Truck Dealership &amp; Parts</t>
  </si>
  <si>
    <t>Peterbilt Truck Sales, Parts, Service, Repairs</t>
  </si>
  <si>
    <t>SKR Corporation</t>
  </si>
  <si>
    <t>420 H ST NW;STE B;AUBURN WA 98001-3923;USA</t>
  </si>
  <si>
    <t>Industrial Maintenance, Equipment Service, Facility Support</t>
  </si>
  <si>
    <t>DKI Pro Supply</t>
  </si>
  <si>
    <t>PO Box 8252;Carol Stream IL 60197-8252;USA</t>
  </si>
  <si>
    <t>Restoration Supplies &amp; Equipment</t>
  </si>
  <si>
    <t>Cleaning Products, Restoration Equipment, Mitigation Supplies</t>
  </si>
  <si>
    <t>InTouch Solutions Group Inc.</t>
  </si>
  <si>
    <t>4104 Schillinger Dr;Naperville IL 60564-7157;USA</t>
  </si>
  <si>
    <t>IT Consulting, Technology Solutions, Staff Augmentation, Project Support</t>
  </si>
  <si>
    <t>Gyrfalcon Logistics Inc.</t>
  </si>
  <si>
    <t>PO Box 1162;Patterson CA 95363;USA</t>
  </si>
  <si>
    <t>Freight Brokerage, Trucking, Transportation Services</t>
  </si>
  <si>
    <t>Ridge Angeline dba B&amp;B Restorations</t>
  </si>
  <si>
    <t>555 E SANDPIPER ST;APOPKA FL 32712-2901;USA</t>
  </si>
  <si>
    <t>Water Damage Restoration, Fire Damage, Mold Remediation, Remodeling</t>
  </si>
  <si>
    <t>001167</t>
  </si>
  <si>
    <t>Erindale Systems Inc.</t>
  </si>
  <si>
    <t>3151 Wolfedale Road;Unit 1;Mississauga ON L5C 1V8;CAN</t>
  </si>
  <si>
    <t>Commercial Overhead Door &amp; Loading Dock Systems</t>
  </si>
  <si>
    <t>Overhead Doors, Loading Docks, Truck Restraints, Security Systems, Fencing &amp; Gate Systems</t>
  </si>
  <si>
    <t>Peter Lyman</t>
  </si>
  <si>
    <t>825 Harbor Oak Ln;Clearwater FL 33756;USA</t>
  </si>
  <si>
    <t>Uncle Nicks</t>
  </si>
  <si>
    <t>6955 Old Highway 77 ;Lakeland FL 33811;USA</t>
  </si>
  <si>
    <t>Restaurant &amp; Catering</t>
  </si>
  <si>
    <t>Restaurant, Catering, Event Dining, Food Service</t>
  </si>
  <si>
    <t>Wrights Media , LLC</t>
  </si>
  <si>
    <t>2407 TIMBERLOCH PL;STE B;THE WOODLANDS TX 77380-1039;USA</t>
  </si>
  <si>
    <t>Content Licensing &amp; Reprints</t>
  </si>
  <si>
    <t>Reprints, E-Prints, Licensing, Plaques, Social Media Content, Content Amplification</t>
  </si>
  <si>
    <t>001099</t>
  </si>
  <si>
    <t>Wallace and Wallace Fences</t>
  </si>
  <si>
    <t>90 Lowson Crescent;Winnipeg MB R3P 2H8;CAN</t>
  </si>
  <si>
    <t>Fencing Installation &amp; Sales</t>
  </si>
  <si>
    <t>Chain Link, Wood, Vinyl, Ornamental Fencing, Gate Installation, Commercial Fencing</t>
  </si>
  <si>
    <t>Krystal Cleaning&amp; Disinfecting Sol</t>
  </si>
  <si>
    <t>2116 Cornaga Avenue;Far Rockaway NY 11691;USA</t>
  </si>
  <si>
    <t>Commercial Cleaning &amp; Disinfecting</t>
  </si>
  <si>
    <t>Janitorial, Office Cleaning, Sanitization, Disinfection Services</t>
  </si>
  <si>
    <t>LEAF Capital Funding LLC</t>
  </si>
  <si>
    <t>PO Box 5066;Hartford CT 06102-5066;USA</t>
  </si>
  <si>
    <t>Equipment Loans, Small Business Financing, Capital Leasing</t>
  </si>
  <si>
    <t>Rehobet Janitorial Services</t>
  </si>
  <si>
    <t>15110 108 Avenue ;#217;Surrey BC V3R 0T6;CAN</t>
  </si>
  <si>
    <t>Janitorial Services</t>
  </si>
  <si>
    <t>Office Cleaning, Building Maintenance, Floor Care, Facility Services</t>
  </si>
  <si>
    <t>Get Lit Electrical &amp; Plumbing</t>
  </si>
  <si>
    <t>1720 Lambert Court;Ste A;Chesepeake VA 23320;USA</t>
  </si>
  <si>
    <t>Electrical &amp; Plumbing Services</t>
  </si>
  <si>
    <t>Electrical Repair, Plumbing Repair, Residential &amp; Commercial Services</t>
  </si>
  <si>
    <t>Paul Davis Restoration</t>
  </si>
  <si>
    <t>Attn: Barry Floyd, CFO;7251 Salisbury Rd;Suite 6;Jacksonville FL 32256;USA</t>
  </si>
  <si>
    <t>Water Damage Restoration, Fire Damage Repair, Mold Remediation, Storm Damage, Remodeling</t>
  </si>
  <si>
    <t>Eagerton Tree Service LLC</t>
  </si>
  <si>
    <t>5569 118TH ST;JACKSONVILLE FL 32244-3003;USA</t>
  </si>
  <si>
    <t>Tree Service &amp; Removal</t>
  </si>
  <si>
    <t>Tree Removal, Trimming, Stump Grinding, Land Clearing</t>
  </si>
  <si>
    <t>Marvco Enterprises, Inc.</t>
  </si>
  <si>
    <t>12123 Emmet St.;Omaha NE 68164;USA</t>
  </si>
  <si>
    <t>Industrial Products &amp; Services</t>
  </si>
  <si>
    <t>Manufacturing, Distribution, Industrial Supplies</t>
  </si>
  <si>
    <t>Cintas Corporation #62</t>
  </si>
  <si>
    <t>PO Box 630803;Cincinnati OH 45263 0803;USA</t>
  </si>
  <si>
    <t>Utility - Water Services</t>
  </si>
  <si>
    <t>Water Distribution, Utility Services</t>
  </si>
  <si>
    <t>Bankers Trust</t>
  </si>
  <si>
    <t>PO Box 898;Des Moines IA 50304;USA</t>
  </si>
  <si>
    <t>Commercial Banking, Business Loans, Treasury Management</t>
  </si>
  <si>
    <t>Lindsey M Townsend</t>
  </si>
  <si>
    <t>5965 Sturgeon Dr;La Fayette NY 13084;USA</t>
  </si>
  <si>
    <t>Servpro Assets, LLC</t>
  </si>
  <si>
    <t>PO Box 1978;Gallatin TN 37066-1978;USA</t>
  </si>
  <si>
    <t>Water Damage Restoration, Fire Damage, Mold Remediation, Storm Cleanup, Biohazard Cleanup</t>
  </si>
  <si>
    <t>Chicago Tire</t>
  </si>
  <si>
    <t>16001 Van Drunen Rd;South Holland IL 60473-1283;USA</t>
  </si>
  <si>
    <t>Fire Sprinklers, Fire Suppression, Inspections, Maintenance</t>
  </si>
  <si>
    <t>Molly Maid of Chesapeake</t>
  </si>
  <si>
    <t>916 Pecan Point Rd;Norfolk VA 23502-3405;USA</t>
  </si>
  <si>
    <t>House Cleaning, Deep Cleaning, Move-In/Out Cleaning, Recurring Service</t>
  </si>
  <si>
    <t>FLV US LLC</t>
  </si>
  <si>
    <t>15 N 9TH AVE;MAYWOOD IL 60153-1180;USA</t>
  </si>
  <si>
    <t>Industrial Maintenance, Facility Services, Equipment Support</t>
  </si>
  <si>
    <t>968 Reed Road 2020</t>
  </si>
  <si>
    <t>958 Reed Rd;Dartmouth MA 02747;USA</t>
  </si>
  <si>
    <t>J&amp;B Management Corporation</t>
  </si>
  <si>
    <t>PO Box 603;Jefferson GA 30549-0603;USA</t>
  </si>
  <si>
    <t>Property Management, Real Estate</t>
  </si>
  <si>
    <t>Tri South Mechanical LLC</t>
  </si>
  <si>
    <t>PO Box 2114;Wake Forest NC 27588-2114;USA</t>
  </si>
  <si>
    <t>HVAC, Plumbing, Piping, Mechanical Systems, Installation, Maintenance</t>
  </si>
  <si>
    <t>Precision Door Services of Memphis</t>
  </si>
  <si>
    <t>1215 Big Orange Road;Cordova TN 38018;USA</t>
  </si>
  <si>
    <t>Miners Towing Co. Inc.</t>
  </si>
  <si>
    <t>12960 Gravois Rd.;Saint Louis MO 63127;USA</t>
  </si>
  <si>
    <t>Light &amp; Heavy Towing, Roadside Assistance, Accident Recovery</t>
  </si>
  <si>
    <t>South Ferry Inc</t>
  </si>
  <si>
    <t>PO Box 2024;Shelter Island NY 11964-2024;USA</t>
  </si>
  <si>
    <t>Ferry Transportation Services</t>
  </si>
  <si>
    <t>Passenger Ferry, Vehicle Ferry, Charter Services, Island Transportation</t>
  </si>
  <si>
    <t>A Clean Place Services/Angela Hough</t>
  </si>
  <si>
    <t>PO Box 21483;Little Rock AR 72221-1483;USA</t>
  </si>
  <si>
    <t>Janitorial Services, Office Cleaning, House Cleaning</t>
  </si>
  <si>
    <t>Vulcan Companies, Inc.</t>
  </si>
  <si>
    <t>PO Box 130292;Roseville MN 55113-0003;USA</t>
  </si>
  <si>
    <t>Industrial Services &amp; Construction</t>
  </si>
  <si>
    <t>Industrial Insulation, Abatement, Scaffolding, Fireproofing, Specialty Coatings</t>
  </si>
  <si>
    <t>Bernstein Shur Sawyer &amp; Nelson PA</t>
  </si>
  <si>
    <t>PO BOX 9729;PORTLAND ME 04104-5029;USA</t>
  </si>
  <si>
    <t>Business Law, Real Estate, Litigation, Corporate Law</t>
  </si>
  <si>
    <t>Coverall North America Inc</t>
  </si>
  <si>
    <t>2955 Momentum Pl;Chicago IL 60689-5329;USA</t>
  </si>
  <si>
    <t>Janitorial, Office Cleaning, Floor Care, Facility Maintenance</t>
  </si>
  <si>
    <t>Ready Refresh-856192</t>
  </si>
  <si>
    <t>PO Box 856192;Louisville KY 40285-6192;USA</t>
  </si>
  <si>
    <t>Marxaire, Inc.</t>
  </si>
  <si>
    <t>1001 E 64th Ave;Denver CO 80229-7206;USA</t>
  </si>
  <si>
    <t>HVAC Equipment &amp; Supply</t>
  </si>
  <si>
    <t>Air Conditioning, Heating Equipment, HVAC Parts, Installation</t>
  </si>
  <si>
    <t>Attention to Detail Prof. Cleaning</t>
  </si>
  <si>
    <t>156 Springbrook Trail;Sparta NJ 07871;USA</t>
  </si>
  <si>
    <t>Professional Cleaning Services</t>
  </si>
  <si>
    <t>Residential Cleaning, Office Cleaning, Deep Cleaning</t>
  </si>
  <si>
    <t>Snell &amp; Wilmer L.L.P.</t>
  </si>
  <si>
    <t>1 E WASHINGTON ST;Suite 2700;PHOENIX AZ 85004-2492;USA</t>
  </si>
  <si>
    <t>Litigation, Corporate Transactions, Real Estate, IP, Employment Law, Tax, Estate Planning</t>
  </si>
  <si>
    <t>RE/MAX International Inc</t>
  </si>
  <si>
    <t>ATTN: APPR SUPPLIER PROGRAM;5075 S SYRACUSE ST;Denver CO 80237;USA</t>
  </si>
  <si>
    <t>Real Estate Franchise Services</t>
  </si>
  <si>
    <t>Franchise Brokerage, Agent Tools, Real Estate Technology, Brand Licensing</t>
  </si>
  <si>
    <t>Restored Digital Solution, LLC</t>
  </si>
  <si>
    <t>1900 NW 135th Street;Miami FL 33182;USA</t>
  </si>
  <si>
    <t>IT Services &amp; Digital Solutions</t>
  </si>
  <si>
    <t>IT Support, Digital Marketing, Web Development, Technology Services</t>
  </si>
  <si>
    <t>Yacht StarShip Dining Cruises LLC</t>
  </si>
  <si>
    <t>603 Channelside Drive;Tampa FL 33602;USA</t>
  </si>
  <si>
    <t>Dining Cruise &amp; Event Entertainment</t>
  </si>
  <si>
    <t>Dinner Cruises, Private Events, Corporate Events, Wedding Cruises, Brunch Cruises</t>
  </si>
  <si>
    <t>Southland Fencing</t>
  </si>
  <si>
    <t>474 S Fetterly Ave;Los Angeles CA 90022;USA</t>
  </si>
  <si>
    <t>Chain Link Fencing, Wood Fencing, Iron Fencing, Gate Installation, Commercial Fencing</t>
  </si>
  <si>
    <t>EAAL CORP</t>
  </si>
  <si>
    <t>809 SHARTOM DR;AUGUSTA GA 30907-4716;USA</t>
  </si>
  <si>
    <t>Commercial Services</t>
  </si>
  <si>
    <t>General Commercial Services</t>
  </si>
  <si>
    <t>Rosey Industrial Park &amp; Storage LLC</t>
  </si>
  <si>
    <t>18 Lee Road;Rochester NY 14606;USA</t>
  </si>
  <si>
    <t>Real Estate, Industrial Property</t>
  </si>
  <si>
    <t>MoreSteam.com LLC</t>
  </si>
  <si>
    <t>9961 BREWSTER LN;POWELL OH 43065-7571;USA</t>
  </si>
  <si>
    <t>Lean Six Sigma Training &amp; Software</t>
  </si>
  <si>
    <t>Online Training, Process Improvement, Data Analytics Tools, Certification</t>
  </si>
  <si>
    <t>Better Business Bureau of W FL</t>
  </si>
  <si>
    <t>2655 McCormick Drive;Clearwater FL 33759;USA</t>
  </si>
  <si>
    <t>Business Accreditation Services</t>
  </si>
  <si>
    <t>Business Accreditation, Consumer Protection, Dispute Resolution</t>
  </si>
  <si>
    <t>Tom J Martin</t>
  </si>
  <si>
    <t>2027 S Roane St;Harriman TN 37748-8650;USA</t>
  </si>
  <si>
    <t>Blackwell Repairs &amp; Welding</t>
  </si>
  <si>
    <t>2994 Donald Lee Hollowell,;Atlanta GA 30318;USA</t>
  </si>
  <si>
    <t>Welding &amp; Repair Services</t>
  </si>
  <si>
    <t>Welding, Equipment Repair, Fabrication</t>
  </si>
  <si>
    <t>Luckys Energy Service, Inc.</t>
  </si>
  <si>
    <t>1009 Tamarac Drive;Carpentersville IL 60110;USA</t>
  </si>
  <si>
    <t>Energy &amp; HVAC Services</t>
  </si>
  <si>
    <t>Heating, Air Conditioning, Energy Management, Mechanical Service</t>
  </si>
  <si>
    <t>KJ Cleaning LLC</t>
  </si>
  <si>
    <t>13701 24TH ST E;STE C-4;SUMNER WA 98390-9675;USA</t>
  </si>
  <si>
    <t>Airoldi Brothers, Inc.</t>
  </si>
  <si>
    <t>6930 S 6th St;Oak Creek WI 53154-1463;USA</t>
  </si>
  <si>
    <t>Truck Rental, Fleet Maintenance, Vehicle Sales, Commercial Trucking</t>
  </si>
  <si>
    <t>The Salvation Army A Georgia CT</t>
  </si>
  <si>
    <t>1424 NORTHEAST EXPY NE;BROOKHAVEN GA 30329-2018;USA</t>
  </si>
  <si>
    <t>Nonprofit Charitable Organization</t>
  </si>
  <si>
    <t>Social Services, Disaster Relief, Thrift Stores, Rehabilitation, Community Programs</t>
  </si>
  <si>
    <t>CPH Landscape</t>
  </si>
  <si>
    <t>1325 LARSON CT;MADISON WI 53714-1313;USA</t>
  </si>
  <si>
    <t>Nyc Department Of Finance</t>
  </si>
  <si>
    <t>CHURCH STREET STATION;PO BOX 3640;New York NY 10008-3609;USA</t>
  </si>
  <si>
    <t>Government Agency - Finance</t>
  </si>
  <si>
    <t>Parking Violations, Tax Collection, Property Valuation, City Revenue</t>
  </si>
  <si>
    <t>Linda Gates</t>
  </si>
  <si>
    <t>3260 CARRIAGE DR;MEDFORD OR 97501-4337;USA</t>
  </si>
  <si>
    <t>Steven Brown</t>
  </si>
  <si>
    <t>148 WALL ST;APT 137;CAMDEN SC 29020-7656;USA</t>
  </si>
  <si>
    <t>Pye-Barker Fire &amp; Safety Inc.</t>
  </si>
  <si>
    <t>PO BOX 735358;Dallas TX 75373;USA</t>
  </si>
  <si>
    <t>Fire Protection &amp; Life Safety</t>
  </si>
  <si>
    <t>Fire Alarm Systems, Fire Sprinklers, Suppression Systems, Inspections, Security Systems, Monitoring</t>
  </si>
  <si>
    <t>Selking International, LLC</t>
  </si>
  <si>
    <t>5320 Fremont Pike;Stony Ridge OH 43463-9516;USA</t>
  </si>
  <si>
    <t>International Trucks, Parts, Service, Leasing, Truck Sales</t>
  </si>
  <si>
    <t>Dawn Falace</t>
  </si>
  <si>
    <t>319 Alexandra Ave;Scotia NY 12302;USA</t>
  </si>
  <si>
    <t>April Szulborski dba Advent Packaging</t>
  </si>
  <si>
    <t>3899 Las Flores Drive;Fallbrook CA 92028;USA</t>
  </si>
  <si>
    <t>Packaging Services</t>
  </si>
  <si>
    <t>Product Packaging, Fulfillment Services</t>
  </si>
  <si>
    <t>Air Comfort, Inc.</t>
  </si>
  <si>
    <t>150 Rome Ct;Fort Collins CO 80524-1434;USA</t>
  </si>
  <si>
    <t>Air Conditioning, Heating, Comfort Systems</t>
  </si>
  <si>
    <t>Hiegel Supply</t>
  </si>
  <si>
    <t>1310 Bruce St;Conway AR 72034-6513;USA</t>
  </si>
  <si>
    <t>Hardware, Tools, Industrial Equipment, Rental Services</t>
  </si>
  <si>
    <t>Northern Investments &amp; Properties</t>
  </si>
  <si>
    <t>PO Box 960;Clovis NM 88102;USA</t>
  </si>
  <si>
    <t>Remco Business Center, LLC</t>
  </si>
  <si>
    <t>31 Rbc Dr;Ringgold GA 30736-2783;USA</t>
  </si>
  <si>
    <t>Brook Construction Co., Inc.</t>
  </si>
  <si>
    <t>PO BOX 9560;FORT WAYNE IN 46899-9560;USA</t>
  </si>
  <si>
    <t>Commercial Construction, Building, Renovation</t>
  </si>
  <si>
    <t>Wilson David Antoine</t>
  </si>
  <si>
    <t>52 UNDERWOOD ST;APT 1L;NEWARK NJ 07106-3721;USA</t>
  </si>
  <si>
    <t>Alyssa Lora</t>
  </si>
  <si>
    <t>2 WEMBLY PL;GANSEVOORT NY 12831-1541;USA</t>
  </si>
  <si>
    <t>Southside Trailer Service</t>
  </si>
  <si>
    <t>310 Lake Ave;Buffalo NY 14219 1508;USA</t>
  </si>
  <si>
    <t>Trailer Rental, Trailer Repair, Parts, Storage, Flatbed Trailers</t>
  </si>
  <si>
    <t>Propane Central-Wichita</t>
  </si>
  <si>
    <t>14300 E 61st St N;Wichita KS 67228-9231;USA</t>
  </si>
  <si>
    <t>Empire Fire Systems, LLC</t>
  </si>
  <si>
    <t>35 Urban Ave;Westbury NY 11590-4837;USA</t>
  </si>
  <si>
    <t>Fire Sprinkler Installation, Inspection, Fire Suppression, Backflow Testing</t>
  </si>
  <si>
    <t>CWPM LLC</t>
  </si>
  <si>
    <t>PO Box 415;Plainville CT 06062;USA</t>
  </si>
  <si>
    <t>Walton Management Services Inc.</t>
  </si>
  <si>
    <t>1715 NJ-35;Suite 206;Middletown NJ 07748;USA</t>
  </si>
  <si>
    <t>Property Management, Residential Management, Association Management, Leasing</t>
  </si>
  <si>
    <t>Commercial Shelving Inc</t>
  </si>
  <si>
    <t>2835 Ualena Street;Honolulu HI 96819;USA</t>
  </si>
  <si>
    <t>Shelving &amp; Storage Solutions</t>
  </si>
  <si>
    <t>Commercial Shelving, Pallet Racking, Warehouse Storage Systems</t>
  </si>
  <si>
    <t>Sean Joubert</t>
  </si>
  <si>
    <t>8112 ALGON AVE;PHILADELPHIA PA 19152-2204;USA</t>
  </si>
  <si>
    <t>001009</t>
  </si>
  <si>
    <t>Super-Save Enterprises, Ltd.</t>
  </si>
  <si>
    <t>19395 Langley Bypass;Surrey BC V3S 6K1;CAN</t>
  </si>
  <si>
    <t>Waste &amp; Recycling Services</t>
  </si>
  <si>
    <t>Waste Collection, Recycling, Portable Toilets, Equipment Rental, Moving Services</t>
  </si>
  <si>
    <t>Ready Refresh-856680</t>
  </si>
  <si>
    <t>PO Box 856680;Louisville KY 40285-6680;USA</t>
  </si>
  <si>
    <t>Tags Hawaii, Inc.</t>
  </si>
  <si>
    <t>98-029 Hekaha St;Ste 20;Aiea HI 96701-4915;USA</t>
  </si>
  <si>
    <t>Signage &amp; Printing Services</t>
  </si>
  <si>
    <t>Custom Signs, Printing, Banners, Promotional Products, Name Badges</t>
  </si>
  <si>
    <t>Global Mobility Solutions</t>
  </si>
  <si>
    <t>Attn: Ann Knapp;15333 N Pima Rd;Ste 240;Scottsdale AZ 85260-7303;USA</t>
  </si>
  <si>
    <t>Employee Relocation, Global Mobility, Destination Services, Home Sale Assistance, Expense Management</t>
  </si>
  <si>
    <t>Just Green Lawn and Landscaping</t>
  </si>
  <si>
    <t>5709 Turnipseed Road;Knightdale NC 27545;USA</t>
  </si>
  <si>
    <t>Mowing, Mulching, Landscaping Design, Grounds Maintenance</t>
  </si>
  <si>
    <t>National Fire &amp; Safety Inc</t>
  </si>
  <si>
    <t>8930 DIPLOMACY ROW;DALLAS TX 75247-5302;USA</t>
  </si>
  <si>
    <t>Fire Protection Equipment &amp; Service</t>
  </si>
  <si>
    <t>Fire Extinguishers, Fire Suppression, Alarm Systems, Inspections, Training</t>
  </si>
  <si>
    <t>JK Johns Roofing &amp; Sheet Metal, Inc</t>
  </si>
  <si>
    <t>3323 MUSTANG DR;BROOKSVILLE FL 34604-8113;USA</t>
  </si>
  <si>
    <t>Roof Installation, Roof Repair, Sheet Metal Fabrication, Gutters</t>
  </si>
  <si>
    <t>Albuquerque Plumbing, Heat and Cool</t>
  </si>
  <si>
    <t>4300 2ND ST NW;ALBUQUERQUE NM 87107-4038;USA</t>
  </si>
  <si>
    <t>Plumbing &amp; HVAC Services</t>
  </si>
  <si>
    <t>AC Repair, Heating, Plumbing, 24/7 Emergency Service</t>
  </si>
  <si>
    <t>Memphis Maids, LLC</t>
  </si>
  <si>
    <t>8541 Shady Trail COVE;Cordova TN 38018-4302;USA</t>
  </si>
  <si>
    <t>Residential Cleaning, Commercial Cleaning, Deep Cleaning, Move-In/Out Cleaning</t>
  </si>
  <si>
    <t>ChemStation Chicago LLC</t>
  </si>
  <si>
    <t>PO Box 83306;Chicago IL 60691-3306;USA</t>
  </si>
  <si>
    <t>Interior Design &amp; Decor</t>
  </si>
  <si>
    <t>Commercial Design, Decorating Services, Furnishings</t>
  </si>
  <si>
    <t>Custom Pump &amp; Controls</t>
  </si>
  <si>
    <t>1840 River Oaks Rd;Jacksonville FL 32207;USA</t>
  </si>
  <si>
    <t>Pump &amp; Controls Services</t>
  </si>
  <si>
    <t>Pump Repair, Control Systems, Water/Wastewater Equipment</t>
  </si>
  <si>
    <t>Affordable Truck Tires</t>
  </si>
  <si>
    <t>153 Scott Industrial Blvd;Auburn GA 30011-2811;USA</t>
  </si>
  <si>
    <t>Truck Tires, Fleet Services, Tire Sales</t>
  </si>
  <si>
    <t>AAA Tire Company Inc</t>
  </si>
  <si>
    <t>127 Main St;Wilmington MA 01887-3528;USA</t>
  </si>
  <si>
    <t>Tire Sales, Tire Repair, Wheel Services</t>
  </si>
  <si>
    <t>Perfection Lawn Care &amp; Mntc,</t>
  </si>
  <si>
    <t>51 Jordan Rd;Autryville NC 28318;USA</t>
  </si>
  <si>
    <t>Lawn Mowing, Grounds Maintenance, Seasonal Cleanup, Mulching</t>
  </si>
  <si>
    <t>The UPS Store Inc</t>
  </si>
  <si>
    <t>6060 CORNERSTONE CT W;SAN DIEGO CA 92121-3712;USA</t>
  </si>
  <si>
    <t>Shipping &amp; Business Services Franchise</t>
  </si>
  <si>
    <t>Shipping, Printing, Mailbox Rental, Packaging, Notary, Business Services</t>
  </si>
  <si>
    <t>Overdoors of Illinois</t>
  </si>
  <si>
    <t>9233 Gulfstream rd. ;Frankfort IL 60423;USA</t>
  </si>
  <si>
    <t>Garage Door Installation, Repair, Commercial Doors, Dock Equipment</t>
  </si>
  <si>
    <t>Stewart &amp; Stevenson FDDA LLC</t>
  </si>
  <si>
    <t>Po Box 301063;Dallas TX 75303;USA</t>
  </si>
  <si>
    <t>Power Systems &amp; Equipment</t>
  </si>
  <si>
    <t>Gas Turbines, Diesel Engines, Power Generation, Parts &amp; Service, Oil &amp; Gas Equipment</t>
  </si>
  <si>
    <t>Black Equipment Company East, Inc.</t>
  </si>
  <si>
    <t>1187 BURCH DR;EVANSVILLE IN 47725-1701;USA</t>
  </si>
  <si>
    <t>D&amp;K Pitchers Auto Salvage Inc</t>
  </si>
  <si>
    <t>PO BOX 1793;NORTH KINGSTOWN RI 02852-0648;USA</t>
  </si>
  <si>
    <t>Auto Salvage &amp; Parts</t>
  </si>
  <si>
    <t>Used Auto Parts, Vehicle Salvage, Recycling</t>
  </si>
  <si>
    <t>Perfect Detail MI</t>
  </si>
  <si>
    <t>16697 Aspen Way;Southgate MI 48195;USA</t>
  </si>
  <si>
    <t>Auto Detailing Services</t>
  </si>
  <si>
    <t>Interior Detailing, Exterior Detailing, Paint Correction, Ceramic Coating</t>
  </si>
  <si>
    <t>Prestige Yardscapes &amp; Snow Mgt</t>
  </si>
  <si>
    <t>515 Robinhood Dr;Aurora OH 44202-8836;USA</t>
  </si>
  <si>
    <t>Landscaping &amp; Snow Management</t>
  </si>
  <si>
    <t>Landscape Design, Lawn Maintenance, Snow Removal, Ice Management, Hardscaping</t>
  </si>
  <si>
    <t>A2B Hotshots, LLC</t>
  </si>
  <si>
    <t>5673 Star Rush Drive;Melbourne FL 32940;USA</t>
  </si>
  <si>
    <t>Hotshot Trucking &amp; Delivery</t>
  </si>
  <si>
    <t>Expedited Freight, Time-Critical Delivery, LTL Shipping</t>
  </si>
  <si>
    <t>Avenir Energy Ltd</t>
  </si>
  <si>
    <t>7212 8th Street;Edmonton AB T6P 1V1;CAN</t>
  </si>
  <si>
    <t>Energy Services</t>
  </si>
  <si>
    <t>Fuel Distribution, Energy Solutions</t>
  </si>
  <si>
    <t>Xtreme Fleet Maintenance, LLC</t>
  </si>
  <si>
    <t>8668 Fowler Ave;Pensacola FL 32534;USA</t>
  </si>
  <si>
    <t>Truck Repair, Fleet Maintenance, Diesel Service, Mobile Repair, Preventive Maintenance</t>
  </si>
  <si>
    <t>eTEC Fire Protection LLC</t>
  </si>
  <si>
    <t>3205 Moore St;Richmond VA 23230-4421;USA</t>
  </si>
  <si>
    <t>Fire Protection &amp; Sprinkler Systems</t>
  </si>
  <si>
    <t>Fire Sprinkler Design, Installation, Inspection, Maintenance, Fire Alarm Systems</t>
  </si>
  <si>
    <t>Getty Images Inc</t>
  </si>
  <si>
    <t>PO Box 953604;Saint Louis MO 63195-3604;USA</t>
  </si>
  <si>
    <t>Stock Photography &amp; Visual Media</t>
  </si>
  <si>
    <t>Photo Licensing, Video Licensing, Editorial Content, Custom Content, Rights &amp; Clearance</t>
  </si>
  <si>
    <t>Trupar America INC</t>
  </si>
  <si>
    <t>160 Wilson Rd;Bentleyville PA 15314-1028;USA</t>
  </si>
  <si>
    <t>Forklift Parts Distribution</t>
  </si>
  <si>
    <t>Forklift Parts, Aftermarket Parts, OEM Parts, Material Handling Parts, Equipment Service</t>
  </si>
  <si>
    <t>Leslie A Baker</t>
  </si>
  <si>
    <t>3203 SPEARWOOD DR;HIGHLANDS RANCH CO 80126-7563;USA</t>
  </si>
  <si>
    <t>Colorado Mechanical Systems, Inc.</t>
  </si>
  <si>
    <t>7094 S Revere Pkwy;Ste 100;Centennial CO 80112-4546;USA</t>
  </si>
  <si>
    <t>HVAC Installation &amp; Service, Plumbing, Building Automation, Sheet Metal</t>
  </si>
  <si>
    <t>Solid Home LLC</t>
  </si>
  <si>
    <t>1942 LAURA RD NW;ROANOKE VA 24017-1526;USA</t>
  </si>
  <si>
    <t>Home Improvement &amp; Renovation</t>
  </si>
  <si>
    <t>Home Renovation, Remodeling, General Contracting, Home Repair</t>
  </si>
  <si>
    <t>Gem City Tire</t>
  </si>
  <si>
    <t>PO Box 13027;Dayton OH 45413;USA</t>
  </si>
  <si>
    <t>Tire Sales, Tire Repair, Wheel Alignment, Fleet Tire Service</t>
  </si>
  <si>
    <t>The American Legion</t>
  </si>
  <si>
    <t>700 N Pennsylvania St;Indianapolis IN 46204;USA</t>
  </si>
  <si>
    <t>Veterans Organization</t>
  </si>
  <si>
    <t>Veterans Services, Community Programs, Youth Programs, Advocacy, Patriotic Events</t>
  </si>
  <si>
    <t>KKJ, dba Jan Pro Fran Dev of NEPA</t>
  </si>
  <si>
    <t>94 Boston Hill Road;Larksville PA 18651;USA</t>
  </si>
  <si>
    <t>McKinney Trailer Rental</t>
  </si>
  <si>
    <t>2601 Saturn St;#110;Brea CA 92821-6702;USA</t>
  </si>
  <si>
    <t>Trailer Rental &amp; Leasing</t>
  </si>
  <si>
    <t>Dry Van Trailers, Refrigerated Trailers, Flatbed, Storage Trailers</t>
  </si>
  <si>
    <t>Dutchess Overhead Door Inc.</t>
  </si>
  <si>
    <t>40 Arlington Ave;Poughkeepsie NY 12603 1604;USA</t>
  </si>
  <si>
    <t>MooveGuru, Inc</t>
  </si>
  <si>
    <t>18526 WILD HORSE CREEK RD;WILDWOOD MO 63005-4011;USA</t>
  </si>
  <si>
    <t>Moving Concierge Platform</t>
  </si>
  <si>
    <t>Utility Transfer, Moving Services Coordination, Change of Address, Home Services</t>
  </si>
  <si>
    <t>Next Step Strategies LLC</t>
  </si>
  <si>
    <t>PO Box 1406;Safety Harbor FL 34695-1406;USA</t>
  </si>
  <si>
    <t>Business Consulting &amp; Strategy</t>
  </si>
  <si>
    <t>Strategic Planning, Business Development, Marketing Consulting</t>
  </si>
  <si>
    <t>Powertown LLC dba Forklifts NH</t>
  </si>
  <si>
    <t>343 Londonberry Turnpike;Hooksett NH 03106;USA</t>
  </si>
  <si>
    <t>First Security</t>
  </si>
  <si>
    <t>13961 Tucker Ave;Sylmar CA 91342 1928;USA</t>
  </si>
  <si>
    <t>Security Systems &amp; Services</t>
  </si>
  <si>
    <t>Security Systems, Alarm Installation, Video Surveillance, Access Control</t>
  </si>
  <si>
    <t>Silco Fire &amp; Security</t>
  </si>
  <si>
    <t>PO Box 933381;Cleveland OH 44193-0038;USA</t>
  </si>
  <si>
    <t>Fire Alarms, Sprinkler Systems, Security Systems, Monitoring, Inspections</t>
  </si>
  <si>
    <t>N&amp;S Automotive</t>
  </si>
  <si>
    <t>472 S 7TH AVE;MOUNT VERNON NY 10550-4484;USA</t>
  </si>
  <si>
    <t>Auto Repair, Maintenance, Diagnostics, Towing</t>
  </si>
  <si>
    <t>Rickey L Walker</t>
  </si>
  <si>
    <t>445 INDUSTRIAL BLVD;LA VERGNE TN 37086-4173;USA</t>
  </si>
  <si>
    <t>Sheila Frazier</t>
  </si>
  <si>
    <t>736 VALLEY RD;MONTCLAIR NJ 07043-1521;USA</t>
  </si>
  <si>
    <t>Aulani Commercial Services, LLC</t>
  </si>
  <si>
    <t>507 Shenandoah Texas;Spring TX 77381;USA</t>
  </si>
  <si>
    <t>Facility Services, Business Support</t>
  </si>
  <si>
    <t>A&amp;A Hauling &amp; Concrete</t>
  </si>
  <si>
    <t>PO Box 91;Fort Lupton CO 80621;USA</t>
  </si>
  <si>
    <t>Hauling &amp; Concrete Services</t>
  </si>
  <si>
    <t>Concrete Work, Materials Hauling, Construction Services</t>
  </si>
  <si>
    <t>El Paso XCS, LLC</t>
  </si>
  <si>
    <t>3508 Gateway Blvd E;El Paso TX 79905-1212;USA</t>
  </si>
  <si>
    <t>Bay Alarm Company</t>
  </si>
  <si>
    <t>PO Box 7137;San Francisco CA 94120 7137;USA</t>
  </si>
  <si>
    <t>Security Alarm &amp; Monitoring</t>
  </si>
  <si>
    <t>Burglar Alarms, Fire Alarms, Video Surveillance, 24/7 Monitoring</t>
  </si>
  <si>
    <t>Green Thumb Lawn Care</t>
  </si>
  <si>
    <t>8290 Briese Lane;Pensacola FL 32514;USA</t>
  </si>
  <si>
    <t>Lawn Care &amp; Maintenance</t>
  </si>
  <si>
    <t>Lawn Mowing, Trimming, Weed Control, Fertilization</t>
  </si>
  <si>
    <t>Kahoot</t>
  </si>
  <si>
    <t>Fridtjof Nansens plass 7;Oslo 0160;NOR</t>
  </si>
  <si>
    <t>Game-Based Learning Platform</t>
  </si>
  <si>
    <t>Interactive Quizzes, Corporate Training, Employee Engagement, EdTech, AI Study Tools</t>
  </si>
  <si>
    <t>911 Restoration Franchise, Inc</t>
  </si>
  <si>
    <t>7721 DENSMORE AVE;VAN NUYS CA 91406-1920;USA</t>
  </si>
  <si>
    <t>Water Damage, Fire Damage, Mold Remediation, Storm Damage</t>
  </si>
  <si>
    <t>Assurance Electric LLC</t>
  </si>
  <si>
    <t>14017 Hatfield Road;Pearland TX 77581;USA</t>
  </si>
  <si>
    <t>Commercial Electrical, Lighting, Installation</t>
  </si>
  <si>
    <t>Nation Waste Inc</t>
  </si>
  <si>
    <t>PO BOX 95427;GRAPEVINE TX 76099-9735;USA</t>
  </si>
  <si>
    <t>Trash Collection, Roll-Off Dumpsters, Recycling, Commercial Waste</t>
  </si>
  <si>
    <t>OMNIA Partners</t>
  </si>
  <si>
    <t>5001 ASPEN GROVE DR;STE 600;FRANKLIN TN 37067-3113;USA</t>
  </si>
  <si>
    <t>Group Purchasing Organization (GPO)</t>
  </si>
  <si>
    <t>Cooperative Purchasing, Contract Management, Procurement Solutions, Supplier Partnerships</t>
  </si>
  <si>
    <t>Indeed, Inc.</t>
  </si>
  <si>
    <t>PO Box 660367;Mail Code 5160;Dallas TX 75266;USA</t>
  </si>
  <si>
    <t>Online Job Advertising Platform</t>
  </si>
  <si>
    <t>Job Posting, Resume Search, Employer Branding, Sponsored Jobs, Hiring Solutions</t>
  </si>
  <si>
    <t>Grayco Enterprises, Inc</t>
  </si>
  <si>
    <t>15 COMMERCE DR;STE 102B;GRAYSLAKE IL 60030-7807;USA</t>
  </si>
  <si>
    <t>Facility Services, Maintenance, Repair</t>
  </si>
  <si>
    <t>MilitaryByOwner Advertising, Inc.</t>
  </si>
  <si>
    <t>129 Lupine Dr;Stafford VA 22556;USA</t>
  </si>
  <si>
    <t>Military Real Estate Advertising</t>
  </si>
  <si>
    <t>Property Listings, Home Sales, Rental Listings, Military Relocation</t>
  </si>
  <si>
    <t>Randy Sagar</t>
  </si>
  <si>
    <t>403 SHORE ACRES DR;UTICA IN 47130-9469;USA</t>
  </si>
  <si>
    <t>Danies Maldonado</t>
  </si>
  <si>
    <t>14 Gettysburg Drive;Voorhees NJ 08043;USA</t>
  </si>
  <si>
    <t>Jenkins Services, Inc</t>
  </si>
  <si>
    <t>3750 CENTERVIEW DR;CHANTILLY VA 20151-3200;USA</t>
  </si>
  <si>
    <t>Technology Solutions, IT Support, Systems Integration</t>
  </si>
  <si>
    <t>Mirrione, Shaughnessy &amp; Uitti, LLC in Trust</t>
  </si>
  <si>
    <t>2 Batterymarch Park, Suite 202;Quincy MA 02169;USA</t>
  </si>
  <si>
    <t>Insurance Defense, Personal Injury, Workers' Comp, General Liability</t>
  </si>
  <si>
    <t>ST. Pete Pride, Inc</t>
  </si>
  <si>
    <t>PO BOX 12647;SAINT PETERSBURG FL 33733-2647;USA</t>
  </si>
  <si>
    <t>LGBTQ+ Community Organization &amp; Events</t>
  </si>
  <si>
    <t>Pride Events, Community Outreach, Advocacy, Education</t>
  </si>
  <si>
    <t>American Cancer Society, Inc.</t>
  </si>
  <si>
    <t>270 PEACHTREE ST NW;STE 1300;ATLANTA GA 30303-1283;USA</t>
  </si>
  <si>
    <t>Health Research, Cancer Support, Fundraising</t>
  </si>
  <si>
    <t>Michael Nehnevajsa and Susan</t>
  </si>
  <si>
    <t>Susan Nehnevajsa;1016 PASTURE DR;BADEN PA 15005-2720;USA</t>
  </si>
  <si>
    <t>Mooremaids</t>
  </si>
  <si>
    <t>4137 Carmichael Rd Ste 110;Montgomery AL 36106;USA</t>
  </si>
  <si>
    <t>Residential Cleaning, Commercial Cleaning, Janitorial</t>
  </si>
  <si>
    <t>Bright Painting &amp; Design Inc Dba Wow 1 day painting</t>
  </si>
  <si>
    <t>300 PEACHTREE ST NE;ATLANTA GA 30308-3523;USA</t>
  </si>
  <si>
    <t>Commercial Painting Services</t>
  </si>
  <si>
    <t>Interior/Exterior Painting, Commercial Painting, Design</t>
  </si>
  <si>
    <t>Arthur Laws</t>
  </si>
  <si>
    <t>1039 BENNINGTON ST;APT B;UPLAND CA 91786-6312;USA</t>
  </si>
  <si>
    <t>Cox Autom Mobility Fleet Servs</t>
  </si>
  <si>
    <t>13720 East 42nd Terrace South;Independence MO 64055;USA</t>
  </si>
  <si>
    <t>Fleet Management Services</t>
  </si>
  <si>
    <t>Vehicle Maintenance, Fleet Analytics, Remarketing, Titling</t>
  </si>
  <si>
    <t>National Guard Association US, Inc.</t>
  </si>
  <si>
    <t>1 MASSACHUSETTS AVE NW;WASHINGTON DC 20001-1401;USA</t>
  </si>
  <si>
    <t>Military Advocacy Organization</t>
  </si>
  <si>
    <t>Lobbying, Member Benefits, Professional Development, Conferences</t>
  </si>
  <si>
    <t>12579 49 TH ST N. CLWR. FL;Clearwater FL 33762;USA</t>
  </si>
  <si>
    <t>Beaudoin &amp; Krause-Leemon LLP DO NOT USE(Use-153003)</t>
  </si>
  <si>
    <t>16255 Ventura Blvd. ;Suite 940;Encino CA 91436;USA</t>
  </si>
  <si>
    <t>Legal Counsel, Business Law, Litigation</t>
  </si>
  <si>
    <t>Door Works Inc</t>
  </si>
  <si>
    <t>10 Bushes Lane;Elmwood Park NJ 07407;USA</t>
  </si>
  <si>
    <t>Overhead Doors, Rolling Doors, Installation &amp; Repair</t>
  </si>
  <si>
    <t>National Defense Transportation Association</t>
  </si>
  <si>
    <t>50 S Pickett St;Ste 220;Alexandria VA 22304 7206;USA</t>
  </si>
  <si>
    <t>Defense Transportation Association</t>
  </si>
  <si>
    <t>Education, Conferences, Networking, Professional Development, Advocacy</t>
  </si>
  <si>
    <t>Charlies Plumbing Inc.</t>
  </si>
  <si>
    <t>10114 Thermon Street;Houston TX 77075;USA</t>
  </si>
  <si>
    <t>Utility - Electric &amp; Gas</t>
  </si>
  <si>
    <t>Electric Service, Natural Gas, Energy Delivery</t>
  </si>
  <si>
    <t>KB Electric Inc.</t>
  </si>
  <si>
    <t>2151 Nazareth Church Rd;Spartanburg SC 29301;USA</t>
  </si>
  <si>
    <t>Commercial Electrical, Industrial Wiring, Electrical Repair, Panel Upgrades</t>
  </si>
  <si>
    <t>King Waste Services, LLC</t>
  </si>
  <si>
    <t>2118 Highway 90;Bay Saint Louis MS 39520;USA</t>
  </si>
  <si>
    <t>Trash Hauling, Roll-Off Dumpsters, Recycling, Debris Removal</t>
  </si>
  <si>
    <t>Mid-Ohio Material Handling, Inc</t>
  </si>
  <si>
    <t>1040 INDUSTRIAL PKWY N;BRUNSWICK OH 44212-4318;USA</t>
  </si>
  <si>
    <t>State of New Jersey</t>
  </si>
  <si>
    <t>DCA BFCE-DORES;PO Box 663;Trenton NJ 08646;USA</t>
  </si>
  <si>
    <t>Government Regulatory Agency</t>
  </si>
  <si>
    <t>Licensing, Regulatory Compliance, Inspections, Permits, Government Services</t>
  </si>
  <si>
    <t>000579</t>
  </si>
  <si>
    <t>KALTIRE</t>
  </si>
  <si>
    <t>PO BOX 1240 STN MAIN;VERNON BC V1T 6N6;CAN</t>
  </si>
  <si>
    <t>Tire Installation, Wheel Alignment, Brake Service, Auto Repair, Fleet Tire Programs</t>
  </si>
  <si>
    <t>Patrick Services, Inc</t>
  </si>
  <si>
    <t>4727 Alexander Ln;Dallas TX 75247-6501;USA</t>
  </si>
  <si>
    <t>Commercial Cleaning &amp; Janitorial Services</t>
  </si>
  <si>
    <t>Janitorial, Office Cleaning, Floor Maintenance, Facility Services</t>
  </si>
  <si>
    <t>ABC Plaza</t>
  </si>
  <si>
    <t>6597 S Transit Rd;Lockport NY 14094 6341;USA</t>
  </si>
  <si>
    <t>Retail Real Estate, Shopping Plaza</t>
  </si>
  <si>
    <t>Ralph Wiles</t>
  </si>
  <si>
    <t>3775 Highway 79 S;Paris TN 38242 6182;USA</t>
  </si>
  <si>
    <t>Judy Logsdon</t>
  </si>
  <si>
    <t>39 County Road 916;Anna TX 75409-4490;USA</t>
  </si>
  <si>
    <t>Molly Maid of the Peninsula &amp; Willia</t>
  </si>
  <si>
    <t>736 City Center Blvd Suite B;Newport News VA 23606-3087;USA</t>
  </si>
  <si>
    <t>Joseph Peter Westerberg</t>
  </si>
  <si>
    <t>PO Box 1663;Bastrop TX 78602;USA</t>
  </si>
  <si>
    <t>Andrews Welding and Fabr. Servs</t>
  </si>
  <si>
    <t>627 Route 68;New Brighton PA 15066;USA</t>
  </si>
  <si>
    <t>Welding &amp; Fabrication Services</t>
  </si>
  <si>
    <t>Custom Fabrication, Metal Work, Structural Welding</t>
  </si>
  <si>
    <t>Washrite, Inc.</t>
  </si>
  <si>
    <t>PO Box 180;Shady Side MD 20764-0180;USA</t>
  </si>
  <si>
    <t>Fleet Washing &amp; Cleaning Services</t>
  </si>
  <si>
    <t>Fleet Washing, Truck Washing, Pressure Washing, Mobile Cleaning</t>
  </si>
  <si>
    <t>Cartus - Relocation</t>
  </si>
  <si>
    <t>Att: Account Payable 40 Apple Ridge Rd;Danbury CT 06810 7301;USA</t>
  </si>
  <si>
    <t>Southern Sweepers &amp; Scrubbers</t>
  </si>
  <si>
    <t>PO BOX 11407;Dept #6574;BIRMINGHAM AL 35246-3035;USA</t>
  </si>
  <si>
    <t>Industrial Cleaning Equipment</t>
  </si>
  <si>
    <t>Floor Sweepers, Floor Scrubbers, Equipment Sales, Rentals, Parts &amp; Service</t>
  </si>
  <si>
    <t>Fairborn Equipment Midwest</t>
  </si>
  <si>
    <t>5155 Financial Way;Ste 13;Mason OH 45040-7507;USA</t>
  </si>
  <si>
    <t>Forklift Sales &amp; Service, Aerial Lifts, Parts, Equipment Rental</t>
  </si>
  <si>
    <t>Cleantegrity, LLC</t>
  </si>
  <si>
    <t>1148 Carla Drive;Cantonment FL 32533;USA</t>
  </si>
  <si>
    <t>Janitorial Services, Disinfecting, Facility Maintenance</t>
  </si>
  <si>
    <t>ATP Alarms</t>
  </si>
  <si>
    <t>215 West Dr;Melbourne FL 32904-1043;USA</t>
  </si>
  <si>
    <t>Security Alarm Systems</t>
  </si>
  <si>
    <t>Alarm Monitoring, Installation, Security Services</t>
  </si>
  <si>
    <t>Double Oak Erosion</t>
  </si>
  <si>
    <t>PO Box 979;Waller TX 77484;USA</t>
  </si>
  <si>
    <t>Erosion Control Services</t>
  </si>
  <si>
    <t>Soil Stabilization, Silt Fencing, Stormwater Management</t>
  </si>
  <si>
    <t>Kyle Simpson</t>
  </si>
  <si>
    <t>19 Harrison St;Sussex NJ 07461-2119;USA</t>
  </si>
  <si>
    <t>Property Maintenance, Utility Support</t>
  </si>
  <si>
    <t>Arrowwood Landscape Design LLC</t>
  </si>
  <si>
    <t>811 KENMARA DR;WEST CHESTER PA 19380-2019;USA</t>
  </si>
  <si>
    <t>Landscape Design, Hardscaping, Lawn Maintenance</t>
  </si>
  <si>
    <t>Davis Door Service Inc.</t>
  </si>
  <si>
    <t>2021 S Grand St;Seattle WA 98144-4526;USA</t>
  </si>
  <si>
    <t>Southern Touch Exterior Solutions</t>
  </si>
  <si>
    <t>PO BOX 530801;DEBARY FL 32753-0801;USA</t>
  </si>
  <si>
    <t>Exterior Cleaning Services</t>
  </si>
  <si>
    <t>Pressure Washing, Soft Washing, Roof Cleaning, Exterior Restoration</t>
  </si>
  <si>
    <t>Logan Schulken</t>
  </si>
  <si>
    <t>314 Bradley Bend Dr;Moncks Corner SC 29461;USA</t>
  </si>
  <si>
    <t>American Door Services Inc.</t>
  </si>
  <si>
    <t>40 Dolson Pl;Staten Island NY 10303-1402;USA</t>
  </si>
  <si>
    <t>Industrial Doors, Fire-Rated Doors, Door Installation, Maintenance</t>
  </si>
  <si>
    <t>Biermann Plumbing &amp; Heating</t>
  </si>
  <si>
    <t>23 Oregon Road;Ludlow MA 01056;USA</t>
  </si>
  <si>
    <t>Plumbing Repair, Heating Systems, HVAC, Installation</t>
  </si>
  <si>
    <t>Transworld Systems Inc</t>
  </si>
  <si>
    <t>PO Box 5505;Carol Stream IL 60197;USA</t>
  </si>
  <si>
    <t>Debt Collection &amp; Receivables Management</t>
  </si>
  <si>
    <t>Debt Recovery, Account Receivable Management, Skip Tracing, Medical Collections, Legal Collections</t>
  </si>
  <si>
    <t>Suburban Propane LP 7881</t>
  </si>
  <si>
    <t>PO Box 12124;Fresno CA 93776-2124;USA</t>
  </si>
  <si>
    <t>Quick Cable Corporation</t>
  </si>
  <si>
    <t>PO Box 8724;Carol Stream IL 60197-8724;USA</t>
  </si>
  <si>
    <t>Electrical Cable &amp; Connector Products</t>
  </si>
  <si>
    <t>Battery Cables, Booster Cables, Electrical Connectors, Terminals, Wire Products</t>
  </si>
  <si>
    <t>Summit Fire &amp; Security</t>
  </si>
  <si>
    <t>PO Box 855227;Minneapolis MN 55485;USA</t>
  </si>
  <si>
    <t>Fire Protection &amp; Security</t>
  </si>
  <si>
    <t>Fire Sprinklers, Fire Alarms, Security Systems, Monitoring, Inspections, Suppression</t>
  </si>
  <si>
    <t>A-1 Waste &amp; Rolloff Service, Inc</t>
  </si>
  <si>
    <t>354 Azalea Xing;Dallas GA 30132;USA</t>
  </si>
  <si>
    <t>Roll-Off Dumpsters, Waste Hauling, Debris Removal</t>
  </si>
  <si>
    <t>Corporate Creations</t>
  </si>
  <si>
    <t>801 US Highway 1;North Palm Beach FL 33408-3811;USA</t>
  </si>
  <si>
    <t>Registered Agent &amp; Business Filing</t>
  </si>
  <si>
    <t>Corporate Formation, Compliance, Registered Agent Services</t>
  </si>
  <si>
    <t>Southern On-Site</t>
  </si>
  <si>
    <t>PO Box 18798;Hattiesburg MS 39404;USA</t>
  </si>
  <si>
    <t>Portable Toilets, Septic Services, Waste Management, Event Sanitation</t>
  </si>
  <si>
    <t>USAble Life</t>
  </si>
  <si>
    <t>PO Box 31000;Honolulu HI 96849-0001;USA</t>
  </si>
  <si>
    <t>Life Insurance, Disability, Dental, Vision, Supplemental Health, Employee Benefits</t>
  </si>
  <si>
    <t>JBS GARAGE DOOR SERVICES LLC</t>
  </si>
  <si>
    <t>4906 NW 56TH TERR;Ocala FL 34482;USA</t>
  </si>
  <si>
    <t>Garage Door Services</t>
  </si>
  <si>
    <t>Garage Door Repair, Installation, Opener Service, Maintenance</t>
  </si>
  <si>
    <t>D.Law, Inc.</t>
  </si>
  <si>
    <t>400 N BRAND BLVD;STE. 700;GLENDALE CA 91203-2311;USA</t>
  </si>
  <si>
    <t>Employment Law Services</t>
  </si>
  <si>
    <t>Labor Law, Employment Litigation, Workplace Compliance, HR Consulting</t>
  </si>
  <si>
    <t>AFGO Mechanical Services, Inc</t>
  </si>
  <si>
    <t>3614 32ND ST;LONG ISLAND CITY NY 11106-2325;USA</t>
  </si>
  <si>
    <t>HVAC, Plumbing, Mechanical Systems</t>
  </si>
  <si>
    <t>Luciaci Enterprises LLC</t>
  </si>
  <si>
    <t>150 BRADLEY ST;EAST HAVEN CT 06512-1407;USA</t>
  </si>
  <si>
    <t>Well Manicured Properties</t>
  </si>
  <si>
    <t>PO Box 8245;Montgomery AL 36110;USA</t>
  </si>
  <si>
    <t>Landscaping &amp; Property Maintenance</t>
  </si>
  <si>
    <t>Lawn Care, Landscaping, Property Maintenance, Irrigation, Seasonal Cleanup</t>
  </si>
  <si>
    <t>RC Lawncare, LLC</t>
  </si>
  <si>
    <t>PO Box 1666;Florence MS 39073-1666;USA</t>
  </si>
  <si>
    <t>Lawn Mowing, Landscaping, Seasonal Cleanup, Grounds Maintenance</t>
  </si>
  <si>
    <t>Bowen Law Firm</t>
  </si>
  <si>
    <t>2999 DOUGLAS BLVD;Ste 180;ROSEVILLE CA 95661-3840;USA</t>
  </si>
  <si>
    <t>Morris Pulpwood &amp; Timber</t>
  </si>
  <si>
    <t>PO Box 2725;McDonough GA 30253-1741;USA</t>
  </si>
  <si>
    <t>Timber &amp; Logging Services</t>
  </si>
  <si>
    <t>Pulpwood Harvesting, Land Clearing, Timber Sales</t>
  </si>
  <si>
    <t>Northern Pass Refrigeration</t>
  </si>
  <si>
    <t>PO Box 31763;El Paso TX 79931-0763;USA</t>
  </si>
  <si>
    <t>Walk-In Coolers/Freezers, Refrigeration Repair, HVAC, Ice Machines</t>
  </si>
  <si>
    <t>Ingersoll Rand</t>
  </si>
  <si>
    <t>15768 Collections Center Dr;Chicago IL 60693;USA</t>
  </si>
  <si>
    <t>Industrial Equipment Manufacturing</t>
  </si>
  <si>
    <t>Air Compressors, Power Tools, Pumps, Material Handling, Climate Control Equipment</t>
  </si>
  <si>
    <t>Miller Truck Leasing</t>
  </si>
  <si>
    <t>1824 Route 38;Lumberton NJ 08048 4255;USA</t>
  </si>
  <si>
    <t>Commercial Truck Leasing &amp; Rental</t>
  </si>
  <si>
    <t>Truck Leasing, Rental, Fleet Maintenance, Full-Service Leasing</t>
  </si>
  <si>
    <t>Carson Industries, Inc</t>
  </si>
  <si>
    <t>2682 OLD US 52 S;PILOT MOUNTAIN NC 27041-7109;USA</t>
  </si>
  <si>
    <t>That 1 Painter</t>
  </si>
  <si>
    <t>29219 Hay Meadow Court;Waller TX 77484;USA</t>
  </si>
  <si>
    <t>Interior Painting, Exterior Painting, Residential, Commercial, Cabinet Refinishing</t>
  </si>
  <si>
    <t>Suburban Welding &amp; Steel LLC</t>
  </si>
  <si>
    <t>9824 Franklin Ave;Franklin Park IL 60131 1913;USA</t>
  </si>
  <si>
    <t>Welding &amp; Steel Fabrication</t>
  </si>
  <si>
    <t>Custom Fabrication, Structural Steel, Welding, Metal Repair, Industrial Welding</t>
  </si>
  <si>
    <t>Kentucky Petroleum Supply LLC</t>
  </si>
  <si>
    <t>1225 Early Drive;Winchester KY 40391;USA</t>
  </si>
  <si>
    <t>Fuel Supply, Gasoline, Diesel, Lubricants, Bulk Delivery</t>
  </si>
  <si>
    <t>Scopelitis Garvin Light Hanson&amp;Fear</t>
  </si>
  <si>
    <t>10 W Market St;Ste 1400;Indianapolis IN 46204-2954;USA</t>
  </si>
  <si>
    <t>Transportation Law Firm</t>
  </si>
  <si>
    <t>Transportation Law, Regulatory Compliance, Freight Litigation, Employment Law</t>
  </si>
  <si>
    <t>Charles Woodward dba CW Lawns</t>
  </si>
  <si>
    <t>9900 Millard Rd;Trotwood OH 45426-4339;USA</t>
  </si>
  <si>
    <t>Content Marketing, Video Production, Creative Services</t>
  </si>
  <si>
    <t>Laid Back Lawn Care</t>
  </si>
  <si>
    <t>2807 Lake Cohoon Pt;Suffolk VA 23434;USA</t>
  </si>
  <si>
    <t>Mowing, Edging, Landscaping, Yard Maintenance</t>
  </si>
  <si>
    <t>Diamary Pileta</t>
  </si>
  <si>
    <t>2533 SW 10th Ave;Cape Coral FL 33914;USA</t>
  </si>
  <si>
    <t>S&amp;J Lawn Care Service</t>
  </si>
  <si>
    <t>726 East Sprucewood Circle;PARK CITY KS 67147;USA</t>
  </si>
  <si>
    <t>Lawn Mowing, Landscaping, Yard Maintenance</t>
  </si>
  <si>
    <t>Xerox Financial Services LLC</t>
  </si>
  <si>
    <t>201 MERRITT 7;NORWALK CT 06851-1056;USA</t>
  </si>
  <si>
    <t>Document Management &amp; Leasing</t>
  </si>
  <si>
    <t>Printer Leasing, Copier Leasing, Document Management, Managed Print Services</t>
  </si>
  <si>
    <t>000634</t>
  </si>
  <si>
    <t>Uline*</t>
  </si>
  <si>
    <t>Box 3500;RPO Streetsville;Mississauga ON L5M 0S8;CAN</t>
  </si>
  <si>
    <t>Mcmullen Oil</t>
  </si>
  <si>
    <t>PO Box 17357;Clearwater FL 33762 0357;USA</t>
  </si>
  <si>
    <t>Fuel Delivery, Diesel, Gasoline, Lubricants</t>
  </si>
  <si>
    <t>ODS Cleaning Services LLC</t>
  </si>
  <si>
    <t>164 Chestnut Street;Avenel NJ 07001;USA</t>
  </si>
  <si>
    <t>Janitorial, Office Cleaning, Floor Care, Post-Construction Cleaning</t>
  </si>
  <si>
    <t>Chayah Faith Inc.</t>
  </si>
  <si>
    <t>15 Derry St.;Hudson NH 03051;USA</t>
  </si>
  <si>
    <t>Internet, Voice, Network Services, Cloud Solutions</t>
  </si>
  <si>
    <t>James E Cozart</t>
  </si>
  <si>
    <t>dba Cozart Rental;PO Box 613;Abingdon VA 24212;USA</t>
  </si>
  <si>
    <t>Equipment &amp; Property Rental</t>
  </si>
  <si>
    <t>Equipment Rental, Property Lease</t>
  </si>
  <si>
    <t>Ambreen Smith</t>
  </si>
  <si>
    <t>Scott County Tobacco Warehouse</t>
  </si>
  <si>
    <t>Real Estate, Warehouse/Storage Space</t>
  </si>
  <si>
    <t>Action Enterprises, Inc</t>
  </si>
  <si>
    <t>430 Warfield Blvd;Clarksville TN 37043-6071;USA</t>
  </si>
  <si>
    <t>IT Staffing, Finance &amp; Accounting, HR, Healthcare Staffing</t>
  </si>
  <si>
    <t>D&amp;K Hunt Electric</t>
  </si>
  <si>
    <t>8724 FM 1585;WOLFFORTH TX 79382-7064;USA</t>
  </si>
  <si>
    <t>Commercial Electrical, Residential Wiring, Lighting Installation</t>
  </si>
  <si>
    <t>Blue Ridge Enterprises, LLC</t>
  </si>
  <si>
    <t>21 Little Falls Ln;Rockville VA 23146-2124;USA</t>
  </si>
  <si>
    <t>General Services, Commercial Operations</t>
  </si>
  <si>
    <t>Cleaning Services Of Lubbock</t>
  </si>
  <si>
    <t>PO Box 554;Farwell TX 79325-0554;USA</t>
  </si>
  <si>
    <t>ABC Landscaping Inc.</t>
  </si>
  <si>
    <t>PO Box 509;Piedmont SC 29673;USA</t>
  </si>
  <si>
    <t>Sonitrol Pacific</t>
  </si>
  <si>
    <t>8220 N Interstate Ave;Portland OR 97217-6635;USA</t>
  </si>
  <si>
    <t>Verified Audio Detection, Video Surveillance, Access Control, Fire Alarms, Managed Security</t>
  </si>
  <si>
    <t>Sprout Social, Inc.</t>
  </si>
  <si>
    <t>Dept. CH 17275;Palatine IL 60055;USA</t>
  </si>
  <si>
    <t>Social Media Management Platform</t>
  </si>
  <si>
    <t>Social Publishing, Analytics, Engagement, Listening, Employee Advocacy, Influencer Marketing</t>
  </si>
  <si>
    <t>Limons Road Service</t>
  </si>
  <si>
    <t>PO Box 831214;San Antonio TX 78283-1214;USA</t>
  </si>
  <si>
    <t>Roadside Assistance &amp; Towing</t>
  </si>
  <si>
    <t>Tire Repair, Towing, Emergency Road Service, Truck Repair</t>
  </si>
  <si>
    <t>Cisco Air Systems, Inc.</t>
  </si>
  <si>
    <t>214 27th St;Sacramento CA 95816-3201;USA</t>
  </si>
  <si>
    <t>Background Screening Services</t>
  </si>
  <si>
    <t>Employment Verification, Background Checks, Drug Testing, Compliance</t>
  </si>
  <si>
    <t>Dilmar Oil Company Inc</t>
  </si>
  <si>
    <t>PO Box 5629;Florence SC 29502;USA</t>
  </si>
  <si>
    <t>Petroleum Products Distribution</t>
  </si>
  <si>
    <t>Fuel Distribution, Lubricants, Bulk Oil</t>
  </si>
  <si>
    <t>Colonial Webb Contractors Company</t>
  </si>
  <si>
    <t>2820 Ackley Ave;Richmond VA 23228-2146;USA</t>
  </si>
  <si>
    <t>Mechanical &amp; Electrical Contracting</t>
  </si>
  <si>
    <t>HVAC, Plumbing, Refrigeration, Water Treatment, Building Automation</t>
  </si>
  <si>
    <t>Denise Cunningham</t>
  </si>
  <si>
    <t>7605 Rohuna Dr;New Port Richey FL 34653;USA</t>
  </si>
  <si>
    <t>GovX, Inc.</t>
  </si>
  <si>
    <t>9605 Scranton Road;Suite 650;San Diego CA 92121;USA</t>
  </si>
  <si>
    <t>Military &amp; Government Discount Marketplace</t>
  </si>
  <si>
    <t>Military Discounts, First Responder Discounts, Government Employee Deals, eCommerce</t>
  </si>
  <si>
    <t>Dales Welding Service</t>
  </si>
  <si>
    <t>7352 Berkshire Downs Drive;Raleigh NC 27616;USA</t>
  </si>
  <si>
    <t>Mobile Welding, Fabrication, Structural Repair</t>
  </si>
  <si>
    <t>Bob &amp; Bills Service Station, LLC</t>
  </si>
  <si>
    <t>11 OLD RT 23;SUSSEX NJ 07461-3131;USA</t>
  </si>
  <si>
    <t>Fuel &amp; Auto Service</t>
  </si>
  <si>
    <t>Gas Station, Auto Service, Fuel Sales</t>
  </si>
  <si>
    <t>Thomas Towing &amp; Transport</t>
  </si>
  <si>
    <t>118 Harley Road;Wilmington NC 28405;USA</t>
  </si>
  <si>
    <t>Vehicle Towing, Equipment Transport, Heavy Haul, Roadside Assistance</t>
  </si>
  <si>
    <t>Dave Davidson</t>
  </si>
  <si>
    <t>459 Glass Ln;Ste A-3;Modesto CA 95356-9253;USA</t>
  </si>
  <si>
    <t>001050</t>
  </si>
  <si>
    <t>UFCW Local 102</t>
  </si>
  <si>
    <t>149 Main Street East;Hamilton ON L8N 1G4;CAN</t>
  </si>
  <si>
    <t>Union Representation, Labor Relations, Collective Bargaining, Worker Advocacy</t>
  </si>
  <si>
    <t>Security Central, Inc.</t>
  </si>
  <si>
    <t>67 Inverness Dr E;Suite B;Englewood CO 80112-5136;USA</t>
  </si>
  <si>
    <t>Alarm Monitoring, Video Surveillance, Access Control, Fire Detection</t>
  </si>
  <si>
    <t>Patricia McCarty Martinez</t>
  </si>
  <si>
    <t>19210 KENT PARK DR;TOMBALL TX 77375-1201;USA</t>
  </si>
  <si>
    <t>Shine Bright Cleaning, Inc.</t>
  </si>
  <si>
    <t>PO Box 1005;Derby KS 67037;USA</t>
  </si>
  <si>
    <t>Office Cleaning, Janitorial Services, Floor Care, Window Cleaning</t>
  </si>
  <si>
    <t>Scrap Metal Management North</t>
  </si>
  <si>
    <t>1701 River Road;Weare NH 03281;USA</t>
  </si>
  <si>
    <t>Scrap Metal Recycling &amp; Management</t>
  </si>
  <si>
    <t>Metal Recycling, Scrap Buying, Waste Management, Industrial Demolition</t>
  </si>
  <si>
    <t>Colonial Oil Industries, Inc</t>
  </si>
  <si>
    <t>PO Box 744934;Atlanta GA 30374-4934;USA</t>
  </si>
  <si>
    <t>Wholesale Fuel Supply, Lubricants, Fleet Fueling, Marine Fuel Delivery</t>
  </si>
  <si>
    <t>Red Gate Software Ltd.</t>
  </si>
  <si>
    <t>Cambridge Business Parks;Gb;USA</t>
  </si>
  <si>
    <t>Database Development Tools &amp; Software</t>
  </si>
  <si>
    <t>SQL Server Tools, .NET Development, Database Monitoring, Data Masking, DevOps</t>
  </si>
  <si>
    <t>Spectrum Maintenance Services, LLC</t>
  </si>
  <si>
    <t>2123 MOON STATION DR NW;KENNESAW GA 30144-2786;USA</t>
  </si>
  <si>
    <t>Commercial Cleaning &amp; Maintenance</t>
  </si>
  <si>
    <t>Janitorial Services, Floor Care, Window Cleaning, Facility Maintenance</t>
  </si>
  <si>
    <t>Lawn Trouper, Inc.</t>
  </si>
  <si>
    <t>PO Box 8832;Mobile AL 36689-0832;USA</t>
  </si>
  <si>
    <t>Mowing, Lawn Maintenance, Grounds Care, Landscaping</t>
  </si>
  <si>
    <t>Hydra Power Hydraulics</t>
  </si>
  <si>
    <t>7373 West 126th Street;Savage MN 55378;USA</t>
  </si>
  <si>
    <t>Hydraulic Cylinder Repair, Hose Assembly, Pump &amp; Motor Repair, Fluid Power Systems</t>
  </si>
  <si>
    <t>East-West Electric Inc</t>
  </si>
  <si>
    <t>2150 RANGE RD;CLEARWATER FL 33765-2125;USA</t>
  </si>
  <si>
    <t>Electrical Installation, Repair, Commercial Wiring</t>
  </si>
  <si>
    <t>Dipple Plumbing Inc.</t>
  </si>
  <si>
    <t>211 N PLEASANTBURG DR;GREENVILLE SC 29607-2123;USA</t>
  </si>
  <si>
    <t>Plumbing Repair, Installation, Commercial Plumbing</t>
  </si>
  <si>
    <t>Flynn Scale Inc</t>
  </si>
  <si>
    <t>16404 HAWTHORNE BLVD;LAWNDALE CA 90260-2913;USA</t>
  </si>
  <si>
    <t>Scale &amp; Weighing Equipment</t>
  </si>
  <si>
    <t>Industrial Scales, Calibration, Weighing Systems, Scale Repair</t>
  </si>
  <si>
    <t>SI Mechanical, LLC</t>
  </si>
  <si>
    <t>PO Box 1589;Buda TX 78610;USA</t>
  </si>
  <si>
    <t>Mechanical Contracting Services</t>
  </si>
  <si>
    <t>HVAC, Plumbing, Mechanical Systems, Installation &amp; Repair</t>
  </si>
  <si>
    <t>Redguard Fire &amp; Security</t>
  </si>
  <si>
    <t>45150 Polaris Ct;Plymouth MI 48170-6058;USA</t>
  </si>
  <si>
    <t>Fire Protection &amp; Security Services</t>
  </si>
  <si>
    <t>Fire Alarm Systems, Fire Suppression, Security Systems, Inspection Services</t>
  </si>
  <si>
    <t>Jessica Strechar dba JS Cleaning Service</t>
  </si>
  <si>
    <t>70 S MAIN ST;FALL RIVER MA 02721-5325;USA</t>
  </si>
  <si>
    <t>Kolb Electric, Inc</t>
  </si>
  <si>
    <t>8530 Cinder Bed Rd;Suite 1400;Lorton VA 22079;USA</t>
  </si>
  <si>
    <t>Commercial Electrical, Residential Electrical, Wiring, Panel Upgrades, EV Chargers</t>
  </si>
  <si>
    <t>Foos Fire, Inc.</t>
  </si>
  <si>
    <t>909 Marconi Avenue;Ronkonkoma NY 11779;USA</t>
  </si>
  <si>
    <t>Fire Protection Equipment &amp; Services</t>
  </si>
  <si>
    <t>Fire Extinguisher Sales &amp; Service, Inspections, Safety Equipment</t>
  </si>
  <si>
    <t>Overhead Door Co of Shenandoah Vall</t>
  </si>
  <si>
    <t>1573 Cf Pours Dr;Harrisonburg VA 22802-8310;USA</t>
  </si>
  <si>
    <t>Cali Maintenance, Inc.</t>
  </si>
  <si>
    <t>2920 Concerto Court;Lodi CA 95242;USA</t>
  </si>
  <si>
    <t>Commercial Real Estate Brokerage</t>
  </si>
  <si>
    <t>Property Sales, Leasing, Investment Advisory, Property Management</t>
  </si>
  <si>
    <t>Alliance Mechanical Services</t>
  </si>
  <si>
    <t>100 Frontier Way;Bensenville IL 60106-1124;USA</t>
  </si>
  <si>
    <t>Commercial HVAC &amp; Refrigeration</t>
  </si>
  <si>
    <t>Cooking Equipment, Restaurant Equipment Repair, Installation</t>
  </si>
  <si>
    <t>Merry Maids</t>
  </si>
  <si>
    <t>541 Long Shoals Road;Arden NC 28704;USA</t>
  </si>
  <si>
    <t>Signature Relocation</t>
  </si>
  <si>
    <t>Attn: Megan Hennessey;23923 Research Dr;Farmington Hills MI 48335-2630;USA</t>
  </si>
  <si>
    <t>Employee Relocation, Household Goods Moving, Destination Services, Policy Consulting</t>
  </si>
  <si>
    <t>D-Ben Security Systems, Inc.</t>
  </si>
  <si>
    <t>91 Thompson St;Newburgh NY 12550-4145;USA</t>
  </si>
  <si>
    <t>Security Systems &amp; Installation</t>
  </si>
  <si>
    <t>Alarm Monitoring, Video Surveillance, Access Controls, Intercom Systems</t>
  </si>
  <si>
    <t>001328</t>
  </si>
  <si>
    <t>G.O. Tap Plus</t>
  </si>
  <si>
    <t>60 Bristol Rd;#608;Mississauga ON L4Z 1P8;CAN</t>
  </si>
  <si>
    <t>Plumbing &amp; Drainage Services</t>
  </si>
  <si>
    <t>Drain Cleaning, Plumbing Repair, Water Line Services</t>
  </si>
  <si>
    <t>3A Communications, LLC</t>
  </si>
  <si>
    <t>36 Williamsburg Way;Yaphank NY 11980;USA</t>
  </si>
  <si>
    <t>Low Voltage Cabling Services</t>
  </si>
  <si>
    <t>Telecommunications, Network Management, Office Phone Systems</t>
  </si>
  <si>
    <t>Environmental Equipment Supply</t>
  </si>
  <si>
    <t>1125 N Kraemer Pl;Anaheim CA 92806-1923;USA</t>
  </si>
  <si>
    <t>Environmental Cleanup Equipment, Spill Response, Safety Supplies</t>
  </si>
  <si>
    <t>Sturdy Oil Company</t>
  </si>
  <si>
    <t>PO Box 90;Salinas CA 93902-0090;USA</t>
  </si>
  <si>
    <t>Fuel Distribution, Lubricants, Cardlock Fueling, Fleet Fueling</t>
  </si>
  <si>
    <t>Carlos Palomera</t>
  </si>
  <si>
    <t>4866 S OLD BROOK CIR;COLORADO SPRINGS CO 80917-1020;USA</t>
  </si>
  <si>
    <t>Financial Advisory Services</t>
  </si>
  <si>
    <t>Investment Management, Wealth Management, Financial Planning</t>
  </si>
  <si>
    <t>Hookin &amp; Bookin Towing LLC</t>
  </si>
  <si>
    <t>11028 50TH ST;GRAND JUNCTION MI 49056-9407;USA</t>
  </si>
  <si>
    <t>Towing Services</t>
  </si>
  <si>
    <t>JT Lawn N Mulch, LLC</t>
  </si>
  <si>
    <t>1138 E Central Ave;Miamisburg OH 45342-2558;USA</t>
  </si>
  <si>
    <t>Mulching, Lawn Maintenance, Grounds Care</t>
  </si>
  <si>
    <t>Michael Muhlfeder</t>
  </si>
  <si>
    <t>11 SCARGO HILL RD;DENNIS MA 02638-2306;USA</t>
  </si>
  <si>
    <t>Miner Florida</t>
  </si>
  <si>
    <t>PO Box 953381;Saint Louis MO 63195-3381;USA</t>
  </si>
  <si>
    <t>Dock &amp; Door Equipment Service</t>
  </si>
  <si>
    <t>Loading Dock Repair, Overhead Door Service, Preventive Maintenance, Installation</t>
  </si>
  <si>
    <t>Portable Storage Inc.</t>
  </si>
  <si>
    <t>9325 E 33rd St;Indianapolis IN 46235 4203;USA</t>
  </si>
  <si>
    <t>Sonitrol/Pacific West Security Inc.</t>
  </si>
  <si>
    <t>1587 Schallenberger Rd;San Jose CA 95131-2434;USA</t>
  </si>
  <si>
    <t>Landstar Ranger Inc</t>
  </si>
  <si>
    <t>PO BOX 784293;Philadelphia PA 19178-4293;USA</t>
  </si>
  <si>
    <t>Truckload Shipping, LTL, Intermodal, Heavy Haul, Expedited Freight</t>
  </si>
  <si>
    <t>Fidelity Engineering Corporation</t>
  </si>
  <si>
    <t>25 Loveton Circle;Sparks MD 21152;USA</t>
  </si>
  <si>
    <t>Mechanical &amp; Electrical Engineering</t>
  </si>
  <si>
    <t>HVAC Engineering, Plumbing, Piping, Mechanical Systems, Building Automation</t>
  </si>
  <si>
    <t>Creative Landscape Group</t>
  </si>
  <si>
    <t>272 Old Trace Rd SW;Marietta GA 30064-6412;USA</t>
  </si>
  <si>
    <t>001215</t>
  </si>
  <si>
    <t>Fastenal Canada LTD</t>
  </si>
  <si>
    <t>900 Wabanaki Dr;Kitchener ON N2C 0B7;CAN</t>
  </si>
  <si>
    <t>Denalect Alarm</t>
  </si>
  <si>
    <t>PO Box 5208;Walnut Creek CA 94596 1208;USA</t>
  </si>
  <si>
    <t>Alarm Monitoring, Intrusion Detection, Fire Alarms</t>
  </si>
  <si>
    <t>Harding Landscapes</t>
  </si>
  <si>
    <t>2263 Warrenton Highway;Thomson GA 30824;USA</t>
  </si>
  <si>
    <t>Lawn Maintenance, Landscape Design, Grounds Care, Irrigation</t>
  </si>
  <si>
    <t>G&amp;C Diesel LLC</t>
  </si>
  <si>
    <t>3757 Mike Padgett Hwy;Augusta GA 30906;USA</t>
  </si>
  <si>
    <t>At Leisure Contractor Licensing LLC</t>
  </si>
  <si>
    <t>PO Box 868;Plymouth MA 02362-0868;USA</t>
  </si>
  <si>
    <t>Contractor Licensing Services</t>
  </si>
  <si>
    <t>License Procurement, Compliance Support</t>
  </si>
  <si>
    <t>Commercial Tire Group LLC</t>
  </si>
  <si>
    <t>13950 Plank Road;Baker LA 70714;USA</t>
  </si>
  <si>
    <t>Truck Tires, Fleet Service, Retreading, Road Service</t>
  </si>
  <si>
    <t>Pittsburgh Reliable Clng Serv, LLC</t>
  </si>
  <si>
    <t>210 WEDGEWOOD DR;PITTSBURGH PA 15227-1510;USA</t>
  </si>
  <si>
    <t>Janitorial Services, Office Cleaning, Floor Care, Window Cleaning</t>
  </si>
  <si>
    <t>K-15 Auto Salvage Inc.</t>
  </si>
  <si>
    <t>2500 N Nelson Dr;Derby KS 67037-2581;USA</t>
  </si>
  <si>
    <t>Auto Salvage &amp; Recycling</t>
  </si>
  <si>
    <t>Used Auto Parts, Vehicle Recycling, Scrap Metal</t>
  </si>
  <si>
    <t>Roger M. Schultz</t>
  </si>
  <si>
    <t>3208 Romence Rd;Portage MI 49024-4057;USA</t>
  </si>
  <si>
    <t>Washington State Dpt of Ecology</t>
  </si>
  <si>
    <t>Cashiering Unit;PO Box 47611;Olympia WA 98504-7611;USA</t>
  </si>
  <si>
    <t>Government Environmental Agency</t>
  </si>
  <si>
    <t>Environmental Permits, Water Quality, Waste Management, Compliance, Pollution Control</t>
  </si>
  <si>
    <t>Overhead Door Co. of the Capital C</t>
  </si>
  <si>
    <t>PO Box 536;Zachary LA 70791;USA</t>
  </si>
  <si>
    <t>Testlify, Inc</t>
  </si>
  <si>
    <t>2823 Oakley Ave;Bensalem PA 19020;USA</t>
  </si>
  <si>
    <t>Pre-Employment Assessment Platform</t>
  </si>
  <si>
    <t>Skills Testing, Pre-Hire Assessments, Talent Evaluation, Coding Tests, Aptitude Testing</t>
  </si>
  <si>
    <t>Stepps Heavy Transport</t>
  </si>
  <si>
    <t>9602 E US Highway 92;Tampa FL 33610-5928;USA</t>
  </si>
  <si>
    <t>Heavy Equipment Transport</t>
  </si>
  <si>
    <t>Heavy Haul, Crane Services, Rigging, Equipment Moving, Oversize Load Transport</t>
  </si>
  <si>
    <t>Courtney Pride LLC</t>
  </si>
  <si>
    <t>1201 N TARRAGONA ST;PENSACOLA FL 32501-2658;USA</t>
  </si>
  <si>
    <t>BIR Investments, LLC</t>
  </si>
  <si>
    <t>2042 Town Center Blvd;PMB-350;Knoxville TN 37922-6677;USA</t>
  </si>
  <si>
    <t>Marion L Robinson</t>
  </si>
  <si>
    <t>31 GRANNY RD;CASTLE HAYNE NC 28429-6545;USA</t>
  </si>
  <si>
    <t>Budget Sewer Service, Inc.</t>
  </si>
  <si>
    <t>PO Box 5650;Augusta GA 30916;USA</t>
  </si>
  <si>
    <t>Sewer &amp; Drain Services</t>
  </si>
  <si>
    <t>Sewer Repair, Drain Cleaning, Plumbing Services</t>
  </si>
  <si>
    <t>Medley Material Handling Company</t>
  </si>
  <si>
    <t>PO Box 258881;Oklahoma City OK 73125-8881;USA</t>
  </si>
  <si>
    <t>Global Security, LLC dba Paradyme</t>
  </si>
  <si>
    <t>16115 SW 117th Ave;Unit 2;Miami FL 33177-1624;USA</t>
  </si>
  <si>
    <t>Video Surveillance, Access Control, Alarm Systems, Guard Services</t>
  </si>
  <si>
    <t>Yellow Truck &amp; Trailer Repair Inc</t>
  </si>
  <si>
    <t>206 FOURTH ST S;CAROLINA BEACH NC 28428-5029;USA</t>
  </si>
  <si>
    <t>Truck &amp; Trailer Repair Services</t>
  </si>
  <si>
    <t>Truck Repair, Trailer Repair, Fleet Maintenance, Welding, Roadside Service</t>
  </si>
  <si>
    <t>D&amp;D Fire &amp; Security</t>
  </si>
  <si>
    <t>PO Box 1176;Frankfort IL 60423-7176;USA</t>
  </si>
  <si>
    <t>Fire Alarms, Security Systems, Monitoring, Inspections</t>
  </si>
  <si>
    <t>Puroclean</t>
  </si>
  <si>
    <t>Corp Acct# 39202796;Attn: John Ortega;6001 Hiatus Rd;FORT LAUDERDALE FL 33321;USA</t>
  </si>
  <si>
    <t>Water Damage Restoration, Fire Damage, Mold Remediation, Biohazard Cleanup</t>
  </si>
  <si>
    <t>Carolina Cultured Aquatics</t>
  </si>
  <si>
    <t>1115 SEMORAN WAY;COLUMBIA SC 29229-8287;USA</t>
  </si>
  <si>
    <t>Sports Facility, Real Estate</t>
  </si>
  <si>
    <t>Heron Bay Commercial Cleaning Inc</t>
  </si>
  <si>
    <t>21 Admirals Dr E;Bay Shore NY 11706-8101;USA</t>
  </si>
  <si>
    <t>Janitorial Services, Office Cleaning, Floor Care, Facility Maintenance</t>
  </si>
  <si>
    <t>Southland Industries</t>
  </si>
  <si>
    <t>123 Gibraltar Road;Horsham PA 19044;USA</t>
  </si>
  <si>
    <t>HVAC, Plumbing, Piping, Process Systems, Design-Build, Sheet Metal, Fire Protection</t>
  </si>
  <si>
    <t>Welborn Electric Company, Inc.</t>
  </si>
  <si>
    <t>PO BOX 16091;GREENSBORO NC 27416-0091;USA</t>
  </si>
  <si>
    <t>Commercial Electrical, Industrial Electrical, Wiring, Lighting, Panel Upgrades</t>
  </si>
  <si>
    <t>Emmett L Martin Jr</t>
  </si>
  <si>
    <t>1627 Saint St. SE;Palm Bay FL 32909;USA</t>
  </si>
  <si>
    <t>Broadfence, Inc</t>
  </si>
  <si>
    <t>BOX 1310 1 Limestone Drive ;Stonewall Industrial Park;Stonewall CA R0C 2Z0;CAN</t>
  </si>
  <si>
    <t>Fencing &amp; Security Products</t>
  </si>
  <si>
    <t>Temporary Fencing, Construction Fencing, Site Security</t>
  </si>
  <si>
    <t>Blue Flame, LLC</t>
  </si>
  <si>
    <t>28 Gorgo Ln;Newfield NJ 08344-9546;USA</t>
  </si>
  <si>
    <t>Propane &amp; Gas Services</t>
  </si>
  <si>
    <t>Propane Delivery, Gas Services, Commercial Fuel</t>
  </si>
  <si>
    <t>D &amp; D Garage Doors of Tampa, Inc</t>
  </si>
  <si>
    <t>1177 CATTLEMEN RD;SARASOTA FL 34232-2813;USA</t>
  </si>
  <si>
    <t>Commercial Garage Doors, Dock Equipment, Installation &amp; Repair</t>
  </si>
  <si>
    <t>W.B. Mason Co., Inc.</t>
  </si>
  <si>
    <t>PO Box 981101;Boston MA 02298-1101;USA</t>
  </si>
  <si>
    <t>Office Supplies, Furniture, Technology, Coffee &amp; Breakroom, Cleaning, Print Solutions</t>
  </si>
  <si>
    <t>Memphis Fence Company, LLC</t>
  </si>
  <si>
    <t>1380 N WILLETT ST;MEMPHIS TN 38108-1059;USA</t>
  </si>
  <si>
    <t>Fencing Installation &amp; Repair</t>
  </si>
  <si>
    <t>Commercial Fencing, Residential Fencing, Chain Link, Wood, Vinyl Fences</t>
  </si>
  <si>
    <t>United Education Institute dba sage</t>
  </si>
  <si>
    <t>16485 LAGUNA CANYON RD;STE 300;IRVINE CA 92618-3837;USA</t>
  </si>
  <si>
    <t>Vocational Education &amp; Training</t>
  </si>
  <si>
    <t>Healthcare Training, IT Training, Business Training, Certificate Programs, Career Services</t>
  </si>
  <si>
    <t>Greenville Compressor</t>
  </si>
  <si>
    <t>123 Merchants Park Drive;Hoschton GA 30548;USA</t>
  </si>
  <si>
    <t>Industrial Compressor Sales &amp; Service</t>
  </si>
  <si>
    <t>Air Compressor Sales, Service, Parts, Compressed Air Systems, Blowers</t>
  </si>
  <si>
    <t>PRECISION Servs of Jacksonville,</t>
  </si>
  <si>
    <t>5201 W Beaver St;Jacksonville FL 32254-2910;USA</t>
  </si>
  <si>
    <t>Janitorial &amp; Facility Services</t>
  </si>
  <si>
    <t>Commercial Cleaning, Janitorial, Facility Maintenance</t>
  </si>
  <si>
    <t>CRW Parts t/a Fleet Parts</t>
  </si>
  <si>
    <t>1211 68th St;Baltimore MD 21237 2516;USA</t>
  </si>
  <si>
    <t>Fleet Parts &amp; Supply</t>
  </si>
  <si>
    <t>Truck Parts, Fleet Parts, Commercial Vehicle Parts</t>
  </si>
  <si>
    <t>Kenneth A Goldey dba FSP Painting</t>
  </si>
  <si>
    <t>7819 E 100 N;AVILLA IN 46710-9625;USA</t>
  </si>
  <si>
    <t>BLD Door Service, LLC DBA</t>
  </si>
  <si>
    <t>4266 WYOGA LAKE RD;CUYAHOGA FALLS OH 44224-4802;USA</t>
  </si>
  <si>
    <t>Door Installation, Repair, Industrial Doors, Dock Equipment</t>
  </si>
  <si>
    <t>Mitchell Bros Truck Line Inc.</t>
  </si>
  <si>
    <t>c/o TAB Bank;PO Box 150290;Ogden UT 84415;USA</t>
  </si>
  <si>
    <t>Truckload Shipping, LTL, Livestock Hauling, Logistics</t>
  </si>
  <si>
    <t>Gold Label Specialities LLC</t>
  </si>
  <si>
    <t>1440 El Paso Boulevard;Denver CO 80221;USA</t>
  </si>
  <si>
    <t>Specialty Labeling &amp; Packaging</t>
  </si>
  <si>
    <t>Custom Labels, Specialty Packaging, Printing Services</t>
  </si>
  <si>
    <t>Ryan LLC</t>
  </si>
  <si>
    <t>PO Box 848351;Dallas TX 75284;USA</t>
  </si>
  <si>
    <t>Global Tax Services &amp; Software</t>
  </si>
  <si>
    <t>Tax Recovery, Tax Consulting, Property Tax, Compliance, Tax Software, Legal Services</t>
  </si>
  <si>
    <t>Priority 1 Maintenance &amp; Janitorial</t>
  </si>
  <si>
    <t>PO Box 847;Otis Orchards WA 99027-0847;USA</t>
  </si>
  <si>
    <t>Janitorial &amp; Maintenance Services</t>
  </si>
  <si>
    <t>Janitorial, Floor Care, Building Maintenance, Facility Cleaning</t>
  </si>
  <si>
    <t>Grindstone Holding LLC</t>
  </si>
  <si>
    <t>22740 Murrock Cir;Watertown NY 13601 5072;USA</t>
  </si>
  <si>
    <t>Data Print Technologies, Inc.</t>
  </si>
  <si>
    <t>42 N Pine Cir;Belleair FL 33756-1640;USA</t>
  </si>
  <si>
    <t>Printing &amp; Document Solutions</t>
  </si>
  <si>
    <t>Managed Print, IT Support, Document Management</t>
  </si>
  <si>
    <t>Cooper Parry LLP</t>
  </si>
  <si>
    <t>3 Centro Place;Pride Park ;GBR</t>
  </si>
  <si>
    <t>Accounting &amp; Advisory Services</t>
  </si>
  <si>
    <t>Audit, Tax Advisory, Business Consulting, Outsourcing</t>
  </si>
  <si>
    <t>Pacific Jobbers Warehouse, Inc.</t>
  </si>
  <si>
    <t>2809 Kaihikapu St;Honolulu HI 96819-2011;USA</t>
  </si>
  <si>
    <t>Plumbing Supplies, Hardware, Building Materials, Wholesale Distribution</t>
  </si>
  <si>
    <t>Syntrio, Inc</t>
  </si>
  <si>
    <t>13301 GALLERIA CIR;STE 200;BEE CAVE TX 78738-6438;USA</t>
  </si>
  <si>
    <t>Ethics &amp; Compliance Training</t>
  </si>
  <si>
    <t>Compliance Training, Harassment Prevention, Code of Conduct, Whistleblower Hotline, Policy Management</t>
  </si>
  <si>
    <t>McGriff Tire Service Inc.</t>
  </si>
  <si>
    <t>PO Box 1148;Cullman AL 35056-1148;USA</t>
  </si>
  <si>
    <t>Commercial Tires, Passenger Tires, Fleet Service, Alignment</t>
  </si>
  <si>
    <t>We Wrap, LLC</t>
  </si>
  <si>
    <t>5199 OLD HAYWOOD RD;MILLS RIVER NC 28759-3704;USA</t>
  </si>
  <si>
    <t>Vehicle Wraps, Fleet Graphics, Custom Signs, Wall Graphics, Window Wraps</t>
  </si>
  <si>
    <t>Amanda Meade</t>
  </si>
  <si>
    <t>24 BROADLANDS DR;WHITE GA 30184-2881;USA</t>
  </si>
  <si>
    <t>Calhoun Community College</t>
  </si>
  <si>
    <t>6250 US HIGHWAY 31;TANNER AL 35671-4028;USA</t>
  </si>
  <si>
    <t>Custom Closets &amp; Home Organization</t>
  </si>
  <si>
    <t>Closet Systems, Storage Solutions, Home Office, Pantry Design, Murphy Beds</t>
  </si>
  <si>
    <t>Hinckley Springs</t>
  </si>
  <si>
    <t>PO Box 660579;Dallas TX 75266 0579;USA</t>
  </si>
  <si>
    <t>Water Delivery &amp; Cooler Service</t>
  </si>
  <si>
    <t>Bottled Water Delivery, Water Coolers, Coffee Service, Break Room Supplies</t>
  </si>
  <si>
    <t>Sanphil Quality Cleaning, LLC</t>
  </si>
  <si>
    <t>PO Box 210224;Milwaukee WI 53221-8004;USA</t>
  </si>
  <si>
    <t>Modern Mechanical Services</t>
  </si>
  <si>
    <t>PO Box 444;Farmington CT 06034;USA</t>
  </si>
  <si>
    <t>HVAC, Plumbing, Piping, Building Automation, Maintenance</t>
  </si>
  <si>
    <t>Sylvia Del Rosario Molina</t>
  </si>
  <si>
    <t>415 41ST AVE NE;NAPLES FL 34120-5242;USA</t>
  </si>
  <si>
    <t>McAngus Goudelock &amp; Courie, LLC</t>
  </si>
  <si>
    <t>PO BOX 12519;COLUMBIA SC 29211-2519;USA</t>
  </si>
  <si>
    <t>Insurance Defense Law Firm</t>
  </si>
  <si>
    <t>Litigation, Workers' Comp, Construction Law, Transportation Law, Employment Law</t>
  </si>
  <si>
    <t>Xpress Towing and Recovery</t>
  </si>
  <si>
    <t>605 SPRINGBROOK RD;CHARLOTTE NC 28217-2148;USA</t>
  </si>
  <si>
    <t>CCs High Q Electric LLC</t>
  </si>
  <si>
    <t>59 SPRING VALLEY RD;OSSINING NY 10562-2003;USA</t>
  </si>
  <si>
    <t>Commercial Electrical, Installation, Repair</t>
  </si>
  <si>
    <t>Rotstein &amp; Shiffman, LLP</t>
  </si>
  <si>
    <t>309 OAKRIDGE BLVD;STE B;DAYTONA BEACH FL 32118-4072;USA</t>
  </si>
  <si>
    <t>Legal Counsel, Litigation, Business Law</t>
  </si>
  <si>
    <t>Truck Country of Wisconsin</t>
  </si>
  <si>
    <t>PO Box 689707;Chicago IL 60695-9707;USA</t>
  </si>
  <si>
    <t>International Trucks, Parts, Service, Used Trucks, Truck Leasing</t>
  </si>
  <si>
    <t>McKinneys Towing &amp; Road Service LLC</t>
  </si>
  <si>
    <t>5336 N DUPONT HWY;DOVER DE 19901-2340;USA</t>
  </si>
  <si>
    <t>Towing &amp; Roadside Assistance</t>
  </si>
  <si>
    <t>Ashland Propane Inc.</t>
  </si>
  <si>
    <t>PO BOX 1108;SOUTH HOLLAND IL 60473-7108;USA</t>
  </si>
  <si>
    <t>Propane Gas, Tank Installation, Delivery</t>
  </si>
  <si>
    <t>Koorsen Fire &amp; Security</t>
  </si>
  <si>
    <t>2719 N Arlington Ave;Indianapolis IN 46218-3322;USA</t>
  </si>
  <si>
    <t>Fire Protection &amp; Security Systems</t>
  </si>
  <si>
    <t>Fire Alarms, Sprinklers, Suppression, Security Alarms, Access Control, Monitoring</t>
  </si>
  <si>
    <t>Quality Towing NJ</t>
  </si>
  <si>
    <t>523 DELSEA DR;SEWELL NJ 08080-2819;USA</t>
  </si>
  <si>
    <t>Vehicle Towing, Roadside Assistance, Recovery Services</t>
  </si>
  <si>
    <t>Lewis Brisbois Bisgaard &amp; Smith</t>
  </si>
  <si>
    <t>633 W 5th St;Los Angeles CA 90071-2005;USA</t>
  </si>
  <si>
    <t>Business Litigation, Insurance Defense, Healthcare Law, IP, Employment Law, Corporate Law</t>
  </si>
  <si>
    <t>Hiller LLC</t>
  </si>
  <si>
    <t>915 MURFREESBORO PIKE;NASHVILLE TN 37217-1501;USA</t>
  </si>
  <si>
    <t>Mechanical &amp; Plumbing Services</t>
  </si>
  <si>
    <t>Plumbing, HVAC, Fire Protection, Electrical Services</t>
  </si>
  <si>
    <t>Apartment Fire Extinguisher Servs</t>
  </si>
  <si>
    <t>5200 Beach Blvd;Jacksonville FL 32207-5051;USA</t>
  </si>
  <si>
    <t>Fire Extinguisher Sales, Inspections, Safety Equipment</t>
  </si>
  <si>
    <t>Industrial Instrumentation &amp; Controls</t>
  </si>
  <si>
    <t>Valve Repair, Instrument Calibration, Control Systems, Remanufactured Equipment</t>
  </si>
  <si>
    <t>McNelly Services, Inc.</t>
  </si>
  <si>
    <t>430 TELSER RD;LAKE ZURICH IL 60047-1588;USA</t>
  </si>
  <si>
    <t>Building Maintenance &amp; Cleaning</t>
  </si>
  <si>
    <t>Janitorial, Carpet Cleaning, Floor Care, Facility Services</t>
  </si>
  <si>
    <t>Tradewinds Brokerage Inc</t>
  </si>
  <si>
    <t>6404 Old Salem Rd NE;Albany OR 97321-7343;USA</t>
  </si>
  <si>
    <t>Customs Brokerage &amp; Freight Services</t>
  </si>
  <si>
    <t>Customs Clearance, Import/Export, Freight Forwarding, Compliance, Trade Consulting</t>
  </si>
  <si>
    <t>Rodolfo A. Contreras</t>
  </si>
  <si>
    <t>494 N SCOVELL AVE;SAN JACINTO CA 92582-3800;USA</t>
  </si>
  <si>
    <t>Brads Yard Service</t>
  </si>
  <si>
    <t>815 Main St;Arlington WI 53911;USA</t>
  </si>
  <si>
    <t>Lawn Care, Yard Maintenance, Landscaping</t>
  </si>
  <si>
    <t>The M.F.R. Group, LLC</t>
  </si>
  <si>
    <t>7250 225TH ST E;BRADENTON FL 34211-7406;USA</t>
  </si>
  <si>
    <t>Facility Maintenance &amp; Repair</t>
  </si>
  <si>
    <t>General Maintenance, Plumbing, Electrical, HVAC, Building Repair</t>
  </si>
  <si>
    <t>Overhead Door Co of Grand Rapids</t>
  </si>
  <si>
    <t>5761 N HAWKEYE CT SW;WYOMING MI 49509-9534;USA</t>
  </si>
  <si>
    <t>Texas SHRM</t>
  </si>
  <si>
    <t>140 S BAY DR;BULLARD TX 75757-9353;USA</t>
  </si>
  <si>
    <t>HR Professional Association</t>
  </si>
  <si>
    <t>HR Training, Professional Development, Networking, SHRM Certification, Conferences</t>
  </si>
  <si>
    <t>Edwards &amp; Patterson Law Firm</t>
  </si>
  <si>
    <t>Richard Riepe;321 S 3RD ST;STE 1;MCALESTER OK 74501-5410;USA</t>
  </si>
  <si>
    <t>Personal Injury, Criminal Defense, Civil Litigation</t>
  </si>
  <si>
    <t>Fluid Dynamics LLC</t>
  </si>
  <si>
    <t>PO Box 2468;Manchester CT 06045;USA</t>
  </si>
  <si>
    <t>Fluid Power &amp; Hydraulic Solutions</t>
  </si>
  <si>
    <t>Hydraulic Systems, Fluid Power Components, Pumps, Valves, Cylinders</t>
  </si>
  <si>
    <t>Sapps Wrecker Service</t>
  </si>
  <si>
    <t>PO Box 628703;Orlando FL 32862;USA</t>
  </si>
  <si>
    <t>Jan-Pro of the Triad</t>
  </si>
  <si>
    <t>11 Oak Branch Dr;Suite B;Greensboro NC 27407;USA</t>
  </si>
  <si>
    <t>Hawthorne Investments LLC</t>
  </si>
  <si>
    <t>2600 E Parham Rd;henrico VA 23228-2932;USA</t>
  </si>
  <si>
    <t>Real Estate Services</t>
  </si>
  <si>
    <t>Property Investment, Property Management, Real Estate Development</t>
  </si>
  <si>
    <t>Certified Laboratories</t>
  </si>
  <si>
    <t>23261 Network Pl;Chicago IL 60673-1232;USA</t>
  </si>
  <si>
    <t>Electrical Supply Distribution</t>
  </si>
  <si>
    <t>Electrical Products, Lighting, Wire &amp; Cable, Industrial Supplies</t>
  </si>
  <si>
    <t>Realty Executives International</t>
  </si>
  <si>
    <t>Attn: Alysia Heun;4343 E Outlier Blvd Suite 123;Phoenix AZ 85008;USA</t>
  </si>
  <si>
    <t>Real Estate Franchise &amp; Brokerage</t>
  </si>
  <si>
    <t>Real Estate Brokerage, Agent Network, Franchise Services, Property Marketing</t>
  </si>
  <si>
    <t>North Ferry Co Inc</t>
  </si>
  <si>
    <t>PO Box 589;Shelter Island Heights NY 11965-0589;USA</t>
  </si>
  <si>
    <t>Ferry Transportation</t>
  </si>
  <si>
    <t>Passenger Ferry, Vehicle Ferry, Marine Transport</t>
  </si>
  <si>
    <t>Hydra Clean</t>
  </si>
  <si>
    <t>11737 Reynolds Rd;Arcanum OH 45304;USA</t>
  </si>
  <si>
    <t>Pressure Washing &amp; Cleaning</t>
  </si>
  <si>
    <t>Industrial Pressure Washing, Fleet Cleaning, Facility Washing</t>
  </si>
  <si>
    <t>Sciens Orlando LLc</t>
  </si>
  <si>
    <t>555 S Lake Destiny Dr;Orlando FL 32810;USA</t>
  </si>
  <si>
    <t>Fire Alarm, Sprinkler, Suppression, Inspection, Security</t>
  </si>
  <si>
    <t>AirTight FaciliTech, LLC</t>
  </si>
  <si>
    <t>PO Box 948592;Atlanta GA 30394;USA</t>
  </si>
  <si>
    <t>Facility HVAC Services</t>
  </si>
  <si>
    <t>Commercial HVAC, Building Systems, Maintenance</t>
  </si>
  <si>
    <t>Office Pride - Do not use</t>
  </si>
  <si>
    <t>3450 E Lake Rd;Ste 202;Palm Harbor FL 34685-2411;USA</t>
  </si>
  <si>
    <t>Janitorial, Office Cleaning, Floor Care, Green Cleaning</t>
  </si>
  <si>
    <t>Coharbor Electric, LLC</t>
  </si>
  <si>
    <t>11270 Metro Pkwy;Ste 5;Fort Myers FL 33966;USA</t>
  </si>
  <si>
    <t>Residential &amp; Commercial Wiring, Lighting Installation, Panel Upgrades, Inspections</t>
  </si>
  <si>
    <t>Association of the US Army</t>
  </si>
  <si>
    <t>Attn: Susan Rubel;2425 Wilson Blvd;Arlington VA 22201-3876;USA</t>
  </si>
  <si>
    <t>Military Association</t>
  </si>
  <si>
    <t>Advocacy, Membership Services, Events</t>
  </si>
  <si>
    <t>Molly Maid Columbus</t>
  </si>
  <si>
    <t>3615 South Railroad Street Suite A;Phenix City AL 36867;USA</t>
  </si>
  <si>
    <t>Pace, Inc.</t>
  </si>
  <si>
    <t>739 S Mill St;Plymouth MI 48170-1821;USA</t>
  </si>
  <si>
    <t>Packaging &amp; Display Solutions</t>
  </si>
  <si>
    <t>Custom Packaging, Point-of-Purchase Displays, Contract Packaging, Design</t>
  </si>
  <si>
    <t>All Auto Towing Inc.</t>
  </si>
  <si>
    <t>1331 W CENTRAL BLVD;ORLANDO FL 32805-1755;USA</t>
  </si>
  <si>
    <t>Flatbed Towing, Wrecker Service, 24/7 Emergency Towing</t>
  </si>
  <si>
    <t>Mar-Nic General Contractor, LLP</t>
  </si>
  <si>
    <t>2032 AMWELL RD;SOMERSET NJ 08873-7027;USA</t>
  </si>
  <si>
    <t>Commercial Construction, Renovation, Facility Maintenance</t>
  </si>
  <si>
    <t>B&amp;F Design Studio and Arch Svcs,LLC</t>
  </si>
  <si>
    <t>1700 AVENUE OF THE STATES;Suite 201;LAKEWOOD NJ 08701-4579;USA</t>
  </si>
  <si>
    <t>Office Space, Architectural Services</t>
  </si>
  <si>
    <t>Big South Metals, Inc.</t>
  </si>
  <si>
    <t>1825 Lone Star Street ;Unit H;Conway SC 29526;USA</t>
  </si>
  <si>
    <t>Metal Fabrication &amp; Supply</t>
  </si>
  <si>
    <t>Metal Supply, Fabrication, Industrial Metals</t>
  </si>
  <si>
    <t>D&amp;M Hydraulic Sales &amp; Service, Inc.</t>
  </si>
  <si>
    <t>94-148 Leowaena St;Waipahu HI 96797-2229;USA</t>
  </si>
  <si>
    <t>Hydraulic Sales &amp; Service</t>
  </si>
  <si>
    <t>Hydraulic Repair, Hose Assemblies, Cylinder Rebuild, Parts</t>
  </si>
  <si>
    <t>Ecotech Pest Control Services</t>
  </si>
  <si>
    <t>5331 Primrose Lake Circle;Suite 211;Tampa FL 33647;USA</t>
  </si>
  <si>
    <t>Termite Treatment, General Pest Control, Wildlife Removal</t>
  </si>
  <si>
    <t>WyEast Products Inc</t>
  </si>
  <si>
    <t>2895 NW Fairfax Terrace;Portland OR 97210;USA</t>
  </si>
  <si>
    <t>Promotional Products &amp; Signs</t>
  </si>
  <si>
    <t>Promotional Products, Custom Signs, Banners, Decals, Branded Merchandise</t>
  </si>
  <si>
    <t>Dyson dba Iron Horse</t>
  </si>
  <si>
    <t>PO Box 9926;Albuquerque NM 87119;USA</t>
  </si>
  <si>
    <t>Vehicle Towing, Roadside Assistance, Recovery, Transport</t>
  </si>
  <si>
    <t>JAS Property Maintenance</t>
  </si>
  <si>
    <t>1122West Front Street;Plainfield NJ 07063;USA</t>
  </si>
  <si>
    <t>Landscaping, Snow Removal, Grounds Keeping, Cleaning</t>
  </si>
  <si>
    <t>000555</t>
  </si>
  <si>
    <t>Sherwin Williams-CANA</t>
  </si>
  <si>
    <t>15 Sheldon Dr;Cambridge ON N1R 6R8;CAN</t>
  </si>
  <si>
    <t>Paints, Stains, Coatings, Color Matching, Industrial Coatings</t>
  </si>
  <si>
    <t>CU Cleaning 100199319</t>
  </si>
  <si>
    <t>1525 Ritson Rd S #38;Oshawa ON L1J 3M3;CAN</t>
  </si>
  <si>
    <t>Greater Tampa Bay Chamber of Comm</t>
  </si>
  <si>
    <t>PO Box 420;Tampa FL 33601;USA</t>
  </si>
  <si>
    <t>New Orleans Portable Storage LLC</t>
  </si>
  <si>
    <t>PO Box 2551;Baton Rouge LA 70821 2551;USA</t>
  </si>
  <si>
    <t>Portable Storage Solutions</t>
  </si>
  <si>
    <t>Connecticut Portable Storage</t>
  </si>
  <si>
    <t>3240 FLIGHTLINE DR;Lakeland FL 33811-2844;USA</t>
  </si>
  <si>
    <t>Great Lakes Distributing</t>
  </si>
  <si>
    <t>2601 Bernice Rd;Lansing IL 60438-1010;USA</t>
  </si>
  <si>
    <t>Beverage &amp; Product Distribution</t>
  </si>
  <si>
    <t>Wholesale Distribution, Beverage Sales, Delivery Services</t>
  </si>
  <si>
    <t>OKeefes Landscaping LLC</t>
  </si>
  <si>
    <t>29 Pine Glen Drive;Ludlow MA 01056;USA</t>
  </si>
  <si>
    <t>Lawn Care, Landscaping Design, Snow Removal, Grounds Maintenance</t>
  </si>
  <si>
    <t>TRSB, Inc.</t>
  </si>
  <si>
    <t>276 Saint-Jacques St;Ste 900;Montreal QC H2Y 1N3;CAN</t>
  </si>
  <si>
    <t>Financial Advisory &amp; Consulting</t>
  </si>
  <si>
    <t>Financial Advisory, Investment Consulting, Business Strategy</t>
  </si>
  <si>
    <t>Vital Records Control</t>
  </si>
  <si>
    <t>Dept. 5874;PO Box 11407;Birmingham AL 35246-0100;USA</t>
  </si>
  <si>
    <t>Document Storage, Secure Shredding, Digital Scanning, Records Management, Compliance</t>
  </si>
  <si>
    <t>Wyatts Tire Co.</t>
  </si>
  <si>
    <t>390 W 11th Ave;Eugene OR 97401-3030;USA</t>
  </si>
  <si>
    <t>Tire Sales, Tire Repair, Alignment, Brakes, Auto Service</t>
  </si>
  <si>
    <t>Overhead Door Corporation</t>
  </si>
  <si>
    <t>PO Box 676576;Dallas TX 75267;USA</t>
  </si>
  <si>
    <t>Door &amp; Access Systems Manufacturer</t>
  </si>
  <si>
    <t>Garage Doors, Commercial Doors, Access Systems, Openers, Rolling Steel Doors</t>
  </si>
  <si>
    <t>001089</t>
  </si>
  <si>
    <t>Broadway Refrigeration &amp; Air Conditioning Co. LTD</t>
  </si>
  <si>
    <t>4427 Dawson St;Burnaby BC V5C 4B8;CAN</t>
  </si>
  <si>
    <t>Commercial Refrigeration &amp; HVAC</t>
  </si>
  <si>
    <t>Refrigeration Service, Air Conditioning, Installation, Repair</t>
  </si>
  <si>
    <t>935 National Parkway;Suite 40;Schaumburg IL 60173;USA</t>
  </si>
  <si>
    <t>Debt Collection Agency</t>
  </si>
  <si>
    <t>Commercial &amp; Consumer Collections, Global Receivables, Compliance Services</t>
  </si>
  <si>
    <t>Jan-Pro Cleaning Servs of SC/GA Coa</t>
  </si>
  <si>
    <t>1321 Chuck Dawley Blvd;Ste 102;Mount Pleasant SC 29464-7304;USA</t>
  </si>
  <si>
    <t>Adirondack Group, LLC dba The Fence</t>
  </si>
  <si>
    <t>100 COLONIAL WAY;WEST CHESTER PA 19382-6895;USA</t>
  </si>
  <si>
    <t>Fencing &amp; Building Materials</t>
  </si>
  <si>
    <t>Wood Fencing, Fence Installation, Fence Construction</t>
  </si>
  <si>
    <t>ASSA ABLOY Entrance Systems Canada Inc</t>
  </si>
  <si>
    <t>2368 Peardonville Road;Abbotsford BC V2T 6J8;CAN</t>
  </si>
  <si>
    <t>Door &amp; Entrance Systems</t>
  </si>
  <si>
    <t>Automatic Doors, Access Solutions, Security Doors</t>
  </si>
  <si>
    <t>Delta T LLC dba Big Ass Fans</t>
  </si>
  <si>
    <t>PO Box 638767;Cinncinnati OH 45263;USA</t>
  </si>
  <si>
    <t>Industrial HVLS Fans &amp; Cooling</t>
  </si>
  <si>
    <t>HVLS Ceiling Fans, Directional Fans, Evaporative Coolers, Infrared Heaters</t>
  </si>
  <si>
    <t>Timothy R Vroom</t>
  </si>
  <si>
    <t>2240 W EXCHANGE ST;CRETE IL 60417-9616;USA</t>
  </si>
  <si>
    <t>ASAP Garage Door Service Inc.</t>
  </si>
  <si>
    <t>608 Deal Rd;Ocean NJ 07712-3623;USA</t>
  </si>
  <si>
    <t>Garage Door Repair, Installation, Maintenance</t>
  </si>
  <si>
    <t>High Cotton Landscaping &amp; P M, LLC</t>
  </si>
  <si>
    <t>105 Split Oak CT,;Myrtle Beach SC 29588;USA</t>
  </si>
  <si>
    <t>Commercial Landscaping, Lawn Care, Property Maintenance, Irrigation</t>
  </si>
  <si>
    <t>Overhead Door Of Sarasota</t>
  </si>
  <si>
    <t>1249 Stringfield Ave;Sarasota FL 34237-3037;USA</t>
  </si>
  <si>
    <t>Idella B Becks</t>
  </si>
  <si>
    <t>13 Heather Valley Cir;Saint Peters MO 63376-2405;USA</t>
  </si>
  <si>
    <t>Residential Cleaning, Office Cleaning, Janitorial Services</t>
  </si>
  <si>
    <t>Christenson Electric, Inc.</t>
  </si>
  <si>
    <t>17321 NE Sacramento Street;Portland OR 97230;USA</t>
  </si>
  <si>
    <t>Charitable Organization</t>
  </si>
  <si>
    <t>Philanthropy, Charitable Giving</t>
  </si>
  <si>
    <t>Marty Massey Towing &amp; Recovery Inc</t>
  </si>
  <si>
    <t>3795 KINGS HWY;DOUGLASVILLE GA 30135-3383;USA</t>
  </si>
  <si>
    <t>Towing, Roadside Assistance, Accident Recovery, Vehicle Transport</t>
  </si>
  <si>
    <t>Maryland Truck Tire Services Inc.</t>
  </si>
  <si>
    <t>6601 Pulaski Hwy;Rosedale MD 21237-1216;USA</t>
  </si>
  <si>
    <t>Truck Tire Sales &amp; Service</t>
  </si>
  <si>
    <t>Commercial Tire Sales, Tire Repair, Fleet Tire Programs, Alignment</t>
  </si>
  <si>
    <t>McKernan, Inc</t>
  </si>
  <si>
    <t>30596 Groesbeck;Roseville MI 48066;USA</t>
  </si>
  <si>
    <t>Door &amp; Dock Equipment</t>
  </si>
  <si>
    <t>Overhead Doors, Dock Levelers, Loading Dock Equipment, Service &amp; Repair</t>
  </si>
  <si>
    <t>Texas Enterprises dba Hotsy Carlson</t>
  </si>
  <si>
    <t>PO Box 6156;Austin TX 78762;USA</t>
  </si>
  <si>
    <t>Pressure Washing Equipment</t>
  </si>
  <si>
    <t>Pressure Washers, Parts Washers, Cleaning Equipment, Detergents, Service &amp; Repair</t>
  </si>
  <si>
    <t>Forklifts of Michigan, Inc.</t>
  </si>
  <si>
    <t>7410 Expressway Drive;Grand Rapids MI 49548;USA</t>
  </si>
  <si>
    <t>Forklift Sales, Forklift Rental, Parts, Service &amp; Repair, Warehouse Equipment</t>
  </si>
  <si>
    <t>Quality Petroleum, Inc</t>
  </si>
  <si>
    <t>PO Box 15308;Little Rock AR 72231-5308;USA</t>
  </si>
  <si>
    <t>Fuel Delivery, Gas Station Supply, Diesel &amp; Gasoline Distribution</t>
  </si>
  <si>
    <t>Hamilton Casters &amp; Mfg Co.</t>
  </si>
  <si>
    <t>ATTN: Jim Lippert;1637-97 DIXIE HWY;Hamilton OH 45011-4087;USA</t>
  </si>
  <si>
    <t>Caster &amp; Wheel Manufacturing</t>
  </si>
  <si>
    <t>Industrial Casters, Material Handling Wheels, Custom Manufacturing</t>
  </si>
  <si>
    <t>The Truck Master School</t>
  </si>
  <si>
    <t>5601 ALDRIN CT;STE A1;BAKERSFIELD CA 93313-2113;USA</t>
  </si>
  <si>
    <t>Class A CDL Training, ELDT Courses, Job Placement, Behind-the-Wheel Training</t>
  </si>
  <si>
    <t>Ricketts Transportation LLC</t>
  </si>
  <si>
    <t>60 LANCES LN;COVINGTON GA 30016-9153;USA</t>
  </si>
  <si>
    <t>Trucking, Freight, Delivery Services, LTL Shipping</t>
  </si>
  <si>
    <t>Stiles Contracting Inc.</t>
  </si>
  <si>
    <t>50 N Harrison Ave, #2;Congers NY 10920;USA</t>
  </si>
  <si>
    <t>Commercial Construction, Renovation, General Contracting, Project Management</t>
  </si>
  <si>
    <t>Rowan Landscape &amp; Design</t>
  </si>
  <si>
    <t>609 Incentive Drive;Fort Wayne IN 46825;USA</t>
  </si>
  <si>
    <t>Landscaping &amp; Design Services</t>
  </si>
  <si>
    <t>Landscape Design, Lawn Care, Hardscaping, Seasonal Services</t>
  </si>
  <si>
    <t>National Military Community Foundat</t>
  </si>
  <si>
    <t>550 EISENHOWER RD;LEAVENWORTH KS 66048-1190;USA</t>
  </si>
  <si>
    <t>Military Nonprofit Organization</t>
  </si>
  <si>
    <t>Military Family Support, Community Programs, Education, Events</t>
  </si>
  <si>
    <t>CA Assets, dba Pro Overhead Door</t>
  </si>
  <si>
    <t>11358 E 60th Pl;Tulsa OK 74146;USA</t>
  </si>
  <si>
    <t>Overhead Doors, Installation, Repair, Industrial Doors</t>
  </si>
  <si>
    <t>A. Fire &amp; Safety Co.</t>
  </si>
  <si>
    <t>101 Mount Hope Avenue;Bristol RI 02809;USA</t>
  </si>
  <si>
    <t>Fire Extinguishers, Safety Equipment, Inspections</t>
  </si>
  <si>
    <t>Coyote Portable Storage</t>
  </si>
  <si>
    <t>3240 Flightline Dr;Lakeland FL 33811 2844;USA</t>
  </si>
  <si>
    <t>AirTemp, Inc.</t>
  </si>
  <si>
    <t>20 Thomas Drive;Westbrook ME 04092;USA</t>
  </si>
  <si>
    <t>Temperature Control, Air Conditioning, Heating</t>
  </si>
  <si>
    <t>000635</t>
  </si>
  <si>
    <t>CTS Cargo Tie-Down Specialty</t>
  </si>
  <si>
    <t>160 Milner Ave;Scarborough ON M1S 3R3;CAN</t>
  </si>
  <si>
    <t>Cargo Control Equipment Manufacturing</t>
  </si>
  <si>
    <t>Tie-Down Straps, Cargo Nets, Cargo Bars, Rigging Hardware, Auto Transport Supplies</t>
  </si>
  <si>
    <t>The Lincoln Life National Insurance Company</t>
  </si>
  <si>
    <t>PO Box 7247;Philadelphia PA 19170;USA</t>
  </si>
  <si>
    <t>Life Insurance, Annuities, Retirement Plans, Group Benefits</t>
  </si>
  <si>
    <t>Nu-Way Hydraulics</t>
  </si>
  <si>
    <t>5890 Fisher Rd;East Syracuse NY 13057-2962;USA</t>
  </si>
  <si>
    <t>Hydraulic Repair &amp; Service</t>
  </si>
  <si>
    <t>Hydraulic Cylinder Repair, Hose Assembly, Pump Service, Industrial Hydraulics</t>
  </si>
  <si>
    <t>Competitive Hauling</t>
  </si>
  <si>
    <t>1362 W BANCROFT ST;TOLEDO OH 43606-4635;USA</t>
  </si>
  <si>
    <t>Hauling &amp; Waste Services</t>
  </si>
  <si>
    <t>Debris Removal, Construction Hauling, Demolition</t>
  </si>
  <si>
    <t>Crystal Welding Inc.</t>
  </si>
  <si>
    <t>17601 113th Ave N;Maple Grove MN 55369-3284;USA</t>
  </si>
  <si>
    <t>Welding &amp; Fabrication</t>
  </si>
  <si>
    <t>Custom Metal Fabrication, Structural Welding, Repair Services</t>
  </si>
  <si>
    <t>Still Water Security Company, LLC</t>
  </si>
  <si>
    <t>196 Atkins St.;Meriden CT 06450;USA</t>
  </si>
  <si>
    <t>Unarmed Guards, Event Security, Patrol Services, Security Consulting</t>
  </si>
  <si>
    <t>Carden Jennings Publishing Co.,LTD.</t>
  </si>
  <si>
    <t>485 Hillsdale Drive;Suite 341;Charlottesville VA 22901;USA</t>
  </si>
  <si>
    <t>Third-Party Claims Administration</t>
  </si>
  <si>
    <t>Workers' Comp Claims, Property Claims, Liability Claims</t>
  </si>
  <si>
    <t>Box, Inc.</t>
  </si>
  <si>
    <t>420 Montgomery Street;San Francisco CA 94101;USA</t>
  </si>
  <si>
    <t>Cloud Content Management Platform</t>
  </si>
  <si>
    <t>File Sharing, Collaboration, e-Signatures, Workflow Automation, AI-Powered Insights</t>
  </si>
  <si>
    <t>Albert Villarreal</t>
  </si>
  <si>
    <t>4713 French Dr;Corpus Christi TX 78411;USA</t>
  </si>
  <si>
    <t>Glenn W Yetter</t>
  </si>
  <si>
    <t>673 ROUTE 115;SAYLORSBURG PA 18353-8721;USA</t>
  </si>
  <si>
    <t>H&amp;I Fitness, Ltd.</t>
  </si>
  <si>
    <t>3631 South 6th Street;Springfield IL 62703;USA</t>
  </si>
  <si>
    <t>Fitness Equipment &amp; Facility Lease</t>
  </si>
  <si>
    <t>Fitness Equipment Leasing, Gym Setup, Commercial Fitness Solutions</t>
  </si>
  <si>
    <t>Ferpes Brothers Inc.</t>
  </si>
  <si>
    <t>PO Box 180245;Casselberry FL 32718-0245;USA</t>
  </si>
  <si>
    <t>General Contracting, Building Maintenance, Renovation, Commercial Construction</t>
  </si>
  <si>
    <t>Prompt Towing &amp; Transport Company In</t>
  </si>
  <si>
    <t>PO Box 262;Rocky Point NC 28457;USA</t>
  </si>
  <si>
    <t>Vehicle Towing, Transport, Roadside Assistance, Heavy-Duty Towing</t>
  </si>
  <si>
    <t>JDR Cleaning</t>
  </si>
  <si>
    <t>PO Box 8351;Turnersville NJ 08012-8351;USA</t>
  </si>
  <si>
    <t>Vehiclean</t>
  </si>
  <si>
    <t>PO Box 2462;Woodbridge VA 22195 2462;USA</t>
  </si>
  <si>
    <t>Vehicle Cleaning &amp; Detailing</t>
  </si>
  <si>
    <t>Fleet Washing, Vehicle Detailing, Mobile Cleaning, Pressure Washing</t>
  </si>
  <si>
    <t>Daron Jaco</t>
  </si>
  <si>
    <t>PO Box 763;Wrightwood CA 92397;USA</t>
  </si>
  <si>
    <t>000621</t>
  </si>
  <si>
    <t>McCarthy Tetrault LLP</t>
  </si>
  <si>
    <t>500 Grande Allee Est;Quebec QC G1R 2J7;CAN</t>
  </si>
  <si>
    <t>Business Law, Litigation, M&amp;A, Tax, IP, Real Estate, Employment, Government</t>
  </si>
  <si>
    <t>Nicks Lawncare LLC</t>
  </si>
  <si>
    <t>177 JONES ACRES DR;MACON GA 31217-2200;USA</t>
  </si>
  <si>
    <t>Equipment Depot Winsonsin</t>
  </si>
  <si>
    <t>PO Box 856274;Minneapolis MN 55485-6274;USA</t>
  </si>
  <si>
    <t>Forklift Sales &amp; Rentals, Aerial Lifts, Warehouse Solutions, Parts &amp; Service</t>
  </si>
  <si>
    <t>Jennifer Hudson</t>
  </si>
  <si>
    <t>2453 Carpenter Rd;Carlisle KY 40311-9774;USA</t>
  </si>
  <si>
    <t>Touch of Pride Landscaping</t>
  </si>
  <si>
    <t>21 Aldbourne Drive;Bristol CT 06010;USA</t>
  </si>
  <si>
    <t>Lawn Maintenance, Landscape Design, Mulching, Tree Service, Seasonal Cleanup</t>
  </si>
  <si>
    <t>John H Gold III</t>
  </si>
  <si>
    <t>Po Box 690265;Houston TX 77269;USA</t>
  </si>
  <si>
    <t>000025</t>
  </si>
  <si>
    <t>Central Credit Control LTD</t>
  </si>
  <si>
    <t>51 King street;Suite 3;Barrie ON L4N 6B5;CAN</t>
  </si>
  <si>
    <t>TruckPro-Atlanta</t>
  </si>
  <si>
    <t>29787 Network Place;Chicago IL 60673;USA</t>
  </si>
  <si>
    <t>Truck Parts, Brake Components, Suspension, Driveline, Fleet Parts</t>
  </si>
  <si>
    <t>Snyder Enterprise Group, LLC</t>
  </si>
  <si>
    <t>685 ROBERT M GRISSOM PKWY;MYRTLE BEACH SC 29577-6564;USA</t>
  </si>
  <si>
    <t>Property Management &amp; Maintenance</t>
  </si>
  <si>
    <t>Property Maintenance, Facility Services, Landscaping, Building Maintenance</t>
  </si>
  <si>
    <t>Overhead Door Co of Raleigh</t>
  </si>
  <si>
    <t>3224 Gresham Lake Rd;Raleigh NC 27615 4106;USA</t>
  </si>
  <si>
    <t>Dirt Busters Inc.</t>
  </si>
  <si>
    <t>PO Box 471280;Tulsa OK 74147;USA</t>
  </si>
  <si>
    <t>Janitorial, Carpet Cleaning, Floor Maintenance</t>
  </si>
  <si>
    <t>Eastern Lift Truck co</t>
  </si>
  <si>
    <t>PO Box 307;Maple Shade NJ 08052 0307;USA</t>
  </si>
  <si>
    <t>Lift Truck Sales &amp; Service</t>
  </si>
  <si>
    <t>Forklift Sales, Rentals, Parts, Service &amp; Repair</t>
  </si>
  <si>
    <t>Utah Engineering</t>
  </si>
  <si>
    <t>3020 S West Temple;Salt Lake City UT 84115-3714;USA</t>
  </si>
  <si>
    <t>Engineering &amp; Construction Services</t>
  </si>
  <si>
    <t>Mechanical Engineering, HVAC Design, Plumbing Design, Construction Management</t>
  </si>
  <si>
    <t>Service Tire Truck Center</t>
  </si>
  <si>
    <t>2255 Avenue A;Bethlehem PA 18017 2107;USA</t>
  </si>
  <si>
    <t>Truck Tires, Tire Retreading, Roadside Service, Fleet Tire Management</t>
  </si>
  <si>
    <t>Yoder Overhead Door Co</t>
  </si>
  <si>
    <t>36318 Sussex Hwy;Delmar DE 19940-3573;USA</t>
  </si>
  <si>
    <t>Garage Doors, Commercial Doors, Openers, Installation, Repair, Maintenance</t>
  </si>
  <si>
    <t>Pro-Copy</t>
  </si>
  <si>
    <t>Po Box 16489;Tampa FL 33687;USA</t>
  </si>
  <si>
    <t>Printing &amp; Copy Services</t>
  </si>
  <si>
    <t>Printing, Copying, Binding, Document Management</t>
  </si>
  <si>
    <t>Bay Area Pressure Pros, LLC.</t>
  </si>
  <si>
    <t>6990 BRIGHTON DR;DUBLIN CA 94568-1753;USA</t>
  </si>
  <si>
    <t>Pressure Washing Services</t>
  </si>
  <si>
    <t>Commercial Cleaning, Exterior Cleaning, Surface Restoration</t>
  </si>
  <si>
    <t>Vistra Trust Company Ltd.</t>
  </si>
  <si>
    <t>10 Temple Back, 1st Floor;BRISTOL ;USA</t>
  </si>
  <si>
    <t>Corporate &amp; Trust Services</t>
  </si>
  <si>
    <t>Trust Administration, Company Formation, Corporate Governance, Compliance, Fund Services</t>
  </si>
  <si>
    <t>Sarah Jelsema dba Revival Cleaning</t>
  </si>
  <si>
    <t>1470 LAKESIDE DR;HUDSONVILLE MI 49426-8104;USA</t>
  </si>
  <si>
    <t>Residential Cleaning, Office Cleaning, Facility Maintenance</t>
  </si>
  <si>
    <t>Diaz RE Holdings, LLC</t>
  </si>
  <si>
    <t>7 Josephine Rd;Santa Fe NM 87508-4445;USA</t>
  </si>
  <si>
    <t>Titanium American Logistics Inc.</t>
  </si>
  <si>
    <t>5950 FAIRVIEW RD;STE 502;CHARLOTTE NC 28210-3104;USA</t>
  </si>
  <si>
    <t>Truckload, LTL, Logistics, Expedited Freight, Warehousing</t>
  </si>
  <si>
    <t>Elite Towing</t>
  </si>
  <si>
    <t>335 Ronkonkoma Avenue;Ronkonkoma NY 11779;USA</t>
  </si>
  <si>
    <t>Vehicle Towing, Roadside Assistance, Recovery</t>
  </si>
  <si>
    <t>Sun Shades &amp; Graphics, Inc.</t>
  </si>
  <si>
    <t>7001 Saint Andrews Rd.;PPO 426;Columbia SC 29212;USA</t>
  </si>
  <si>
    <t>Vehicle Wraps, Window Tinting, Custom Graphics, Fleet Graphics, Signage</t>
  </si>
  <si>
    <t>All Industries Inc</t>
  </si>
  <si>
    <t>PO Box 508;Nederland TX 77627-0508;USA</t>
  </si>
  <si>
    <t>Landscaping &amp; Fencing Services</t>
  </si>
  <si>
    <t>Landscape Contractors, Fence Installation, Lawn Maintenance</t>
  </si>
  <si>
    <t>Portable Storage Of North (sc)</t>
  </si>
  <si>
    <t>CAROLINA;440 Viking Dr,Ste 240;Virginia Beach VA 23452 7326;USA</t>
  </si>
  <si>
    <t>Fenichey LLC</t>
  </si>
  <si>
    <t>PO Box 4484;Wallingford CT 06492;USA</t>
  </si>
  <si>
    <t>Freight Brokerage, Trucking, Transportation, Delivery</t>
  </si>
  <si>
    <t>Site Design, Inc</t>
  </si>
  <si>
    <t>225 Rocky Creek Rd;Greenville SC 29615;USA</t>
  </si>
  <si>
    <t>Civil Engineering &amp; Site Development</t>
  </si>
  <si>
    <t>Grading, Erosion Control, Stormwater Design, Land Planning, Utility Design</t>
  </si>
  <si>
    <t>GFL Environmental-#001884451</t>
  </si>
  <si>
    <t>PO Box 791519;Baltimore MD 21279-1519;USA</t>
  </si>
  <si>
    <t>Waste Management &amp; Environmental Services</t>
  </si>
  <si>
    <t>Waste Collection, Recycling, Solid Waste Disposal, Liquid Waste Services</t>
  </si>
  <si>
    <t>Pro Equipment Repair</t>
  </si>
  <si>
    <t>4504 - 14 Street NE;Calgary AB T2E 6T7;CAN</t>
  </si>
  <si>
    <t>Equipment Repair &amp; Maintenance</t>
  </si>
  <si>
    <t>Forklift Repair, Heavy Equipment Service, Preventive Maintenance, Parts Supply</t>
  </si>
  <si>
    <t>Bailey Fence Company, Inc.</t>
  </si>
  <si>
    <t>3205 Baumberg Ct;Hayward CA 94545-4400;USA</t>
  </si>
  <si>
    <t>Fence Installation, Chain Link, Wood Fencing, Gates</t>
  </si>
  <si>
    <t>Brandon Clark dba BC Equipment Srvc</t>
  </si>
  <si>
    <t>213 MARTHA LEE DR;HAMPTON VA 23666-3822;USA</t>
  </si>
  <si>
    <t>Equipment Service &amp; Repair</t>
  </si>
  <si>
    <t>Equipment Repair, Maintenance, Service</t>
  </si>
  <si>
    <t>Cream Enterprise, LLC</t>
  </si>
  <si>
    <t>2201 MENAUL BLVD NE;Ste A;ALBUQUERQUE NM 87107-1711;USA</t>
  </si>
  <si>
    <t>J3 Mechanical Services</t>
  </si>
  <si>
    <t>17105 BEYER JOHN DR;SELMA TX 78154-0359;USA</t>
  </si>
  <si>
    <t>HVAC, Plumbing, Refrigeration, Mechanical Repair</t>
  </si>
  <si>
    <t>Jacks Overhead Door Inc</t>
  </si>
  <si>
    <t>PO Box 230368;Tigard OR 97281;USA</t>
  </si>
  <si>
    <t>Garage Door Repair, Installation, Commercial Doors, Openers</t>
  </si>
  <si>
    <t>001019</t>
  </si>
  <si>
    <t>A25 LE Lien Intelligent</t>
  </si>
  <si>
    <t>6801 Boul Levesque Est;Laval QC H7A 0E1;CAN</t>
  </si>
  <si>
    <t>Toll Collection, Transponder Services, Bridge Operations</t>
  </si>
  <si>
    <t>Waypoint Property Management, LLC</t>
  </si>
  <si>
    <t>125 S HOWES ST;STE 500;FORT COLLINS CO 80521-2737;USA</t>
  </si>
  <si>
    <t>Property Management, Residential, Commercial, HOA Management, Leasing</t>
  </si>
  <si>
    <t>Jim Williams Fence Company</t>
  </si>
  <si>
    <t>934 E Rose Street;Lakeland FL 33801;USA</t>
  </si>
  <si>
    <t>Capurro Trucking</t>
  </si>
  <si>
    <t>955 Deming Way;Sparks NV 89431;USA</t>
  </si>
  <si>
    <t>Residential Moving, Commercial Moving, Storage, Logistics</t>
  </si>
  <si>
    <t>ALG Worldwide Logistics, LLC</t>
  </si>
  <si>
    <t>745 DILLON DR;WOOD DALE IL 60191-1273;USA</t>
  </si>
  <si>
    <t>Logistics &amp; Freight Forwarding</t>
  </si>
  <si>
    <t>Global Shipping, Supply Chain, Freight Services</t>
  </si>
  <si>
    <t>Goodyear Logistics LLC</t>
  </si>
  <si>
    <t>126 E La Pasada Blvd;Goodyear AZ 85338-1218;USA</t>
  </si>
  <si>
    <t>Logistics Brokerage</t>
  </si>
  <si>
    <t>Freight Brokerage, Transportation Management, Delivery Coordination</t>
  </si>
  <si>
    <t>Penske Transportation Mgmnt LLC</t>
  </si>
  <si>
    <t>100 Kachel Boulevard;Reading PA 19607;USA</t>
  </si>
  <si>
    <t>Transportation Management &amp; Logistics</t>
  </si>
  <si>
    <t>Supply Chain Management, Dedicated Contract Carriage, Freight Brokerage, Logistics Technology</t>
  </si>
  <si>
    <t>Western Motor Tariff Bureau, Inc.</t>
  </si>
  <si>
    <t>PO Box 30268;Honolulu HI 96820-0268;USA</t>
  </si>
  <si>
    <t>Freight Rate Bureau Services</t>
  </si>
  <si>
    <t>Freight Rates, Tariff Services, Transportation Consulting, Regulatory Compliance</t>
  </si>
  <si>
    <t>Fairborn Equipment Co of Illinois</t>
  </si>
  <si>
    <t>331 Eisenhower Lane South;Lombard IL 60148;USA</t>
  </si>
  <si>
    <t>Overhead Door Company of Providence</t>
  </si>
  <si>
    <t>1 Overhead Way;Warwick RI 02888;USA</t>
  </si>
  <si>
    <t>Envirotrol</t>
  </si>
  <si>
    <t>PO Box 2026;High Point NC 27261;USA</t>
  </si>
  <si>
    <t>Building Management Systems &amp; HVAC Services</t>
  </si>
  <si>
    <t>Building Automation, HVAC Service, Energy Management, Controls, Electrical Services</t>
  </si>
  <si>
    <t>Goch &amp; Sons Towing</t>
  </si>
  <si>
    <t>750 S DEACON ST;DETROIT MI 48217-1609;USA</t>
  </si>
  <si>
    <t>Fraser Valley Equipment LTD</t>
  </si>
  <si>
    <t>13399 72 AVE;SURREY BC V3W 2N5;CAN</t>
  </si>
  <si>
    <t>Agricultural Equipment, Construction Equipment, Parts &amp; Service, Rentals</t>
  </si>
  <si>
    <t>Door Dash, Inc</t>
  </si>
  <si>
    <t>303 2ND ST;8th FL;SAN FRANCISCO CA 94107-1366;USA</t>
  </si>
  <si>
    <t>Food Delivery &amp; Marketplace Platform</t>
  </si>
  <si>
    <t>Restaurant Delivery, Grocery Delivery, Retail Delivery, DashPass Subscription</t>
  </si>
  <si>
    <t>U Win Towing, LLC</t>
  </si>
  <si>
    <t>16099 COMMON RD;ROSEVILLE MI 48066-1813;USA</t>
  </si>
  <si>
    <t>Colliflower Inc</t>
  </si>
  <si>
    <t>PO Box 826398;Philadelphia PA 19182 6398;USA</t>
  </si>
  <si>
    <t>Hydraulic Hose &amp; Fittings Distributor</t>
  </si>
  <si>
    <t>Parker Fluid Connectors, Hose Assemblies, 24/7 Emergency Service</t>
  </si>
  <si>
    <t>Hunter Security, Inc.</t>
  </si>
  <si>
    <t>PO Box 1320;Daphne AL 36526-1320;USA</t>
  </si>
  <si>
    <t>Security Systems &amp; Monitoring</t>
  </si>
  <si>
    <t>Burglar Alarms, Fire Detection, Video Surveillance, Access Control, Monitoring</t>
  </si>
  <si>
    <t>The Salvation Army Central Terr. Hq</t>
  </si>
  <si>
    <t>Attn: Trade Central;5550 Prairie Stone Parkway;Hoffman Estates IL 60192;USA</t>
  </si>
  <si>
    <t>Tennant Sales &amp; Service Co.</t>
  </si>
  <si>
    <t>PO BOX 71414;Chicago IL 60694-1414;USA</t>
  </si>
  <si>
    <t>Floor Scrubbers, Sweepers, Cleaning Equipment Sales, Service, Rental, Parts</t>
  </si>
  <si>
    <t>Baygas Propane</t>
  </si>
  <si>
    <t>2694 Calder Dr;League City TX 77573;USA</t>
  </si>
  <si>
    <t>Propane Delivery, Tank Installation, Commercial Propane Services</t>
  </si>
  <si>
    <t>Southern Wrecker &amp; Recovery, LLC</t>
  </si>
  <si>
    <t>6831 W Beaver St;Jacksonville FL 32254-2709;USA</t>
  </si>
  <si>
    <t>Vehicle Towing, Heavy-Duty Recovery, Roadside Assistance, Transport</t>
  </si>
  <si>
    <t>Buds Wrecker Service Inc.</t>
  </si>
  <si>
    <t>959 Chicago Dr SW;Grand Rapids MI 49509-1187;USA</t>
  </si>
  <si>
    <t>Towing, Wrecker Service, Roadside Assistance</t>
  </si>
  <si>
    <t>Smith Mechanical</t>
  </si>
  <si>
    <t>9195 Red Branch Rd;Columbia MD 21045 2013;USA</t>
  </si>
  <si>
    <t>HVAC, Plumbing, Piping, Mechanical Systems, Building Maintenance</t>
  </si>
  <si>
    <t>000556</t>
  </si>
  <si>
    <t>Great Little Box Company</t>
  </si>
  <si>
    <t>11300 Twigg Place;Richmond BC V6V 3C1;CAN</t>
  </si>
  <si>
    <t>Custom Packaging &amp; Boxes</t>
  </si>
  <si>
    <t>Corrugated Boxes, Custom Packaging, Labels, Displays, Retail Packaging</t>
  </si>
  <si>
    <t>R &amp; S Erection of Vallejo Inc.</t>
  </si>
  <si>
    <t>401 Mississippi St;Vallejo CA 94590 3209;USA</t>
  </si>
  <si>
    <t>Lewis Thomason, P.C.</t>
  </si>
  <si>
    <t>P.O. Box 2425;Knoxville TN 37901;USA</t>
  </si>
  <si>
    <t>Regional Law Firm</t>
  </si>
  <si>
    <t>Litigation, Insurance Defense, Healthcare, Employment Law, Business Law</t>
  </si>
  <si>
    <t>All American Auto Glass Inc</t>
  </si>
  <si>
    <t>435 President Pl;West Babylon NY 11704 6427;USA</t>
  </si>
  <si>
    <t>Auto Glass Services</t>
  </si>
  <si>
    <t>Windshield Repair, Glass Replacement</t>
  </si>
  <si>
    <t>Blue Beacon, Inc.</t>
  </si>
  <si>
    <t>P.O. Box 856;Salina KS 67401;USA</t>
  </si>
  <si>
    <t>Truck Wash Services</t>
  </si>
  <si>
    <t>Truck Washing, Fleet Washing, Commercial Vehicle Cleaning</t>
  </si>
  <si>
    <t>Alante Security Group Inc.</t>
  </si>
  <si>
    <t>522 GRAND BLVD;WESTBURY NY 11590-4742;USA</t>
  </si>
  <si>
    <t>Security Patrols, Private Investigation, Security Equipment</t>
  </si>
  <si>
    <t>The Law Office of Lana Manitta,PLLC</t>
  </si>
  <si>
    <t>1800 DIAGONAL RD;STE 600 PMB# 1152;ALEXANDRIA VA 22314-2840;USA</t>
  </si>
  <si>
    <t>Immigration Law, Business Law, Estate Planning, Litigation</t>
  </si>
  <si>
    <t>RJP Hotsy</t>
  </si>
  <si>
    <t>17 Lakewood Rd;New Egypt NJ 08533-1307;USA</t>
  </si>
  <si>
    <t>Pressure Washer Sales, Repair, Parts, Industrial Cleaning Equipment</t>
  </si>
  <si>
    <t>Renna Sarnie</t>
  </si>
  <si>
    <t>10 ERICK RD;APT 10;MANSFIELD MA 02048-3069;USA</t>
  </si>
  <si>
    <t>Dominion Wrecker Service LLC</t>
  </si>
  <si>
    <t>2630 HANCO CENTER DR;WOODBRIDGE VA 22191-4017;USA</t>
  </si>
  <si>
    <t>Pirtek Beltway/Conroe/Gulfgate/Sta</t>
  </si>
  <si>
    <t>1920 Rankin Road;Suite 170;Houston TX 77073;USA</t>
  </si>
  <si>
    <t>GEM Plumbing &amp; Heating Services LLC</t>
  </si>
  <si>
    <t>1 Wellington Road;Lincoln RI 02865;USA</t>
  </si>
  <si>
    <t>HVAC Services, Drain Cleaning, Water Heater Repair, Emergency Service</t>
  </si>
  <si>
    <t>001242</t>
  </si>
  <si>
    <t>Birch Fumigators</t>
  </si>
  <si>
    <t>20412 118A Avenue NW;Edmonton AB T5S 2S7;CAN</t>
  </si>
  <si>
    <t>Pest Control &amp; Fumigation</t>
  </si>
  <si>
    <t>Fumigation, Termite Treatment, Pest Control</t>
  </si>
  <si>
    <t>Justin Michael</t>
  </si>
  <si>
    <t>7992 PORT REPUBLIC RD;PORT REPUBLIC VA 24471-2651;USA</t>
  </si>
  <si>
    <t>Wilson Fuel Co. Limited</t>
  </si>
  <si>
    <t>97 PLEASANT ST;TRURO NS B2N 3S5;CAN</t>
  </si>
  <si>
    <t>Heating Oil, Furnace Oil, Diesel, Gasoline, Propane, Lubricants</t>
  </si>
  <si>
    <t>NCR Towing</t>
  </si>
  <si>
    <t>7460 E FURNACE BRANCH RD;GLEN BURNIE MD 21060-7284;USA</t>
  </si>
  <si>
    <t>Towing &amp; Roadside Services</t>
  </si>
  <si>
    <t>Light &amp; Heavy Towing, Roadside Assistance, Vehicle Transport</t>
  </si>
  <si>
    <t>BOES, LLC</t>
  </si>
  <si>
    <t>135 TERRY DR;PENSACOLA FL 32503-7024;USA</t>
  </si>
  <si>
    <t>Business Services, Consulting</t>
  </si>
  <si>
    <t>MH Equipment</t>
  </si>
  <si>
    <t>PO Box 854469;Minneapolis MN 55485;USA</t>
  </si>
  <si>
    <t>Voss Equipment Inc.</t>
  </si>
  <si>
    <t>PO Box 757;Bedford Park IL 60499 0757;USA</t>
  </si>
  <si>
    <t>Forklift Parts, Material Handling Equipment, Batteries, Chargers, Service</t>
  </si>
  <si>
    <t>000742</t>
  </si>
  <si>
    <t>CAA Quebec</t>
  </si>
  <si>
    <t>444, rue Bouvier;60 Commerce Valley Drive, East;Quebec QC G2J 1E3;CAN</t>
  </si>
  <si>
    <t>Roadside Assistance, Travel Services, Auto Insurance</t>
  </si>
  <si>
    <t>James Hayes</t>
  </si>
  <si>
    <t>1248 S Fulton Ave;Tulsa OK 74112;USA</t>
  </si>
  <si>
    <t>Managed Mobile, Inc.</t>
  </si>
  <si>
    <t>1901 NANCITA CIR;PLACENTIA CA 92870-6737;USA</t>
  </si>
  <si>
    <t>Mobile Device Management &amp; Repair</t>
  </si>
  <si>
    <t>Mobile Device Repair, Enterprise Mobility, IT Support</t>
  </si>
  <si>
    <t>Watson Home Properties</t>
  </si>
  <si>
    <t>1741 Rudder Industrial Park Dr;Fenton MO 63026;USA</t>
  </si>
  <si>
    <t>Property Maintenance, Building Repairs, Facility Management, Renovation</t>
  </si>
  <si>
    <t>Suburban Towing Inc</t>
  </si>
  <si>
    <t>PO Box 19049;Louisville KY 40259-0049;USA</t>
  </si>
  <si>
    <t>Vehicle Towing, Roadside Assistance, Accident Recovery, Heavy-Duty Towing</t>
  </si>
  <si>
    <t>Sallie Brown</t>
  </si>
  <si>
    <t>5341 Welchance Road,;Murfreesboro TN 37127;USA</t>
  </si>
  <si>
    <t>Youdecide.com Inc</t>
  </si>
  <si>
    <t>2905 PREMIERE PKWY;STE 280;DULUTH GA 30097-5247;USA</t>
  </si>
  <si>
    <t>Employee Discounts, Corporate Perks, Voluntary Benefits, Rewards Programs, Group Buying</t>
  </si>
  <si>
    <t>Area Plumbing &amp; Sewer Co., Inc</t>
  </si>
  <si>
    <t>7219 White Oak Ave;Hammond IN 46324-2197;USA</t>
  </si>
  <si>
    <t>Plumbing &amp; Sewer Services</t>
  </si>
  <si>
    <t>Plumbing Repair, Sewer Cleaning, Drain Services</t>
  </si>
  <si>
    <t>Asheville Oil Company</t>
  </si>
  <si>
    <t>22 Tribology Drive;Asheville NC 28806;USA</t>
  </si>
  <si>
    <t>Petroleum &amp; Lubricant Distribution</t>
  </si>
  <si>
    <t>Fuel Delivery, Oil Products, Fleet Fueling</t>
  </si>
  <si>
    <t>Lawrence Doors</t>
  </si>
  <si>
    <t>4525 Littlejohn St;Baldwin Park CA 91706 2239;USA</t>
  </si>
  <si>
    <t>Commercial Doors, Rolling Steel Doors, Dock Equipment, Repair</t>
  </si>
  <si>
    <t>A Five Star Termite&amp; Pest Control</t>
  </si>
  <si>
    <t>PO Box 460687;San Antonio TX 78246;USA</t>
  </si>
  <si>
    <t>Termite Treatment, Extermination, Pest Prevention</t>
  </si>
  <si>
    <t>Four Star Services, Inc</t>
  </si>
  <si>
    <t>2947 GREENFIELD RD;MELVINDALE MI 48122-1239;USA</t>
  </si>
  <si>
    <t>Facility Maintenance &amp; Services</t>
  </si>
  <si>
    <t>Building Maintenance, Janitorial, Landscaping, Snow Removal, Facility Services</t>
  </si>
  <si>
    <t>RY logistics Inc.</t>
  </si>
  <si>
    <t>1247-B Highway 8;Stoney Creek ON L8E 5G8;CAN</t>
  </si>
  <si>
    <t>Trucking, Freight Brokerage, Cross-Border Shipping</t>
  </si>
  <si>
    <t>Amino Transport, Inc. DO NOT USE</t>
  </si>
  <si>
    <t>2429 1ST AVE N;BIRMINGHAM AL 35203-4303;USA</t>
  </si>
  <si>
    <t>Trucking, LTL Shipping, Logistics</t>
  </si>
  <si>
    <t>Moran Reeves &amp; Conn PC</t>
  </si>
  <si>
    <t>1211 E CARY ST;RICHMOND VA 23219-4115;USA</t>
  </si>
  <si>
    <t>Insurance Defense, Civil Litigation, Business Law, Employment Law</t>
  </si>
  <si>
    <t>Ace Heating &amp; Cooling, Inc.</t>
  </si>
  <si>
    <t>4020 Alvis Court;Rocklin CA 95677;USA</t>
  </si>
  <si>
    <t>Wholesale Packaging Distribution</t>
  </si>
  <si>
    <t>Foodservice Packaging, Janitorial Supplies, Restaurant Equipment</t>
  </si>
  <si>
    <t>000889</t>
  </si>
  <si>
    <t>Federal Express Canada Corporation</t>
  </si>
  <si>
    <t>PO BOX 4626 STN A;TORONTO ON M5W 5B4;CAN</t>
  </si>
  <si>
    <t>Express Shipping, Ground &amp; Air Freight, International Shipping, Customs Brokerage</t>
  </si>
  <si>
    <t>Mr. Rooter Sewer &amp; Drain, Inc</t>
  </si>
  <si>
    <t>51162 Milano Dr;Macomb MI 48042-4018;USA</t>
  </si>
  <si>
    <t>Drain Cleaning, Sewer Repair, Rooter Service, Plumbing Repair</t>
  </si>
  <si>
    <t>Guardian Alarm of Ohio Inc.</t>
  </si>
  <si>
    <t>75 Remittance Dr;Dept 1376;Chicago IL 60675-1001;USA</t>
  </si>
  <si>
    <t>Air Therm LLC</t>
  </si>
  <si>
    <t>3916 Ogeechee Rd;Savannah GA 31405;USA</t>
  </si>
  <si>
    <t>Heating, Air Conditioning, Commercial HVAC</t>
  </si>
  <si>
    <t>Suburban Propane</t>
  </si>
  <si>
    <t>PO Box 160;Whippany NJ 07981-0260;USA</t>
  </si>
  <si>
    <t>Propane Delivery, Tank Installation, Heating, Commercial Propane, Appliance Sales</t>
  </si>
  <si>
    <t>Bauer Built Inc.</t>
  </si>
  <si>
    <t>PO Box 248;Durand WI 54736-0248;USA</t>
  </si>
  <si>
    <t>Truck Tires, Fleet Services, Retread Manufacturing, Tire Repair</t>
  </si>
  <si>
    <t>Plasticycle Corporation</t>
  </si>
  <si>
    <t>245 Main St;Suite 220;White Plains NY 10601-2411;USA</t>
  </si>
  <si>
    <t>Plastics Recycling &amp; Waste Management</t>
  </si>
  <si>
    <t>Plastic Recycling, Waste Reduction, Sustainability Consulting, Material Recovery</t>
  </si>
  <si>
    <t>High Associates</t>
  </si>
  <si>
    <t>PO Box 10605;Lancaster PA 17605 0605;USA</t>
  </si>
  <si>
    <t>Real Estate, Office/Industrial Space, Property Management</t>
  </si>
  <si>
    <t>United Industrial Service, Inc.</t>
  </si>
  <si>
    <t>120 Almgren Drive;Agawam MA 01001;USA</t>
  </si>
  <si>
    <t>Industrial Mechanical Services</t>
  </si>
  <si>
    <t>Rigging, Millwright, Machinery Installation, Piping, Welding, Industrial Maintenance</t>
  </si>
  <si>
    <t>000958</t>
  </si>
  <si>
    <t>Sherwin Williams - Brampton</t>
  </si>
  <si>
    <t>Units 8-9 9045 Airport Rd;Brampton ON L6S 0B8;CAN</t>
  </si>
  <si>
    <t>Pro-Screen Inc.</t>
  </si>
  <si>
    <t>6093 S LINCOLN CT;FRESNO CA 93725-8933;USA</t>
  </si>
  <si>
    <t>Window &amp; Door Screen Services</t>
  </si>
  <si>
    <t>Window Screens, Door Screens, Screen Repair, Custom Screens</t>
  </si>
  <si>
    <t>Frantz Ward LLP</t>
  </si>
  <si>
    <t>200 PUBLIC SQ;STE 3000;CLEVELAND OH 44114-2316;USA</t>
  </si>
  <si>
    <t>Business Litigation, Real Estate, Corporate Law, Labor &amp; Employment, IP</t>
  </si>
  <si>
    <t>SOS Fuels</t>
  </si>
  <si>
    <t>17 Park Dr;Franklin NJ 07416-9758;USA</t>
  </si>
  <si>
    <t>Fuel Distribution</t>
  </si>
  <si>
    <t>Fuel Delivery, Diesel, Gasoline, Heating Oil</t>
  </si>
  <si>
    <t>FYR FYTER SALES &amp; SERVICES, INC</t>
  </si>
  <si>
    <t>PO Box 40620;Mobile AL 36640;USA</t>
  </si>
  <si>
    <t>Fire Safety Equipment &amp; Services</t>
  </si>
  <si>
    <t>Fire Extinguisher Sales &amp; Service, Inspection, Safety Equipment, Suppression Systems</t>
  </si>
  <si>
    <t>Mitchells W Nashville Wrecker Ser</t>
  </si>
  <si>
    <t>6400 Louisiana Ave;Nashville TN 37209-1330;USA</t>
  </si>
  <si>
    <t>Light &amp; Heavy Towing, Roadside Assistance, Accident Recovery, Impound</t>
  </si>
  <si>
    <t>Terminal Supply Company</t>
  </si>
  <si>
    <t>1800 Thunderbird;Troy MI 48084;USA</t>
  </si>
  <si>
    <t>Electrical &amp; Wiring Supply</t>
  </si>
  <si>
    <t>Wire Terminals, Connectors, Electrical Components, Wiring Accessories, Tools</t>
  </si>
  <si>
    <t>Grays Towing</t>
  </si>
  <si>
    <t>242 US Highway 70 W;Havelock NC 28532;USA</t>
  </si>
  <si>
    <t>Cowleys Bug Out Pest Control Inc.</t>
  </si>
  <si>
    <t>1145 STATE ROUTE 33;FARMINGDALE NJ 07727-3632;USA</t>
  </si>
  <si>
    <t>Myrmo &amp; Sons Inc</t>
  </si>
  <si>
    <t>PO Box 3215;Eugene OR 97403-0215;USA</t>
  </si>
  <si>
    <t>Industrial Flooring &amp; Concrete</t>
  </si>
  <si>
    <t>Epoxy Flooring, Polished Concrete, Floor Coatings, Industrial Floor Repair</t>
  </si>
  <si>
    <t>Mobile Fleet Wash Inc.</t>
  </si>
  <si>
    <t>PO Box 12612;Pittsburgh PA 15241 0612;USA</t>
  </si>
  <si>
    <t>Mobile Fleet Washing</t>
  </si>
  <si>
    <t>Truck Washing, Trailer Washing, Pressure Washing, Fleet Cleaning</t>
  </si>
  <si>
    <t>S. CAMEROTA &amp; SONS, INC.</t>
  </si>
  <si>
    <t>245 Shaker Rd, PO BOX 1134;Enfield CT 06083;USA</t>
  </si>
  <si>
    <t>Waste Hauling &amp; Demolition</t>
  </si>
  <si>
    <t>Waste Removal, Demolition, Dumpster Rental, Excavation</t>
  </si>
  <si>
    <t>JAS Industries, LLC</t>
  </si>
  <si>
    <t>140 BOUCHARD ST;MANCHESTER NH 03103-3350;USA</t>
  </si>
  <si>
    <t>Industrial Maintenance &amp; Repair</t>
  </si>
  <si>
    <t>Facility Services, Equipment Repair, Industrial Cleaning</t>
  </si>
  <si>
    <t>Access One Lock Service</t>
  </si>
  <si>
    <t>733 Shore Dr E;Oldsmar FL 34677 4305;USA</t>
  </si>
  <si>
    <t>Locksmith Services</t>
  </si>
  <si>
    <t>Commercial Locksmith, Lock Installation, Key Services</t>
  </si>
  <si>
    <t>J&amp;R Mobile Wash</t>
  </si>
  <si>
    <t>PO Box 413;Troy IL 62294-0413;USA</t>
  </si>
  <si>
    <t>Mobile Pressure Washing</t>
  </si>
  <si>
    <t>Fleet Washing, Building Cleaning, Power Washing</t>
  </si>
  <si>
    <t>Southeast Texas Plumbing, Inc.</t>
  </si>
  <si>
    <t>1650 S 23RD ST;BEAUMONT TX 77707-4304;USA</t>
  </si>
  <si>
    <t>Plumbing Repair, Installation, Commercial Plumbing, Drain Cleaning, Water Heaters</t>
  </si>
  <si>
    <t>Puritan Springs Water</t>
  </si>
  <si>
    <t>1709 N Kickapoo St;Lincoln IL 62656-1366;USA</t>
  </si>
  <si>
    <t>Pact Service Inc</t>
  </si>
  <si>
    <t>1706 MAIN ST;TEWKSBURY MA 01876-2065;USA</t>
  </si>
  <si>
    <t>Commercial HVAC &amp; Plumbing Services</t>
  </si>
  <si>
    <t>HVAC Repair, Plumbing, Commercial Maintenance, Installation Services</t>
  </si>
  <si>
    <t>Medford Alarm &amp; Signal Inc</t>
  </si>
  <si>
    <t>3273 Biddle Rd;Medford OR 97504-4122;USA</t>
  </si>
  <si>
    <t>Burglar Alarms, Fire Alarms, Video Surveillance, Access Control, Monitoring</t>
  </si>
  <si>
    <t>Centre de services scolaire des Aff</t>
  </si>
  <si>
    <t>80, rue Jean-Baptiste-Meilleur;Repentigny QC J6A 3T5;CAN</t>
  </si>
  <si>
    <t>Audio Visual Solutions</t>
  </si>
  <si>
    <t>AV Equipment, Conference Room Systems, Digital Signage, Installation</t>
  </si>
  <si>
    <t>000965</t>
  </si>
  <si>
    <t>Super Save Disposal</t>
  </si>
  <si>
    <t>Waste Collection &amp; Disposal</t>
  </si>
  <si>
    <t>Waste Collection, Recycling, Roll-Off Containers, Dumpster Rental</t>
  </si>
  <si>
    <t>Eric Anderson Trucking</t>
  </si>
  <si>
    <t>14608 285th Ave NW;Zimmerman MN 55398-4201;USA</t>
  </si>
  <si>
    <t>Freight Hauling, Local &amp; Regional Trucking, Delivery Services</t>
  </si>
  <si>
    <t>De Lage Landen Financial</t>
  </si>
  <si>
    <t>PO Box 825736;Philadelphia PA 19182;USA</t>
  </si>
  <si>
    <t>Vendor Finance, Fleet Solutions, Commercial &amp; Retail Finance, Used Equipment Finance</t>
  </si>
  <si>
    <t>Move EZ, Inc.</t>
  </si>
  <si>
    <t>Attn: Venkatesh Ganapathy;855 Grandview Avenue;#140;Columbus OH 43215;USA</t>
  </si>
  <si>
    <t>Residential Moving, Commercial Moving, Long-Distance, Packing</t>
  </si>
  <si>
    <t>Dept. 886636450;PO Box 419267;Kansas City MO 64141;USA</t>
  </si>
  <si>
    <t>Willis Welding &amp; Machine Compny Inc</t>
  </si>
  <si>
    <t>1920 9TH ST SE;ROANOKE VA 24013-2904;USA</t>
  </si>
  <si>
    <t>Welding &amp; Machine Shop Services</t>
  </si>
  <si>
    <t>Welding, Machining, Custom Fabrication, Repair, Industrial Maintenance</t>
  </si>
  <si>
    <t>Earl Coy</t>
  </si>
  <si>
    <t>10950 SAN JOSE BLVD;STE 60;JACKSONVILLE FL 32223-6688;USA</t>
  </si>
  <si>
    <t>Indoor Air Testing, Inc.</t>
  </si>
  <si>
    <t>2008 MAGDALENE MANOR DR;TAMPA FL 33613-1919;USA</t>
  </si>
  <si>
    <t>Indoor Air Quality Testing</t>
  </si>
  <si>
    <t>Mold Testing, Air Quality Analysis, Environmental Assessments, VOC Testing</t>
  </si>
  <si>
    <t>HNST Mold Inspections</t>
  </si>
  <si>
    <t>15 Johnsontown Rd;Sloatsburg NY 10974;USA</t>
  </si>
  <si>
    <t>Mold Inspection &amp; Environmental Testing</t>
  </si>
  <si>
    <t>Mold Testing, Air Quality Testing, Asbestos Testing, HVAC Inspection, Lead Testing, Water Damage Assessment</t>
  </si>
  <si>
    <t>Katherine Beaven</t>
  </si>
  <si>
    <t>2640 SE ANKENY ST;APT 402;PORTLAND OR 97214-1699;USA</t>
  </si>
  <si>
    <t>Black Diamond Experts</t>
  </si>
  <si>
    <t>2001 North Warm Springs Rd;Suite B;Salt Lake City UT 84116;USA</t>
  </si>
  <si>
    <t>HVAC &amp; Plumbing Services</t>
  </si>
  <si>
    <t>HVAC, Plumbing, Electrical, Home Services</t>
  </si>
  <si>
    <t>Morrison Automotive Inc</t>
  </si>
  <si>
    <t>10550 Highway 78 E;Summerville SC 29483-8705;USA</t>
  </si>
  <si>
    <t>Auto Repair, Maintenance, Diagnostics, Parts</t>
  </si>
  <si>
    <t>Mid-State Door Inc</t>
  </si>
  <si>
    <t>602 Cambridge Ave;Syracuse NY 13208-1434;USA</t>
  </si>
  <si>
    <t>Overhead Doors, Commercial Doors, Loading Dock Equipment, Repair</t>
  </si>
  <si>
    <t>Colton Jones</t>
  </si>
  <si>
    <t>6901A N 9TH AVE;PENSACOLA FL 32504-6638;USA</t>
  </si>
  <si>
    <t>General Labor Services</t>
  </si>
  <si>
    <t>Maintenance, Handyman, Property Services</t>
  </si>
  <si>
    <t>Impact Fire Services LLC</t>
  </si>
  <si>
    <t>Po Box 735064;Dallas TX 75373;USA</t>
  </si>
  <si>
    <t>Fire Sprinkler Systems, Fire Alarm Installation, Inspection, Extinguisher Service</t>
  </si>
  <si>
    <t>OptiSigns Inc</t>
  </si>
  <si>
    <t>7676 HILLMONT ST;STE 290N;HOUSTON TX 77040-6425;USA</t>
  </si>
  <si>
    <t>Digital Signage Software</t>
  </si>
  <si>
    <t>Cloud-Based Signage, Content Management, Display Solutions, Remote Management</t>
  </si>
  <si>
    <t>Elizabeth K Wright</t>
  </si>
  <si>
    <t>801 CHESTNUT ST;Apt 703;CLEARWATER FL 33756-5626;USA</t>
  </si>
  <si>
    <t>VIP Fire Sprinklers, Inc</t>
  </si>
  <si>
    <t>700 Columbia Street;Bldg 301A;Brooklyn NY 11231;USA</t>
  </si>
  <si>
    <t>Sprinkler Installation, Fire Sprinkler Design, Inspection, Repair, Standpipe Systems</t>
  </si>
  <si>
    <t>Dedicated Carriers, Inc.</t>
  </si>
  <si>
    <t>4627 Town N Country Blvd;Tampa FL 33615-4523;USA</t>
  </si>
  <si>
    <t>Trucking, Logistics, LTL/FTL Shipping</t>
  </si>
  <si>
    <t>Logistic Transit Solutions, Inc.</t>
  </si>
  <si>
    <t>175 ALABAMA AVE;LEAGUE CITY TX 77573-2680;USA</t>
  </si>
  <si>
    <t>Truckload Shipping, Logistics, Supply Chain Solutions</t>
  </si>
  <si>
    <t>First Fire &amp; Safety Enterprises LLC</t>
  </si>
  <si>
    <t>PO Box 10749;Rock Hill SC 29731;USA</t>
  </si>
  <si>
    <t>Fire Extinguisher Sales &amp; Service, Inspections, Safety Equipment, Code Compliance</t>
  </si>
  <si>
    <t>Central Carolina Scale, Inc</t>
  </si>
  <si>
    <t>5393 Farrell Rd;Sanford NC 27330-7976;USA</t>
  </si>
  <si>
    <t>Commodity Trading &amp; Energy</t>
  </si>
  <si>
    <t>Energy Trading, Commodities, Merchant Trading</t>
  </si>
  <si>
    <t>Pelican Air Commercial Serv</t>
  </si>
  <si>
    <t>11620 54th St N;Clearwater FL 33760-4851;USA</t>
  </si>
  <si>
    <t>Commercial HVAC, Air Conditioning Repair, Refrigeration, Preventive Maintenance</t>
  </si>
  <si>
    <t>American Protective Systems, Inc.</t>
  </si>
  <si>
    <t>545 Ballough Rd;Daytona Beach FL 32114-2205;USA</t>
  </si>
  <si>
    <t>Commercial Security, Fire Alarms, Video Surveillance, Access Control, 24/7 Monitoring</t>
  </si>
  <si>
    <t>A&amp;B Portable Toilets, LLC</t>
  </si>
  <si>
    <t>2544 Alamance Church Rd;Greensboro NC 27406;USA</t>
  </si>
  <si>
    <t>Portable Toilets, Event Sanitation, Rental Services</t>
  </si>
  <si>
    <t>Suri Towing LLC</t>
  </si>
  <si>
    <t>6625 MAUNA LOA BLVD;SARASOTA FL 34241-5732;USA</t>
  </si>
  <si>
    <t>Vehicle Towing, Roadside Assistance, Transport</t>
  </si>
  <si>
    <t>GA Cayman Holdco LLC</t>
  </si>
  <si>
    <t>26711 NORTHWESTERN HWY;STE 600;SOUTHFIELD MI 48033-2139;USA</t>
  </si>
  <si>
    <t>Burglar Alarm Monitoring, Video Surveillance, Access Control, Fire Detection</t>
  </si>
  <si>
    <t>000976</t>
  </si>
  <si>
    <t>Quench Canada Inc.</t>
  </si>
  <si>
    <t>PO Box 12225;Station A;Toronto ON M5W 0J5;CAN</t>
  </si>
  <si>
    <t>AA Advance Air Inc.</t>
  </si>
  <si>
    <t>1920 NW 32nd St;Pompano Beach FL 33064-1304;USA</t>
  </si>
  <si>
    <t>Air Conditioning, Heating, Ventilation Systems</t>
  </si>
  <si>
    <t>Allstate Fire Protection</t>
  </si>
  <si>
    <t>94-1043 Hanauna St;Waipahu HI 96797-4702;USA</t>
  </si>
  <si>
    <t>Fire Sprinkler Systems, Inspections, Installation, Maintenance</t>
  </si>
  <si>
    <t>Military Officers Assoc of America</t>
  </si>
  <si>
    <t>201 N Washington St;Alexander VA 22314;USA</t>
  </si>
  <si>
    <t>Military Advocacy &amp; Membership Organization</t>
  </si>
  <si>
    <t>Advocacy, Career Transition, Member Benefits, Insurance, Financial Services</t>
  </si>
  <si>
    <t>Boston Area Door Co</t>
  </si>
  <si>
    <t>75 1st St;Unit 3;Bridgewater MA 02324-1059;USA</t>
  </si>
  <si>
    <t>Door Installation, Repair, Industrial Doors, Service</t>
  </si>
  <si>
    <t>Summit Fire Protection</t>
  </si>
  <si>
    <t>PO Box 851675;Minneapolis MN 55485;USA</t>
  </si>
  <si>
    <t>Fire Sprinkler Installation, Inspection, Design, Maintenance, Fire Protection</t>
  </si>
  <si>
    <t>Cardinal Integrated Systems</t>
  </si>
  <si>
    <t>PO Box 37385;Louisville KY 40233;USA</t>
  </si>
  <si>
    <t>Alaska Freight &amp; Trucking</t>
  </si>
  <si>
    <t>LTL &amp; FTL Freight, Heavy Haul, Hazmat, Multi-Modal Logistics, Warehousing</t>
  </si>
  <si>
    <t>Shalysse Webster</t>
  </si>
  <si>
    <t>225 W 690 N;LOGAN UT 84321-4075;USA</t>
  </si>
  <si>
    <t>PHPA</t>
  </si>
  <si>
    <t>Attn: Darryl Dionne;3964 Portage Road;Niagara Falls ON L2J 2K9;CAN</t>
  </si>
  <si>
    <t>Professional Hockey Players Association</t>
  </si>
  <si>
    <t>Player Representation, Benefits Administration, Labor Relations</t>
  </si>
  <si>
    <t>Kenron Industrial AC, .</t>
  </si>
  <si>
    <t>299 Gregory St;Rochester NY 14620-1305;USA</t>
  </si>
  <si>
    <t>Industrial Air Conditioning Services</t>
  </si>
  <si>
    <t>HVAC Installation, Maintenance, Refrigeration, Industrial Climate Control</t>
  </si>
  <si>
    <t>Maintenance One 1, Inc</t>
  </si>
  <si>
    <t>13412 FREEMAN CT;DOVER FL 33527-4029;USA</t>
  </si>
  <si>
    <t>Janitorial, Floor Care, Facility Maintenance</t>
  </si>
  <si>
    <t>Sierra Springs</t>
  </si>
  <si>
    <t>PO BOX 660579;Dallas TX 75266-0579;USA</t>
  </si>
  <si>
    <t>Water Delivery, Water Coolers, Coffee Service, Filtration Systems</t>
  </si>
  <si>
    <t>AQUA 3 LLC</t>
  </si>
  <si>
    <t>4446 Anaheim Ave NE;Albuquerque NM 87113 1663;USA</t>
  </si>
  <si>
    <t>Water Utility Services</t>
  </si>
  <si>
    <t>Water Treatment, Utilities, Environmental Services</t>
  </si>
  <si>
    <t>Analytical Resources, Inc</t>
  </si>
  <si>
    <t>4611 S 134th Pl;Ste 100;Seattle WA 98168-3212;USA</t>
  </si>
  <si>
    <t>Environmental Testing Laboratory</t>
  </si>
  <si>
    <t>Chemical Analysis, Water Testing, Soil Testing, Environmental Consulting</t>
  </si>
  <si>
    <t>MSS Solutions, LLC</t>
  </si>
  <si>
    <t>11524 WILMAR BLVD;CHARLOTTE NC 28273-6448;USA</t>
  </si>
  <si>
    <t>Electrical &amp; Communication Solutions</t>
  </si>
  <si>
    <t>Structured Cabling, Electrical Contracting, Audio/Visual, Security Systems</t>
  </si>
  <si>
    <t>Adam Stacharowkski</t>
  </si>
  <si>
    <t>738 WOODLAND FARMS CIR;AYNOR SC 29511-3485;USA</t>
  </si>
  <si>
    <t>eCommerce Marketing Platform</t>
  </si>
  <si>
    <t>Social Commerce, Referral Marketing, Customer Recovery</t>
  </si>
  <si>
    <t>DFH Company</t>
  </si>
  <si>
    <t>4520 Robards Ln;Louisville KY 40218;USA</t>
  </si>
  <si>
    <t>Facility Services &amp; Supply</t>
  </si>
  <si>
    <t>Janitorial Supplies, Facility Maintenance, Building Products</t>
  </si>
  <si>
    <t>MakeMyMove.com</t>
  </si>
  <si>
    <t>215 E 38th Street;Indianapolis IN 46205;USA</t>
  </si>
  <si>
    <t>Relocation Incentive Platform</t>
  </si>
  <si>
    <t>Community Marketing, Remote Worker Incentives, Relocation Services</t>
  </si>
  <si>
    <t>Parrish Cleaning Services, Inc</t>
  </si>
  <si>
    <t>PO Box 1023;Smithfield NC 27577-1023;USA</t>
  </si>
  <si>
    <t>Modern Piping, Inc.</t>
  </si>
  <si>
    <t>500 WALFORD RD;CEDAR RAPIDS IA 52404-8921;USA</t>
  </si>
  <si>
    <t>Mechanical &amp; Piping Contracting</t>
  </si>
  <si>
    <t>Industrial Piping, HVAC, Process Equipment, Sheet Metal, Plumbing</t>
  </si>
  <si>
    <t>000587</t>
  </si>
  <si>
    <t>Swan Dust Control LTD</t>
  </si>
  <si>
    <t>35 University Ave East Unit 3;Waterloo ON N2J 2V9;CAN</t>
  </si>
  <si>
    <t>Dust Control &amp; Mat Services</t>
  </si>
  <si>
    <t>Dust Suppression, Entry Mats, Industrial Mats, Facility Supplies, Linen Services</t>
  </si>
  <si>
    <t>Elite Towing LLC</t>
  </si>
  <si>
    <t>2168 S Live Oak Dr;Moncks Corner SC 29461-8700;USA</t>
  </si>
  <si>
    <t>Archibald Relocation</t>
  </si>
  <si>
    <t>Attn:Rob Archibald;4145 SW Watson Ave ;Ste 350;Beaverton OR 97005;USA</t>
  </si>
  <si>
    <t>Household Moving, Rental Services, Real Estate, Settling-In Services</t>
  </si>
  <si>
    <t>INS Insurance, Inc.</t>
  </si>
  <si>
    <t>PO BOX 74008750;CHICAGO IL 60674-8750;USA</t>
  </si>
  <si>
    <t>Commercial Insurance, Business Coverage, Risk Management</t>
  </si>
  <si>
    <t>Wellington Dock &amp; Door Ltd.</t>
  </si>
  <si>
    <t>247 Shirley Ave Unit 101;Kitchener ON N2B 2E1;CAN</t>
  </si>
  <si>
    <t>Dock &amp; Door Services</t>
  </si>
  <si>
    <t>Loading Dock Equipment, Overhead Doors, Installation, Repair, Maintenance</t>
  </si>
  <si>
    <t>Appalachian Springs Bottles Water</t>
  </si>
  <si>
    <t>PO Box 40192;Charleston SC 29423-0192;USA</t>
  </si>
  <si>
    <t>Water Delivery, Office Water Service</t>
  </si>
  <si>
    <t>Ace Transportation Systems, LLC</t>
  </si>
  <si>
    <t>5601 S ORANGE BLOSSOM TRL;ORLANDO FL 32839-3353;USA</t>
  </si>
  <si>
    <t>Aviation Appearance Services</t>
  </si>
  <si>
    <t>Aircraft Cleaning, Lavatory Service, Potable Water, Flammability Testing</t>
  </si>
  <si>
    <t>DTI Transport LTD</t>
  </si>
  <si>
    <t>102-8277 129 ST;SURREY BC V3W 0A6;CAN</t>
  </si>
  <si>
    <t>Cross-Border Shipping, LTL, Truckload, Logistics</t>
  </si>
  <si>
    <t>Overhead Door Co. of Harrisburg-Yor</t>
  </si>
  <si>
    <t>576 Grandview Drive;Lewisberry PA 17339;USA</t>
  </si>
  <si>
    <t>Uinta Disposal</t>
  </si>
  <si>
    <t>2255 E Sunnyside Ave;#58829;Salt Lake City UT 84158;USA</t>
  </si>
  <si>
    <t>Waste Hauling, Dumpster Rental, Roll-Off Containers, Recycling, Debris Removal</t>
  </si>
  <si>
    <t>Overhead Door of Lansing</t>
  </si>
  <si>
    <t>2045 E M78;East Lansing MI 48823;USA</t>
  </si>
  <si>
    <t>Hums Hardware &amp; Rental</t>
  </si>
  <si>
    <t>3901 E Broadway St;North Little Rock AR 72114-6454;USA</t>
  </si>
  <si>
    <t>Hardware &amp; Equipment Rental</t>
  </si>
  <si>
    <t>Tools, Building Materials, Equipment Rental, Contractor Supplies</t>
  </si>
  <si>
    <t>Centennial High School Athletic Boo</t>
  </si>
  <si>
    <t>8601 HAGEMAN RD;BAKERSFIELD CA 93312-3957;USA</t>
  </si>
  <si>
    <t>Village Of Westchester</t>
  </si>
  <si>
    <t>10300 W Roosevelt Rd;Westchester IL 60154 2568;USA</t>
  </si>
  <si>
    <t>Municipal Government</t>
  </si>
  <si>
    <t>Municipal Services, Permits, Taxes, Public Works, Community Services</t>
  </si>
  <si>
    <t>Capital City Moving &amp; Storage</t>
  </si>
  <si>
    <t>1400 Village Square Blvd;Unit 3-219;Tallahassee FL 32312 1250;USA</t>
  </si>
  <si>
    <t>Vehicle Reimbursement Platform</t>
  </si>
  <si>
    <t>FAVR Programs, Mileage Tracking, Fleet Reimbursement, Tax Compliance, Driver Insurance Verification</t>
  </si>
  <si>
    <t>Dixie Electric Company, Inc.</t>
  </si>
  <si>
    <t>580 Trade Center St;Montgomery AL 36108-2108;USA</t>
  </si>
  <si>
    <t>Electrical Installation, Maintenance, Industrial Electrical</t>
  </si>
  <si>
    <t>Jose Garcia dba Edens Lawn Service</t>
  </si>
  <si>
    <t>12402 County Road 1240;Wolfforth TX 79382-7088;USA</t>
  </si>
  <si>
    <t>United Mechanical Corporation</t>
  </si>
  <si>
    <t>2811 Central Avenue;Charlotte NC 28205;USA</t>
  </si>
  <si>
    <t>HVAC, Plumbing, Piping, Mechanical Systems, Design-Build, Service &amp; Maintenance</t>
  </si>
  <si>
    <t>Taylor Enterprises</t>
  </si>
  <si>
    <t>135 N Church Street;Suite 400;Spartanburg SC 29306;USA</t>
  </si>
  <si>
    <t>Business Consulting, Professional Services, Management Consulting</t>
  </si>
  <si>
    <t>Danias Cleaning Services</t>
  </si>
  <si>
    <t>3743 East Verrue Avenue;Fresno CA 93702;USA</t>
  </si>
  <si>
    <t>Rochelle Hayden</t>
  </si>
  <si>
    <t>15 Purdy Crescent;North York ON M9N 3X8;CAN</t>
  </si>
  <si>
    <t>Duncan Bolt Company</t>
  </si>
  <si>
    <t>PO Box 6538;Pasadena CA 91109-6502;USA</t>
  </si>
  <si>
    <t>Bolts, Nuts, Screws, Specialty Fasteners, Custom Orders</t>
  </si>
  <si>
    <t>RickTheWelder Fabrication, LLC</t>
  </si>
  <si>
    <t>1210 Dexter Corner Rd;Townsend DE 19734-9661;USA</t>
  </si>
  <si>
    <t>Custom Welding, Steel Fabrication, Mobile Welding, Structural Work</t>
  </si>
  <si>
    <t>Mettler-Toledo, LLC</t>
  </si>
  <si>
    <t>22670 Network Pl;Chicago IL 60673-1226;USA</t>
  </si>
  <si>
    <t>Precision Instruments &amp; Weighing</t>
  </si>
  <si>
    <t>Laboratory Balances, Industrial Scales, Process Analytics, Product Inspection, Pipettes</t>
  </si>
  <si>
    <t>Four Quarters Inc</t>
  </si>
  <si>
    <t>2601 River Rd;Cinnaminson NJ 08077 1623;USA</t>
  </si>
  <si>
    <t>Janitorial Supplies, Industrial Chemicals, Paper Products, Cleaning Equipment</t>
  </si>
  <si>
    <t>Minister Of Finance</t>
  </si>
  <si>
    <t>Revenue OPS &amp; Client Svcs;33 KING ST W;PO BOX 620;Oshawa ON L1H 8E9;CAN</t>
  </si>
  <si>
    <t>Government Revenue Services</t>
  </si>
  <si>
    <t>Tax Collection, Licensing, Provincial Services</t>
  </si>
  <si>
    <t>Hamburg Overhead Door Inc</t>
  </si>
  <si>
    <t>5659 Herman Hill Rd;Hamburg NY 14075;USA</t>
  </si>
  <si>
    <t>Garage Door Installation, Repair, Maintenance, Commercial Doors</t>
  </si>
  <si>
    <t>Loyal Window Cleaning, Inc.</t>
  </si>
  <si>
    <t>892 Barcelona PI;Walnut CA 91789;USA</t>
  </si>
  <si>
    <t>Window Cleaning Services</t>
  </si>
  <si>
    <t>Commercial Window Cleaning, Residential Window Cleaning, High-Rise Cleaning</t>
  </si>
  <si>
    <t>Fleet Core Inc</t>
  </si>
  <si>
    <t>18575 Stage Run Rd;Apt 206;Parker CO 80134-4963;USA</t>
  </si>
  <si>
    <t>Fleet Consulting &amp; Support</t>
  </si>
  <si>
    <t>Fleet Management Consulting, Vehicle Tracking, Telematics, Cost Analysis</t>
  </si>
  <si>
    <t>Town of Guilderland</t>
  </si>
  <si>
    <t>PO BOX 339;GUILDERLAND NY 12084-0339;USA</t>
  </si>
  <si>
    <t>Bob Kline Quality Metals, Inc</t>
  </si>
  <si>
    <t>2511 DIVISION AVE;WEST PALM BEACH FL 33407-5345;USA</t>
  </si>
  <si>
    <t>Metal Supply, Steel Fabrication, Industrial Metals</t>
  </si>
  <si>
    <t>Shambaugh &amp; Son, LP</t>
  </si>
  <si>
    <t>PO Box 1287;Fort Wayne IN 46801-1287;USA</t>
  </si>
  <si>
    <t>HVAC, Plumbing, Piping, Process Systems, Design-Build, Sheet Metal</t>
  </si>
  <si>
    <t>Modern Pest Services LLC</t>
  </si>
  <si>
    <t>100 Pleasant St;Brunswick ME 04011;USA</t>
  </si>
  <si>
    <t>Residential Pest Control, Commercial Pest Control, Wildlife Control, Termite Treatment</t>
  </si>
  <si>
    <t>Mobile Fleet Wash - CA</t>
  </si>
  <si>
    <t>PO Box 3312;La Habra CA 90631;USA</t>
  </si>
  <si>
    <t>Larry Downs Jr. Plumbing</t>
  </si>
  <si>
    <t>12156 HAVBURG DR;PENSACOLA FL 32506-8110;USA</t>
  </si>
  <si>
    <t>Plumbing Repair, Installation, Drain Cleaning, Water Heater Service</t>
  </si>
  <si>
    <t>House of Doors</t>
  </si>
  <si>
    <t>PO Box #147;Brookfield IL 60513;USA</t>
  </si>
  <si>
    <t>Commercial Doors, Door Installation, Repair, Maintenance, Hardware</t>
  </si>
  <si>
    <t>24 Hour LTD</t>
  </si>
  <si>
    <t>8911 Directors Row;Dallas TX 75247-5309;USA</t>
  </si>
  <si>
    <t>Heating, Air Conditioning, Energy Management, Building Automation</t>
  </si>
  <si>
    <t>Apple Valley Scale Company Inc</t>
  </si>
  <si>
    <t>PO Box 3434;Winchester VA 22604;USA</t>
  </si>
  <si>
    <t>Industrial Scale Services</t>
  </si>
  <si>
    <t>Scale Sales, Calibration, Repair</t>
  </si>
  <si>
    <t>Rieck Services</t>
  </si>
  <si>
    <t>PO Box 13565;Dayton OH 45413-0565;USA</t>
  </si>
  <si>
    <t>HVAC &amp; Mechanical Services</t>
  </si>
  <si>
    <t>HVAC Repair, Commercial Refrigeration, Mechanical Maintenance, Preventive Service</t>
  </si>
  <si>
    <t>Reward Gateway (US) Inc</t>
  </si>
  <si>
    <t>75 STATE ST;STE 1705;BOSTON MA 02109-1827;USA</t>
  </si>
  <si>
    <t>Employee Engagement &amp; Recognition Platform</t>
  </si>
  <si>
    <t>Employee Rewards, Benefits Communication, Surveys, Wellness Programs, Peer Recognition</t>
  </si>
  <si>
    <t>Haight Fire Equipment Supply</t>
  </si>
  <si>
    <t>199 Little Britain Rd;Newburgh NY 12550-5114;USA</t>
  </si>
  <si>
    <t>Fire Protection Equipment</t>
  </si>
  <si>
    <t>Fire Extinguishers, Safety Equipment, Inspections, Compliance</t>
  </si>
  <si>
    <t>Tate Construction LLC</t>
  </si>
  <si>
    <t>6117 N Sullivan Rd;Wichita KS 67204-1953;USA</t>
  </si>
  <si>
    <t>Commercial Construction, Renovation, Site Work, Project Management</t>
  </si>
  <si>
    <t>Allied Electrical Syst &amp; Solutions</t>
  </si>
  <si>
    <t>1427 Lindbergh Dr;Beaumont TX 77707-4128;USA</t>
  </si>
  <si>
    <t>Low Voltage Electrical Contractor</t>
  </si>
  <si>
    <t>Fire/Burglar Alarms, CCTV, Access Control, Voice/Data Cabling</t>
  </si>
  <si>
    <t>Blue Summit Water, LLC</t>
  </si>
  <si>
    <t>PO Box 2650;Valdosta GA 31604;USA</t>
  </si>
  <si>
    <t>Water Delivery, Bottled Water, Water Treatment</t>
  </si>
  <si>
    <t>Master Protection LP dba Firemaster</t>
  </si>
  <si>
    <t>Dept 1019;PO Box 121019;Dallas TX 75312;USA</t>
  </si>
  <si>
    <t>Fire Sprinkler Installation, Fire Alarm Systems, Inspections, Maintenance</t>
  </si>
  <si>
    <t>R.W. Truck Equipment</t>
  </si>
  <si>
    <t>1100 Route 109;Farmingdale NY 11735 4717;USA</t>
  </si>
  <si>
    <t>Truck Equipment &amp; Upfitting</t>
  </si>
  <si>
    <t>Truck Bodies, Liftgates, Snowplows, Upfitting, Fleet Solutions</t>
  </si>
  <si>
    <t>Pomykal Heating and Cooling LLC</t>
  </si>
  <si>
    <t>16925 TX-317;Moody TX 76557;USA</t>
  </si>
  <si>
    <t>Heating Repair, Air Conditioning, Furnace Installation, HVAC Maintenance</t>
  </si>
  <si>
    <t>ABC FIRE EQUIPMENT CORP</t>
  </si>
  <si>
    <t>5370 JAEGER RD;NAPLES FL 34109-5803;USA</t>
  </si>
  <si>
    <t>ABC Fire Equipment Inc</t>
  </si>
  <si>
    <t>206 Hargrove Rd E;Tuscaloosa AL 35401-5028;USA</t>
  </si>
  <si>
    <t>Schetter Electric LLC</t>
  </si>
  <si>
    <t>471 Bannon St;Sacramento CA 95811-0203;USA</t>
  </si>
  <si>
    <t>Electrical Contracting Services</t>
  </si>
  <si>
    <t>Commercial Wiring, Industrial Electrical, Lighting, Panel Upgrades</t>
  </si>
  <si>
    <t>Custom Security Systems, Inc.</t>
  </si>
  <si>
    <t>PO Box 15628;Baton Rouge LA 70815;USA</t>
  </si>
  <si>
    <t>Alarm Monitoring, Video Surveillance, Access Controls</t>
  </si>
  <si>
    <t>Focus Relocation</t>
  </si>
  <si>
    <t>109 WESTPARK DR;Ste 310;BRENTWOOD TN 37027-5063;USA</t>
  </si>
  <si>
    <t>Domestic &amp; International Relocation, Program Management, Lump Sum, Service Provider Network</t>
  </si>
  <si>
    <t>Heatherly Bros Auto Parts and Svcs</t>
  </si>
  <si>
    <t>10418 AUGUSTA RD;PELZER SC 29669-9282;USA</t>
  </si>
  <si>
    <t>Auto Parts &amp; Salvage</t>
  </si>
  <si>
    <t>Used Auto Parts, Vehicle Salvage, Repair Services</t>
  </si>
  <si>
    <t>Quick Fix Garage Door Repair</t>
  </si>
  <si>
    <t>185 CHANNEL ST;APT 813;SAN FRANCISCO CA 94158-1712;USA</t>
  </si>
  <si>
    <t>Garage Door Repair Services</t>
  </si>
  <si>
    <t>Garage Door Repair, Spring Replacement, Opener Repair, Emergency Service</t>
  </si>
  <si>
    <t>Interhire LLC</t>
  </si>
  <si>
    <t>127 SHETLAND WOODS DR;MYRTLE BEACH SC 29577-9007;USA</t>
  </si>
  <si>
    <t>Temporary Staffing, Workforce Solutions, Recruiting, Hiring</t>
  </si>
  <si>
    <t>Kauffs of Ft. Pierce, Inc</t>
  </si>
  <si>
    <t>8920 GLADES CUT OFF RD;PORT SAINT LUCIE FL 34986-2701;USA</t>
  </si>
  <si>
    <t>Heavy Duty Towing, Roadside Assistance, Vehicle Transport</t>
  </si>
  <si>
    <t>Overhead Door Of Ft Myers</t>
  </si>
  <si>
    <t>2325 Crystal Dr;Fort Myers FL 33907 4011;USA</t>
  </si>
  <si>
    <t>Fleet Service of Tulsa</t>
  </si>
  <si>
    <t>PO Box 59001;Dept. 4026;Tulsa OK 74159-9001;USA</t>
  </si>
  <si>
    <t>Truck Repair, Preventive Maintenance, Fleet Maintenance, Diesel Service</t>
  </si>
  <si>
    <t>Northern Coast Lift Truck, Inc.</t>
  </si>
  <si>
    <t>9449 MERCANTILE DR;MENTOR OH 44060-4524;USA</t>
  </si>
  <si>
    <t>Pro-Tech Fire &amp; Safety Inc</t>
  </si>
  <si>
    <t>BAY7-624A BEAVER DAM RD NE;CALGARY AB T2K 6J9;CAN</t>
  </si>
  <si>
    <t>Fire Protection Equipment &amp; Safety</t>
  </si>
  <si>
    <t>Fire Extinguishers, Fire Suppression Systems, Safety Inspections, Emergency Lighting</t>
  </si>
  <si>
    <t>Abenity</t>
  </si>
  <si>
    <t>725 Cool Springs Blvd;Suite 600;Franklin TN 37067-2702;USA</t>
  </si>
  <si>
    <t>Employee Perks Platform</t>
  </si>
  <si>
    <t>Corporate Discounts, Employee Benefits, Savings Programs</t>
  </si>
  <si>
    <t>Access Portable Toilets</t>
  </si>
  <si>
    <t>3753 Ashley Phosphate Rd;Charleston SC 29418-8502;USA</t>
  </si>
  <si>
    <t>Portable Toilets, Event Sanitation, Rental</t>
  </si>
  <si>
    <t>Americas Garage Door Company</t>
  </si>
  <si>
    <t>7669 N Loop Dr;El Paso TX 79915-2904;USA</t>
  </si>
  <si>
    <t>Overhead Doors, Rolling Steel Doors, Gate Openers, Repair &amp; Installation</t>
  </si>
  <si>
    <t>Insley McEntee Equipment Co .</t>
  </si>
  <si>
    <t>1112 Emerson St;Rochester NY 14606-3003;USA</t>
  </si>
  <si>
    <t>Material Handling Equipment, Conveyor Systems, Parts &amp; Service</t>
  </si>
  <si>
    <t>Hotsy-Clean, LLC</t>
  </si>
  <si>
    <t>139 Bay Street;Bridgeport CT 06607;USA</t>
  </si>
  <si>
    <t>Pressure Washer Rentals, Parts, Cleaning Chemicals, Equipment Maintenance</t>
  </si>
  <si>
    <t>The Hiller Companies</t>
  </si>
  <si>
    <t>PO Box 935434;Atlanta GA 31193;USA</t>
  </si>
  <si>
    <t>Fire Sprinklers, Fire Alarms, Fire Suppression, Extinguishers, Inspections, Emergency Service</t>
  </si>
  <si>
    <t>Alfred L Schiller Hardware Inc.</t>
  </si>
  <si>
    <t>11525 BLANKENBAKER ACCESS DR;LOUISVILLE KY 40299-6420;USA</t>
  </si>
  <si>
    <t>Architectural Hardware Distribution</t>
  </si>
  <si>
    <t>Door Hardware, Security Products, Metal Doors, Building Supplies</t>
  </si>
  <si>
    <t>TeamViewer GmbH</t>
  </si>
  <si>
    <t>PO Box 743135;D-73037 Goppingen;Atlanta GA 30374-3135;USA</t>
  </si>
  <si>
    <t>Remote Access &amp; IT Support Software</t>
  </si>
  <si>
    <t>Remote Desktop, Remote Support, IoT Management, AR-Based Support, Enterprise Connectivity</t>
  </si>
  <si>
    <t>Shivers Towing of MS Inc.</t>
  </si>
  <si>
    <t>1333 N LAMAR BLVD;OXFORD MS 38655-2846;USA</t>
  </si>
  <si>
    <t>Jordan Highsmith</t>
  </si>
  <si>
    <t>3703 E VALLEY DR;MISSOURI CITY TX 77459-4305;USA</t>
  </si>
  <si>
    <t>Gulf Storage Partners Lp</t>
  </si>
  <si>
    <t>18804 Kenswick Dr;Humble TX 77338 7900;USA</t>
  </si>
  <si>
    <t>Self-Storage Rental, Climate-Controlled Storage, Business Storage</t>
  </si>
  <si>
    <t>Benco Industrial Equipment, LLC</t>
  </si>
  <si>
    <t>1140 Mid Rivers Industrial Dr.;Saint Peters MO 63376;USA</t>
  </si>
  <si>
    <t>Industrial Equipment</t>
  </si>
  <si>
    <t>Material Handling Equipment, Forklift Sales &amp; Service, Parts</t>
  </si>
  <si>
    <t>Fleet Fuel Services</t>
  </si>
  <si>
    <t>383 Schuylkill Road;Phoenixville PA 19460;USA</t>
  </si>
  <si>
    <t>Fleet Fuel Delivery Services</t>
  </si>
  <si>
    <t>Mobile Fuel Delivery, Diesel Fueling, Fleet Fueling, Fuel Management</t>
  </si>
  <si>
    <t>Korte Does it All</t>
  </si>
  <si>
    <t>10920 Stellhorn Rd;New Haven IN 46774;USA</t>
  </si>
  <si>
    <t>Home &amp; Building Services</t>
  </si>
  <si>
    <t>Plumbing, Electrical, HVAC, Remodeling, Handyman Services</t>
  </si>
  <si>
    <t>Quitman Tires</t>
  </si>
  <si>
    <t>3478 Lamar Ave;Memphis TN 38118-1612;USA</t>
  </si>
  <si>
    <t>Tomatow LLC</t>
  </si>
  <si>
    <t>1322 W Irving Park Rd;Bensenville IL 60106-1718;USA</t>
  </si>
  <si>
    <t>Vehicle Towing, Roadside Assistance, Transport, Accident Recovery</t>
  </si>
  <si>
    <t>New Hampshire Peterbilt Inc.</t>
  </si>
  <si>
    <t>1548 ROUTE 3A;BOW NH 03304-4032;USA</t>
  </si>
  <si>
    <t>Truck Sales &amp; Service (Peterbilt)</t>
  </si>
  <si>
    <t>New &amp; Used Trucks, Parts, Service, Leasing, Body Shop</t>
  </si>
  <si>
    <t>000531</t>
  </si>
  <si>
    <t>SAFElink Security</t>
  </si>
  <si>
    <t>13 Kenview Blvd, Unit 10;Brampton ON L6T 5K9;CAN</t>
  </si>
  <si>
    <t>Alarm Monitoring, Video Surveillance, Access Control, Intrusion Detection</t>
  </si>
  <si>
    <t>Pacific Office Automation</t>
  </si>
  <si>
    <t>14747 NW Greenbrier Pkwy;Beaverton OR 97006-5601;USA</t>
  </si>
  <si>
    <t>Office Equipment &amp; Managed IT Services</t>
  </si>
  <si>
    <t>Managed Print Services, Managed IT, Unified Communications, Production Print, Document Imaging</t>
  </si>
  <si>
    <t>Weber Tires and Services LLC</t>
  </si>
  <si>
    <t>10900 Main St;Fairfax VA 22030-4704;USA</t>
  </si>
  <si>
    <t>Tire Sales, Tire Repair, Fleet Service, Automotive Repair, Alignment</t>
  </si>
  <si>
    <t>Ads Security</t>
  </si>
  <si>
    <t>PO Box 531687;Atlanta GA 30353-1687;USA</t>
  </si>
  <si>
    <t>Security Systems &amp; Automation</t>
  </si>
  <si>
    <t>Burglar Alarms, CCTV Surveillance, Home Automation, Access Control</t>
  </si>
  <si>
    <t>New Haven Moving Equipment</t>
  </si>
  <si>
    <t>PO Box 85167;Chicago IL 60689;USA</t>
  </si>
  <si>
    <t>Moving Equipment &amp; Supplies</t>
  </si>
  <si>
    <t>Moving Dollies, Hand Trucks, Packing Supplies, Warehouse Equipment</t>
  </si>
  <si>
    <t>Waterco of the Central States dba Culligan of Troy</t>
  </si>
  <si>
    <t>6 Spring Ave;Troy NY 12180;USA</t>
  </si>
  <si>
    <t>Water Treatment &amp; Delivery</t>
  </si>
  <si>
    <t>Water Softeners, Water Filtration, Bottled Water, Delivery Service, Reverse Osmosis</t>
  </si>
  <si>
    <t>J&amp;J Plumbing, Heating, &amp; Cooling</t>
  </si>
  <si>
    <t>61 South Seiberling Street;Akron OH 44305;USA</t>
  </si>
  <si>
    <t>Plumbing Repair, Heating, Air Conditioning, Water Heaters</t>
  </si>
  <si>
    <t>Confires Fire Protection Services</t>
  </si>
  <si>
    <t>910 Oak Tree Ave;South Plainfield NJ 07080 5142;USA</t>
  </si>
  <si>
    <t>Sprinkler Systems, Fire Alarm Installation, Inspections, Maintenance</t>
  </si>
  <si>
    <t>Atlas Fence Company, Inc.</t>
  </si>
  <si>
    <t>16221 Aldine Westfield Rd;Houston TX 77032;USA</t>
  </si>
  <si>
    <t>Fence Installation, Chain Link, Wood Fencing, Gate Installation</t>
  </si>
  <si>
    <t>International Fire Protection Inc.</t>
  </si>
  <si>
    <t>PO Box 412007;Boston MA 02241-2007;USA</t>
  </si>
  <si>
    <t>Sprinkler Systems, Fire Suppression, Inspection, Maintenance</t>
  </si>
  <si>
    <t>Relocity, Inc.</t>
  </si>
  <si>
    <t>10250 CONSTELLATION BLVD;Ste 2300;LOS ANGELES CA 90067-6200;USA</t>
  </si>
  <si>
    <t>Global Mobility &amp; Relocation Technology</t>
  </si>
  <si>
    <t>Relocation Technology, Destination Services, Immigration Support, Global Mobility Management</t>
  </si>
  <si>
    <t>Sabass Amaya dba CyServices</t>
  </si>
  <si>
    <t>1311 Lakeview Drive;Lockhart TX 78644;USA</t>
  </si>
  <si>
    <t>IT &amp; Cleaning Services</t>
  </si>
  <si>
    <t>IT Services, Commercial Cleaning, Facility Maintenance</t>
  </si>
  <si>
    <t>Malcohm Massie</t>
  </si>
  <si>
    <t>2181 LONZY LN;CONWAY SC 29526-8047;USA</t>
  </si>
  <si>
    <t>Garland Fire Systems, Inc.</t>
  </si>
  <si>
    <t>33 Tec St;Hicksville NY 11801-3618;USA</t>
  </si>
  <si>
    <t>Fire Suppression Systems</t>
  </si>
  <si>
    <t>Fire Sprinkler Installation, Inspection, Fire Alarm Systems, Extinguisher Service</t>
  </si>
  <si>
    <t>Priority 1</t>
  </si>
  <si>
    <t>PO Box 5621;Fort Wayne IN 46895-5621;USA</t>
  </si>
  <si>
    <t>Janitorial, Building Maintenance, Facility Services</t>
  </si>
  <si>
    <t>Saenz Material &amp; Handling</t>
  </si>
  <si>
    <t>12758 Gambusino Ave;El Paso TX 79938-8060;USA</t>
  </si>
  <si>
    <t>Forklift Sales, Forklift Rental, Parts &amp; Service, Material Handling</t>
  </si>
  <si>
    <t>Fire Equipment Company Inc</t>
  </si>
  <si>
    <t>2991 Momentum Pl;Chicago IL 60689-5329;USA</t>
  </si>
  <si>
    <t>Fire Extinguishers, Suppression Systems, Inspections, Safety Equipment</t>
  </si>
  <si>
    <t>Staples Contract&amp;Commercial</t>
  </si>
  <si>
    <t>PO Box 95230;Chicago IL 60694;USA</t>
  </si>
  <si>
    <t>Southern Security &amp; Fire, Inc.</t>
  </si>
  <si>
    <t>403 Flomich St;Unit E;Holly Hill FL 32117-1600;USA</t>
  </si>
  <si>
    <t>Fire Alarms, Security Systems, Monitoring, Sprinkler Systems, Inspections</t>
  </si>
  <si>
    <t>Northside Service, Inc.</t>
  </si>
  <si>
    <t>226 Russel St;Lansing MI 48906;USA</t>
  </si>
  <si>
    <t>Heating, Air Conditioning, Plumbing, Mechanical Repair</t>
  </si>
  <si>
    <t>Quickset Auto Glass</t>
  </si>
  <si>
    <t>10655 E 120th Ct;Apt R;Henderson CO 80640-9141;USA</t>
  </si>
  <si>
    <t>Windshield Repair, Auto Glass Replacement, Mobile Service</t>
  </si>
  <si>
    <t>Great Works Perks Inc.</t>
  </si>
  <si>
    <t>17777 Main Street;Suite E-2;Irvine CA 92614;USA</t>
  </si>
  <si>
    <t>Corporate Discounts, Employee Benefits, Voluntary Benefits</t>
  </si>
  <si>
    <t>Cactus Portable Storage</t>
  </si>
  <si>
    <t>Milbert Company DBA Culligan Water</t>
  </si>
  <si>
    <t>1801 50th St E;Inver Grove Heights MN 55077-1269;USA</t>
  </si>
  <si>
    <t>Water Treatment &amp; Filtration</t>
  </si>
  <si>
    <t>Water Softeners, Drinking Water Systems, Bottled Water Delivery, Water Coolers</t>
  </si>
  <si>
    <t>Unlimited Towing Service</t>
  </si>
  <si>
    <t>2902 HELMET ST;IRVING TX 75060-3406;USA</t>
  </si>
  <si>
    <t>Aqua Evolution LLC</t>
  </si>
  <si>
    <t>21897 PALOMINO CIR;ROBERTSDALE AL 36567-5614;USA</t>
  </si>
  <si>
    <t>Water Treatment, Aquatic Services</t>
  </si>
  <si>
    <t>Timothy OSheehan</t>
  </si>
  <si>
    <t>19 PENNSYLVANIA AVE;YORK HAVEN PA 17370;USA</t>
  </si>
  <si>
    <t>Minuteman Security Technologies Inc</t>
  </si>
  <si>
    <t>1 CONNECTOR RD;ANDOVER MA 01810-5931;USA</t>
  </si>
  <si>
    <t>Security Systems Integration</t>
  </si>
  <si>
    <t>Access Control, Video Surveillance, Intrusion Detection, Fire Alarms, Monitoring</t>
  </si>
  <si>
    <t>Advanced Wastewater Services Inc.</t>
  </si>
  <si>
    <t>PO Box 1622;Southampton NY 11969-1622;USA</t>
  </si>
  <si>
    <t>Wastewater Management</t>
  </si>
  <si>
    <t>Septic Services, Wastewater Treatment, Pumping</t>
  </si>
  <si>
    <t>Gerald Scott Clements</t>
  </si>
  <si>
    <t>PO Box 1273;Gray GA 31032-1273;USA</t>
  </si>
  <si>
    <t>Consulting / Individual Contractor</t>
  </si>
  <si>
    <t>Associated Fire Protection, LLC</t>
  </si>
  <si>
    <t>PO Box 392495;Snellville GA 30039;USA</t>
  </si>
  <si>
    <t>Fire Sprinklers, Inspections, Fire Extinguishers</t>
  </si>
  <si>
    <t>Cartridge World</t>
  </si>
  <si>
    <t>PO Box 1532;East Greenwich RI 02818;USA</t>
  </si>
  <si>
    <t>001282</t>
  </si>
  <si>
    <t>Border Connect, Inc.</t>
  </si>
  <si>
    <t>PO Box 24039;Market Square RO;Windsor ON N8Y 4Y9;CAN</t>
  </si>
  <si>
    <t>Customs &amp; Border Services Software</t>
  </si>
  <si>
    <t>Customs Clearance, eManifest, Border Compliance</t>
  </si>
  <si>
    <t>Van Drunen Heating &amp;AC</t>
  </si>
  <si>
    <t>1440 E 168th St;South Holland IL 60473-2640;USA</t>
  </si>
  <si>
    <t>Heating, Air Conditioning, Furnace Repair, AC Installation, Duct Cleaning</t>
  </si>
  <si>
    <t>Transglass</t>
  </si>
  <si>
    <t>21419 MEGAN CT;RIVERSIDE CA 92507-0071;USA</t>
  </si>
  <si>
    <t>Windshield Repair, Glass Replacement, Mobile Service, Auto Glass Installation</t>
  </si>
  <si>
    <t>HOMETOWN AUTO GLASS</t>
  </si>
  <si>
    <t>160 Kingsley Rd;Burnt Hills NY 12027;USA</t>
  </si>
  <si>
    <t>Auto Glass Repair &amp; Replacement</t>
  </si>
  <si>
    <t>000905</t>
  </si>
  <si>
    <t>NexGen Technologies</t>
  </si>
  <si>
    <t>#13 62 Fawcett Road;Coquitlam BC V3K 6V5;CAN</t>
  </si>
  <si>
    <t>IT Solutions &amp; Services</t>
  </si>
  <si>
    <t>Managed IT, Cloud Services, Cybersecurity, Network Infrastructure</t>
  </si>
  <si>
    <t>Stacy Serrato</t>
  </si>
  <si>
    <t>18735 WALL ST;TONTOGANY OH 43565-6419;USA</t>
  </si>
  <si>
    <t>Atlas Consumer Law</t>
  </si>
  <si>
    <t>2500 S HIGHLAND AVE;STE 200;LOMBARD IL 60148-5363;USA</t>
  </si>
  <si>
    <t>Consumer Protection Law Firm</t>
  </si>
  <si>
    <t>Debt Relief, Creditor Harassment Defense, Credit Report Correction, Employment Law</t>
  </si>
  <si>
    <t>Valerie Flores</t>
  </si>
  <si>
    <t>PO BOX 1110;ACP 5749;ALBANY NY 12201-1110;USA</t>
  </si>
  <si>
    <t>DBA Alarm &amp; Security, Inc.</t>
  </si>
  <si>
    <t>35 Spring St;Salinas CA 93901-3613;USA</t>
  </si>
  <si>
    <t>Alarm Monitoring, Installation, Intrusion Detection</t>
  </si>
  <si>
    <t>ARIES, INC.</t>
  </si>
  <si>
    <t>2090 Dunwoody Club Drive,;Ste 106-22,;Atlanta GA 30350;USA</t>
  </si>
  <si>
    <t>Structural Engineering &amp; Inspection</t>
  </si>
  <si>
    <t>Foundation Assessments, Construction Defect Analysis, Residential Inspections</t>
  </si>
  <si>
    <t>Benz Hydraulics Inc</t>
  </si>
  <si>
    <t>153 S Dupont Hwy;New Castle DE 19720 4127;USA</t>
  </si>
  <si>
    <t>Hydraulic Equipment &amp; Services</t>
  </si>
  <si>
    <t>Hydraulic Repair, Parts, Industrial Hydraulics</t>
  </si>
  <si>
    <t>Kai Plumbing LLC</t>
  </si>
  <si>
    <t>1409 N BISHOP ST;STE B5;SAN MARCOS TX 78666-2600;USA</t>
  </si>
  <si>
    <t>Mansfield of Canada, ULC</t>
  </si>
  <si>
    <t>600-1741 Lower Water Street;Halifax NS B3J 0J4;CAN</t>
  </si>
  <si>
    <t>Bulk Fuel Delivery, Fleet Fueling, Fuel Management</t>
  </si>
  <si>
    <t>001327</t>
  </si>
  <si>
    <t>Jade Plumbing &amp; Heating, Ltd.</t>
  </si>
  <si>
    <t>323-552A Clarke Rd;Coquitlam BC V3J 0A3;CAN</t>
  </si>
  <si>
    <t>Plumbing Repair, Boiler Service, Hot Water Systems, Drain Cleaning</t>
  </si>
  <si>
    <t>CCDS dba Industrial Door Co</t>
  </si>
  <si>
    <t>10235 Systems Parkway ;Suite B;Sacramento CA 95827;USA</t>
  </si>
  <si>
    <t>Industrial Doors, Installation, Repair, Service</t>
  </si>
  <si>
    <t>Unifour Fire &amp; Safety</t>
  </si>
  <si>
    <t>PO Box 9489;Hickory NC 28603-9489;USA</t>
  </si>
  <si>
    <t>Fire Extinguishers, Fire Alarms, Sprinkler Systems, Safety Equipment, Inspections</t>
  </si>
  <si>
    <t>The Salvation Army Eastern Terr. Hq</t>
  </si>
  <si>
    <t>Attn: Trade Eastern ;Supplies &amp; Purchasing Dept;440 West Nyack Road;West Nyack NY 10994;USA</t>
  </si>
  <si>
    <t>Culligan Bottled Water</t>
  </si>
  <si>
    <t>Department 8511;PO Box 77043;Minneapolis MN 55480;USA</t>
  </si>
  <si>
    <t>Water Delivery &amp; Filtration</t>
  </si>
  <si>
    <t>Bottled Water, Water Coolers, Water Treatment, Filtration Systems</t>
  </si>
  <si>
    <t>Alert Fire &amp; Safety Co</t>
  </si>
  <si>
    <t>20201 County Road 50;Corcoran MN 55340 9423;USA</t>
  </si>
  <si>
    <t>Fire Extinguishers, Safety Inspections, Fire Training</t>
  </si>
  <si>
    <t>A1 Sprinkler Co Inc</t>
  </si>
  <si>
    <t>2383 Northpointe Dr;Miamisburg OH 45342-2989;USA</t>
  </si>
  <si>
    <t>Sprinkler Installation, Inspection, Fire Protection</t>
  </si>
  <si>
    <t>Eagle Fire dba BST</t>
  </si>
  <si>
    <t>PO BOX 96151;CHARLOTTE NC 28296-6151;USA</t>
  </si>
  <si>
    <t>Fire Sprinkler Installation, Inspection, Alarm Systems, Suppression</t>
  </si>
  <si>
    <t>Barnes Welding/Fresno Oxygen</t>
  </si>
  <si>
    <t>PO Box 1666;Fresno CA 93717-1666;USA</t>
  </si>
  <si>
    <t>Welding Supply &amp; Industrial Gas</t>
  </si>
  <si>
    <t>Welding Equipment, Industrial Gases, Safety Supplies</t>
  </si>
  <si>
    <t>Overhead Door Greenville\High Country</t>
  </si>
  <si>
    <t>Odyssey Relocation Management</t>
  </si>
  <si>
    <t>27271 Las Ramblas;STE 120;ATTN: Oliver Dubester;Mission Viejo CA 92691;USA</t>
  </si>
  <si>
    <t>Employee Relocation, Destination Services, Move Management, Policy Consulting</t>
  </si>
  <si>
    <t>Universal Business Solutions</t>
  </si>
  <si>
    <t>11515 Prosperous Dr;Odessa FL 33556-3453;USA</t>
  </si>
  <si>
    <t>Business Solutions &amp; IT Services</t>
  </si>
  <si>
    <t>IT Consulting, Business Process Solutions, Technology Services, Software Development</t>
  </si>
  <si>
    <t>D1 Executive Relocation Inc.</t>
  </si>
  <si>
    <t>4106 CARRINGTON GREENE DR;LOUISVILLE KY 40299-5476;USA</t>
  </si>
  <si>
    <t>Relocation Services</t>
  </si>
  <si>
    <t>Corporate Moving, Household Goods Shipping, Storage</t>
  </si>
  <si>
    <t>Profetta Overhead Door Co.</t>
  </si>
  <si>
    <t>6362 Dean Pkwy;Ontario NY 14519-8970;USA</t>
  </si>
  <si>
    <t>Garage Door Installation, Repair, Commercial &amp; Residential Doors, Dock Equipment</t>
  </si>
  <si>
    <t>ALS Group USA Corp</t>
  </si>
  <si>
    <t>PO Box 975444;Dallas TX 75397-5444;USA</t>
  </si>
  <si>
    <t>Laboratory Testing Services</t>
  </si>
  <si>
    <t>Environmental Testing, Quality Assurance, Analysis</t>
  </si>
  <si>
    <t>S.A Comunale Co. Inc.</t>
  </si>
  <si>
    <t>2900 Newpark Drive;Barberton OH 44203;USA</t>
  </si>
  <si>
    <t>Fire Sprinkler Installation, Inspection, Suppression Systems, Backflow Testing</t>
  </si>
  <si>
    <t>D&amp;J Mobile Service LLC</t>
  </si>
  <si>
    <t>3008 MONTANA DR;TEMPLE TX 76502-1521;USA</t>
  </si>
  <si>
    <t>Mobile Repair Services</t>
  </si>
  <si>
    <t>On-Site Equipment Repair, Fleet Maintenance, Mobile Mechanic</t>
  </si>
  <si>
    <t>Fire Safety Supply, Inc</t>
  </si>
  <si>
    <t>468 Yolanda Ave ;#201;Santa Rosa CA 95404;USA</t>
  </si>
  <si>
    <t>Fire Safety Equipment &amp; Supply</t>
  </si>
  <si>
    <t>Fire Extinguishers, Safety Equipment, Inspections, Emergency Supplies</t>
  </si>
  <si>
    <t>Holmes Security Systems</t>
  </si>
  <si>
    <t>PO Box 2977;Fayetteville NC 28302-2977;USA</t>
  </si>
  <si>
    <t>DTM Installations</t>
  </si>
  <si>
    <t>81 N Central Hwy;Garnerville NY 10923 1258;USA</t>
  </si>
  <si>
    <t>Low Voltage Installation</t>
  </si>
  <si>
    <t>Cabling, Audio/Video, Security Systems, Network Wiring</t>
  </si>
  <si>
    <t>A Plus Alarm</t>
  </si>
  <si>
    <t>PO Box 242502;Little Rock AR 72223;USA</t>
  </si>
  <si>
    <t>Intrusion Detection, Alarm Monitoring, Installation</t>
  </si>
  <si>
    <t>Bouma Fire Inc. dba Service First Fire Sprinkler</t>
  </si>
  <si>
    <t>2212 E 39th St N;Sioux Falls SD 57104-5409;USA</t>
  </si>
  <si>
    <t>Fire Sprinklers, Fire Suppression, Inspections, Installation</t>
  </si>
  <si>
    <t>Deep South Equipment</t>
  </si>
  <si>
    <t>PO Box 29365;New Orleans LA 70189-0365;USA</t>
  </si>
  <si>
    <t>Industrial Equipment, Forklifts, Parts &amp; Service</t>
  </si>
  <si>
    <t>Swift Industrial Power, Inc</t>
  </si>
  <si>
    <t>10917 MCBRIDE LN;KNOXVILLE TN 37932-3251;USA</t>
  </si>
  <si>
    <t>Industrial Battery &amp; Charger Services</t>
  </si>
  <si>
    <t>Forklift Batteries, Chargers, Industrial Power Solutions, Battery Maintenance</t>
  </si>
  <si>
    <t>Employee Benefits</t>
  </si>
  <si>
    <t>PO Box 44347;Madison WI 53744 4347;USA</t>
  </si>
  <si>
    <t>Employee Benefits Administration</t>
  </si>
  <si>
    <t>Group Benefits, Health Insurance, Retirement Plans, Voluntary Benefits</t>
  </si>
  <si>
    <t>Complete Business Systems</t>
  </si>
  <si>
    <t>5195 Marshall Street;Arvada CO 80002;USA</t>
  </si>
  <si>
    <t>Office Technology Solutions</t>
  </si>
  <si>
    <t>Managed Print Services, Copiers, IT Services, Document Management</t>
  </si>
  <si>
    <t>The Tow Truck Company</t>
  </si>
  <si>
    <t>3975 W HACIENDA AVE;LAS VEGAS NV 89118-1783;USA</t>
  </si>
  <si>
    <t>United Fire Consultant</t>
  </si>
  <si>
    <t>P.O. Box 145;Powell TN 37849;USA</t>
  </si>
  <si>
    <t>Fire Protection Consulting</t>
  </si>
  <si>
    <t>Fire Protection Planning, Code Compliance, Fire Safety Consulting, Inspections</t>
  </si>
  <si>
    <t>Culligan of Wichita</t>
  </si>
  <si>
    <t>PO Box 2932;Wichita KS 67201-2932;USA</t>
  </si>
  <si>
    <t>Water Softening, Filtration, Bottled Water, Cooler Rental</t>
  </si>
  <si>
    <t>Blue Star Gas Eugene Company</t>
  </si>
  <si>
    <t>61 South Danebo Avenue;Eugene OR 97402;USA</t>
  </si>
  <si>
    <t>Propane Delivery, Gas Services, Tank Installation</t>
  </si>
  <si>
    <t>Overhead Door Co of Cedar Rapids&amp;</t>
  </si>
  <si>
    <t>6515 4th St SW;Cedar Rapids IA 52404-4761;USA</t>
  </si>
  <si>
    <t>Timmons Group, Inc.</t>
  </si>
  <si>
    <t>1001 Boulders Pkwy;Ste 300;Richmond VA 23225-5512;USA</t>
  </si>
  <si>
    <t>Engineering &amp; Technology Consulting</t>
  </si>
  <si>
    <t>Civil Engineering, GIS, Environmental, Survey, IT Solutions, Transportation Planning</t>
  </si>
  <si>
    <t>Lightning Mobile Services, LLC</t>
  </si>
  <si>
    <t>9752 HANOVER CT E;COMMERCE CITY CO 80640-8469;USA</t>
  </si>
  <si>
    <t>Mobile Repair &amp; Field Services</t>
  </si>
  <si>
    <t>On-Site Equipment Repair, Mobile Welding, Industrial Maintenance</t>
  </si>
  <si>
    <t>Intruder Alert Systems, Inc.</t>
  </si>
  <si>
    <t>PO. Box 791475;San Antonio TX 78279;USA</t>
  </si>
  <si>
    <t>Alarm Monitoring, Intrusion Detection, Installation, Security Consulting</t>
  </si>
  <si>
    <t>Pal-Mac Plumbing &amp; Heating</t>
  </si>
  <si>
    <t>2315 Vandy Dr.;Palmyra NY 14522;USA</t>
  </si>
  <si>
    <t>Relocation Today</t>
  </si>
  <si>
    <t>11100 Wayzata Blvd Suite 470;ATTN: Sara Lindstrom;Minnetonka MN 55305;USA</t>
  </si>
  <si>
    <t>Employee Relocation, Home Sale Assistance, Household Goods Moving, Destination Services</t>
  </si>
  <si>
    <t>Graciela Angel Ibarra</t>
  </si>
  <si>
    <t>7951 Sacqueline Way;White City OR 97503;USA</t>
  </si>
  <si>
    <t>Fire Protection Equipment Co., Inc.</t>
  </si>
  <si>
    <t>7206 Impala Dr;Richmond VA 23228;USA</t>
  </si>
  <si>
    <t>OPG Plus LLC</t>
  </si>
  <si>
    <t>290 Gus Hipp Blvd;Rockledge FL 32955-4801;USA</t>
  </si>
  <si>
    <t>Business Consulting, Project Management, Operations Support</t>
  </si>
  <si>
    <t>Interstate Billing Service</t>
  </si>
  <si>
    <t>Freight Billing Services</t>
  </si>
  <si>
    <t>Freight Payment, Billing Administration, Carrier Settlements, Audit Services</t>
  </si>
  <si>
    <t>TAH Operations, LLC</t>
  </si>
  <si>
    <t>ATTN: Jeff Peterson;15771 Red Hill Avenue;Tustin CA 92780;USA</t>
  </si>
  <si>
    <t>Corporate Housing &amp; Relocation</t>
  </si>
  <si>
    <t>Furnished Apartments, Temporary Housing, Extended Stay, Relocation Services</t>
  </si>
  <si>
    <t>Kansas Chemical Specialties, LLC</t>
  </si>
  <si>
    <t>2921 S OLD MISSOURI RD;STE 5;SPRINGDALE AR 72764-7695;USA</t>
  </si>
  <si>
    <t>Chemical Distribution &amp; Supply</t>
  </si>
  <si>
    <t>Cleaning Chemicals, Industrial Chemicals, Specialty Products</t>
  </si>
  <si>
    <t>Culligan of Rockland</t>
  </si>
  <si>
    <t>21 First St;New City NY 10956-5028;USA</t>
  </si>
  <si>
    <t>CHH, LLC</t>
  </si>
  <si>
    <t>815 N MAIN ST;WICHITA KS 67203-3606;USA</t>
  </si>
  <si>
    <t>Business Services, Commercial Operations</t>
  </si>
  <si>
    <t>Teds Towing Service</t>
  </si>
  <si>
    <t>4920 Hazelwood Ave;Baltimore MD 21206 2210;USA</t>
  </si>
  <si>
    <t>Industrial Source</t>
  </si>
  <si>
    <t>PO Box 7577;Springfield OR 97475-0022;USA</t>
  </si>
  <si>
    <t>Industrial Equipment, MRO Supplies, Safety Products, Fasteners</t>
  </si>
  <si>
    <t>Pinellas Fastener</t>
  </si>
  <si>
    <t>Fastener &amp; Hardware Distribution</t>
  </si>
  <si>
    <t>Fasteners, Bolts, Nuts, Screws, Industrial Hardware, Custom Orders</t>
  </si>
  <si>
    <t>JKA Real Estate Investments LLC</t>
  </si>
  <si>
    <t>508 Main Street, Ste A;Evansville IN 47708;USA</t>
  </si>
  <si>
    <t>The Pressure Cleaning People.com, LLC</t>
  </si>
  <si>
    <t>127 Lake Arbor Dr;Lake Worth FL 33461-2147;USA</t>
  </si>
  <si>
    <t>Pressure Cleaning, Roof Cleaning, Building Washing, Concrete Cleaning, Commercial Cleaning</t>
  </si>
  <si>
    <t>A&amp;S Plumbing, Inc</t>
  </si>
  <si>
    <t>5720 Industry Way SE;Albuquerque NM 87105;USA</t>
  </si>
  <si>
    <t>Interboro Fire Safety LLC</t>
  </si>
  <si>
    <t>24019 Jamaica Ave;Bellerose NY 11426 1054;USA</t>
  </si>
  <si>
    <t>Fire Safety Equipment</t>
  </si>
  <si>
    <t>COP Hometown Services Inc.</t>
  </si>
  <si>
    <t>1801 W DETROIT ST;BROKEN ARROW OK 74012-3613;USA</t>
  </si>
  <si>
    <t>Home &amp; Property Services</t>
  </si>
  <si>
    <t>Property Services, Home Maintenance, Repairs</t>
  </si>
  <si>
    <t>Marshall Marine Supply Inc</t>
  </si>
  <si>
    <t>13905 Shell Belt Rd;Bayou La Batre AL 36509-2305;USA</t>
  </si>
  <si>
    <t>Marine Supply &amp; Equipment</t>
  </si>
  <si>
    <t>Marine Parts, Boat Supplies, Fishing Equipment, Marine Hardware</t>
  </si>
  <si>
    <t>SSH Communications Security, Inc.</t>
  </si>
  <si>
    <t>File # 742843;PO Box 742843;Los Angeles CA 90074;USA</t>
  </si>
  <si>
    <t>Cybersecurity &amp; SSH Key Management</t>
  </si>
  <si>
    <t>SSH Key Management, Encryption, Zero Trust, Network Security</t>
  </si>
  <si>
    <t>Air System Designs LLC</t>
  </si>
  <si>
    <t>3320 PECAN VALLEY DR;STE C;TEMPLE TX 76502-1569;USA</t>
  </si>
  <si>
    <t>HVAC Design &amp; Installation</t>
  </si>
  <si>
    <t>Air Systems, HVAC Engineering, Ventilation</t>
  </si>
  <si>
    <t>Transport Repair Service, Inc.</t>
  </si>
  <si>
    <t>541 Burton St SW;Grand Rapids MI 49507-2309;USA</t>
  </si>
  <si>
    <t>Maktech Fleet Solutions</t>
  </si>
  <si>
    <t>117 Maktech Circle, Unit 107;Melissa TX 75454;USA</t>
  </si>
  <si>
    <t>Mobile Fleet Service, Truck Repair, Preventive Maintenance, Diagnostics</t>
  </si>
  <si>
    <t>R&amp;s Erection Of So Alameda</t>
  </si>
  <si>
    <t>COUNTY;31298 SAN ANTONIO ST;Hayward CA 94544;USA</t>
  </si>
  <si>
    <t>Heritage Industrial- do not use-USE Vendor #131947</t>
  </si>
  <si>
    <t>16 SQUADRON BLVD;STE 106;NEW CITY NY 10956-5259;USA</t>
  </si>
  <si>
    <t>Real Estate, Industrial Space, Property Management</t>
  </si>
  <si>
    <t>Safelink Corporation (Fire Protection)</t>
  </si>
  <si>
    <t>131 Whitmore Avenue;Unit #5;Vaughan ON L4L 6E3;CAN</t>
  </si>
  <si>
    <t>Fire Protection Systems &amp; Services</t>
  </si>
  <si>
    <t>Fire Sprinklers, Fire Alarms, Suppression Systems, Code Compliance</t>
  </si>
  <si>
    <t>HomeServices Partnership Group, LLC</t>
  </si>
  <si>
    <t>ATTN: Apriana Phelps;18500 Von Karman Ave ;Irvine CA 92612;USA</t>
  </si>
  <si>
    <t>Residential Real Estate, Relocation Services, Mortgage, Title &amp; Closing</t>
  </si>
  <si>
    <t>American Fire Protection Group, Inc</t>
  </si>
  <si>
    <t>PO BOX 74008409;CHICAGO IL 60674-8409;USA</t>
  </si>
  <si>
    <t>Fire Sprinklers, Fire Alarms, Special Hazards, Fire Extinguishers, Monitoring</t>
  </si>
  <si>
    <t>Dryco Construction</t>
  </si>
  <si>
    <t>PO Box 6019;Fremont CA 94538;USA</t>
  </si>
  <si>
    <t>Construction &amp; Restoration Services</t>
  </si>
  <si>
    <t>Water Damage Restoration, General Contracting, Reconstruction</t>
  </si>
  <si>
    <t>Schimmels Solutions LLC</t>
  </si>
  <si>
    <t>112 E COLLINS RD;FORT WAYNE IN 46825-5302;USA</t>
  </si>
  <si>
    <t>Facility Maintenance &amp; Solutions</t>
  </si>
  <si>
    <t>Janitorial, Maintenance, Cleaning, Facility Solutions</t>
  </si>
  <si>
    <t>Airtech Thermex LLC</t>
  </si>
  <si>
    <t>5417 Boone Avenue North;New Hope MN 55428-3648;USA</t>
  </si>
  <si>
    <t>Industrial Ventilation, Heating, Air Conditioning, Installation &amp; Repair</t>
  </si>
  <si>
    <t>ACT-Alarm &amp; Communication Technologies Inc</t>
  </si>
  <si>
    <t>25 Ross St;PO BOX 596;Wharton NJ 07885-2307;USA</t>
  </si>
  <si>
    <t>Security &amp; Communication Systems</t>
  </si>
  <si>
    <t>Alarm Systems, Access Control, Telecommunications</t>
  </si>
  <si>
    <t>ADT Security Service</t>
  </si>
  <si>
    <t>PO Box 371878;Pittsburgh PA 15250 7878;USA</t>
  </si>
  <si>
    <t>Security Monitoring Services</t>
  </si>
  <si>
    <t>Burglar Alarms, Fire Detection, Smart Home Security</t>
  </si>
  <si>
    <t>Xonex Relocation Llc</t>
  </si>
  <si>
    <t>ATTN: Jim Zimmitti ;10 Corporate Circle, Suite 210;New Castle DE 19720;USA</t>
  </si>
  <si>
    <t>Employee Relocation, Household Goods Moving, Destination Services, Policy Consulting, Global Mobility</t>
  </si>
  <si>
    <t>Burns Industrial Equipment Inc.</t>
  </si>
  <si>
    <t>PO Box 932678;Cleveland OH 44193-0014;USA</t>
  </si>
  <si>
    <t>Industrial Equipment Supply</t>
  </si>
  <si>
    <t>Material Handling, Equipment Sales, Industrial Supply</t>
  </si>
  <si>
    <t>Soefker Services LLC</t>
  </si>
  <si>
    <t>1568 Panama Street;Memphis TN 38108;USA</t>
  </si>
  <si>
    <t>Industrial Services &amp; Maintenance</t>
  </si>
  <si>
    <t>Industrial Cleaning, Facility Maintenance, Equipment Maintenance</t>
  </si>
  <si>
    <t>AXOMO dba Namify, LLC</t>
  </si>
  <si>
    <t>280 W 900 N;Springville UT 84663;USA</t>
  </si>
  <si>
    <t>Branded Merchandise Platform</t>
  </si>
  <si>
    <t>Company Swag, Custom Apparel, Employee Rewards</t>
  </si>
  <si>
    <t>R. Essay Plumbing &amp; Heating, Inc.</t>
  </si>
  <si>
    <t>PO Box 2309;Southampton NY 11969;USA</t>
  </si>
  <si>
    <t>Mountain Alarm</t>
  </si>
  <si>
    <t>PO Box 12487;Ogden UT 84412-2487;USA</t>
  </si>
  <si>
    <t>Burglar Alarms, Fire Alarms, Video Surveillance, Access Control, Home Automation</t>
  </si>
  <si>
    <t>Aloha Water Company, Inc</t>
  </si>
  <si>
    <t>PO Box 30750;Honolulu HI 96820-0750;USA</t>
  </si>
  <si>
    <t>Water Treatment Systems, Home Delivery, Office Delivery, Water Dispensers</t>
  </si>
  <si>
    <t>Jorgensen Company</t>
  </si>
  <si>
    <t>PO Box 888655;Los Angeles CA 90088;USA</t>
  </si>
  <si>
    <t>Industrial Steel &amp; Materials Distribution</t>
  </si>
  <si>
    <t>Steel Products, Metals Supply, Material Processing</t>
  </si>
  <si>
    <t>Panhandle Alarm &amp; Telephone Co Inc.</t>
  </si>
  <si>
    <t>10 Industrial Blvd;Pensacola FL 32503-7602;USA</t>
  </si>
  <si>
    <t>Security Alarm &amp; Telephone Systems</t>
  </si>
  <si>
    <t>Alarm Systems, Fire Alarms, Telephone Installation, Video Surveillance, Access Control</t>
  </si>
  <si>
    <t>Scott Bottoms Service</t>
  </si>
  <si>
    <t>1823 B Rd;Loxahatchee FL 33470-4221;USA</t>
  </si>
  <si>
    <t>Lawn Care, Landscaping, Tree Service, Property Maintenance</t>
  </si>
  <si>
    <t>Corporate Billing, LLC</t>
  </si>
  <si>
    <t>Dept. 100 PO Box 830604;Birmingham AL 35283;USA</t>
  </si>
  <si>
    <t>Third-Party Billing Services</t>
  </si>
  <si>
    <t>Invoice Processing, Collections, Revenue Cycle Management</t>
  </si>
  <si>
    <t>Colorado Lighting, Inc</t>
  </si>
  <si>
    <t>1831 E 73RD AVE;UNIT B;DENVER CO 80229-6901;USA</t>
  </si>
  <si>
    <t>Commercial Lighting Services</t>
  </si>
  <si>
    <t>LED Retrofits, Lighting Design, Electrical Installation, Energy Efficiency</t>
  </si>
  <si>
    <t>000839</t>
  </si>
  <si>
    <t>Cre8tive Eye Designs</t>
  </si>
  <si>
    <t>6305 Northern Dr.;Unit 6;Mississauga ON L4W 1V9;CAN</t>
  </si>
  <si>
    <t>Graphic Design &amp; Signage</t>
  </si>
  <si>
    <t>Custom Signs, Vehicle Wraps, Print Design, Branding</t>
  </si>
  <si>
    <t>Exeter Finance LLC</t>
  </si>
  <si>
    <t>P.O.BOX 650598;Dallas TX 75265;USA</t>
  </si>
  <si>
    <t>Auto Finance &amp; Lending</t>
  </si>
  <si>
    <t>Auto Loans, Vehicle Financing, Subprime Lending, Online Account Management</t>
  </si>
  <si>
    <t>K.J.D. Inc.</t>
  </si>
  <si>
    <t>PO Box 80204;Baton Rouge LA 70898;USA</t>
  </si>
  <si>
    <t>Erica Goodness</t>
  </si>
  <si>
    <t>219 JUDY ANN DR;ROCHESTER NY 14616-1943;USA</t>
  </si>
  <si>
    <t>Consulting, Professional Services</t>
  </si>
  <si>
    <t>Proweld Fabrication &amp; Chassis, Inc.</t>
  </si>
  <si>
    <t>615 Industrial Circle;Phenix City AL 36869;USA</t>
  </si>
  <si>
    <t>Welding &amp; Chassis Fabrication</t>
  </si>
  <si>
    <t>Custom Fabrication, Welding, Chassis Repair, Structural Steel Work</t>
  </si>
  <si>
    <t>4J Mgt dba Wholesale Signs Plus</t>
  </si>
  <si>
    <t>4224 Evan Brooks Drive;Baton Rouge LA 70814;USA</t>
  </si>
  <si>
    <t>Wholesale Sign &amp; Printing Services</t>
  </si>
  <si>
    <t>Full Color Printing, Screen Printing, Banners, Decals, Vinyl Graphics</t>
  </si>
  <si>
    <t>Columbus Fire &amp; Safety</t>
  </si>
  <si>
    <t>3101 2nd Ave/PO Box 791;Columbus GA 31902;USA</t>
  </si>
  <si>
    <t>Fire Extinguishers, Safety Equipment, Inspections, Suppression Systems</t>
  </si>
  <si>
    <t>Best Western International, Inc</t>
  </si>
  <si>
    <t>PO Box 842700;Los Angeles CA 90084;USA</t>
  </si>
  <si>
    <t>Lodging, Corporate Travel, Hotel Accommodations</t>
  </si>
  <si>
    <t>Dick SmithAC &amp; Refrigeration</t>
  </si>
  <si>
    <t>4400 S State Road 7;Lake Worth FL 33449-8100;USA</t>
  </si>
  <si>
    <t>HVAC &amp; Refrigeration Services</t>
  </si>
  <si>
    <t>AC Repair, Heating, Commercial Refrigeration, Maintenance</t>
  </si>
  <si>
    <t>Fire Pro LLC</t>
  </si>
  <si>
    <t>25187 Huntsville Brownsferry Rd;Madison AL 35756-3601;USA</t>
  </si>
  <si>
    <t>Fire Suppression, Sprinkler Systems, Fire Alarm, Emergency Lighting</t>
  </si>
  <si>
    <t>Interstate Batteries of N Chicago</t>
  </si>
  <si>
    <t>56 E IL ROUTE 83;MUNDELEIN IL 60060-4238;USA</t>
  </si>
  <si>
    <t>Battery Distribution</t>
  </si>
  <si>
    <t>Automotive Batteries, Commercial Batteries, Battery Recycling, Testing</t>
  </si>
  <si>
    <t>Halls Electrical LLC</t>
  </si>
  <si>
    <t>567 ABBOTT FARM RD;AYDEN NC 28513-8762;USA</t>
  </si>
  <si>
    <t>Electrical Installation, Wiring, Electrical Repair, Commercial Electrical</t>
  </si>
  <si>
    <t>Omps Garage Inc</t>
  </si>
  <si>
    <t>2021 N Frederick Pike;Winchester VA 22603-4132;USA</t>
  </si>
  <si>
    <t>Auto Repair, Towing, Tire Service, Fleet Maintenance</t>
  </si>
  <si>
    <t>000723</t>
  </si>
  <si>
    <t>Amex Bank of Canada</t>
  </si>
  <si>
    <t>Corporate Service Centre;PO Box 7000 Station B;North York ON M2K 2R6;CAN</t>
  </si>
  <si>
    <t>Credit Cards, Expense Management, Travel Rewards</t>
  </si>
  <si>
    <t>Sedgwick</t>
  </si>
  <si>
    <t>PO Box 89456;Cleveland OH 44101-6456;USA</t>
  </si>
  <si>
    <t>Claims Management &amp; TPA Services</t>
  </si>
  <si>
    <t>Workers' Comp Claims, Liability Claims, Risk Management, Disability Claims, Absence Management</t>
  </si>
  <si>
    <t>Marine Maintenance and Const Inc</t>
  </si>
  <si>
    <t>Po Box 36;Clayton NJ 08312;USA</t>
  </si>
  <si>
    <t>Marine Construction &amp; Maintenance</t>
  </si>
  <si>
    <t>Dock Building, Waterfront Construction, Marine Repair, Pile Driving</t>
  </si>
  <si>
    <t>Res/Comm Security Systems Inc</t>
  </si>
  <si>
    <t>PO Box 176595;Covington KY 41017;USA</t>
  </si>
  <si>
    <t>Alarm Systems, Video Surveillance, Access Control, 24/7 Monitoring</t>
  </si>
  <si>
    <t>Auto Glass Assist</t>
  </si>
  <si>
    <t>PO Box 40306;Jacksonville FL 32203;USA</t>
  </si>
  <si>
    <t>Windshield Repair, Glass Replacement, Mobile Service</t>
  </si>
  <si>
    <t>East Point Georgia-#193081-162228</t>
  </si>
  <si>
    <t>2791 E Point St;Atlanta GA 30344-3239;USA</t>
  </si>
  <si>
    <t>Municipal Utility Services</t>
  </si>
  <si>
    <t>Water, Sewer, Electricity, Municipal Services</t>
  </si>
  <si>
    <t>Valor Fire Protection DO NOT USE -USE 150548</t>
  </si>
  <si>
    <t>5113 Steinbeck Bend ;Waco TX 76708;USA</t>
  </si>
  <si>
    <t>Fire Sprinklers, Fire Alarms, Suppression Systems, Inspections, Maintenance</t>
  </si>
  <si>
    <t>Cheney Door Company</t>
  </si>
  <si>
    <t>136 S Lulu St;Wichita KS 67211-1709;USA</t>
  </si>
  <si>
    <t>Borem Fire Protection Inc.</t>
  </si>
  <si>
    <t>PO Box 1133;Eaton Park FL 33840;USA</t>
  </si>
  <si>
    <t>Freshwater &amp; Sons Electric, LLC</t>
  </si>
  <si>
    <t>PO BOX 9908;Riviera Beach FL 33419;USA</t>
  </si>
  <si>
    <t>Electrical Installation, Wiring, Panel Upgrades, Commercial Electrical, Repairs</t>
  </si>
  <si>
    <t>Bessler Welding, Inc.</t>
  </si>
  <si>
    <t>5313 N MAIN ST;EAST PEORIA IL 61611-1321;USA</t>
  </si>
  <si>
    <t>Commercial Welding, Fabrication, Repair</t>
  </si>
  <si>
    <t>KayW Mobile Hose LLC</t>
  </si>
  <si>
    <t>PO Box 506;Mauldin SC 29662-0506;USA</t>
  </si>
  <si>
    <t>Mobile Hydraulic Hose Repair</t>
  </si>
  <si>
    <t>On-Site Hose Replacement, Hydraulic Fittings, Industrial Hose Assembly</t>
  </si>
  <si>
    <t>000984</t>
  </si>
  <si>
    <t>SMC MONITORING CORPORATION</t>
  </si>
  <si>
    <t>PO Box 57004;Toronto ON M5W 5M5;CAN</t>
  </si>
  <si>
    <t>24/7 Alarm Monitoring, Fire Monitoring, Video Surveillance</t>
  </si>
  <si>
    <t>000764</t>
  </si>
  <si>
    <t>Hurricane Industrial</t>
  </si>
  <si>
    <t>188 Joseph ZZatzman Dr;Dartmouth NS B3B 1N4;CAN</t>
  </si>
  <si>
    <t>Industrial Parts, Equipment, Safety Supplies, Maintenance Products</t>
  </si>
  <si>
    <t>Safety Systems and Signs Hawaii</t>
  </si>
  <si>
    <t>663 Kakoi Street;Honolulu HI 96819;USA</t>
  </si>
  <si>
    <t>Safety Signs &amp; Systems</t>
  </si>
  <si>
    <t>Traffic Signs, Safety Signs, Road Markers, Installation</t>
  </si>
  <si>
    <t>AAA Auto Glass Inc.</t>
  </si>
  <si>
    <t>4030 HIGHWAY 31 W;COTTONTOWN TN 37048-4848;USA</t>
  </si>
  <si>
    <t>W.H. Thomas Oil Co.</t>
  </si>
  <si>
    <t>PO Box 890;Clanton AL 35046 0890;USA</t>
  </si>
  <si>
    <t>Fuel Distribution, Heating Oil, Gasoline, Diesel, Lubricants, Convenience Stores</t>
  </si>
  <si>
    <t>Halifax Bridge</t>
  </si>
  <si>
    <t>7071 Bayers Rd;Halifax NS B3L 2C2;CAN</t>
  </si>
  <si>
    <t>IT &amp; Telecommunications</t>
  </si>
  <si>
    <t>Telecom Solutions, Network Infrastructure, Managed IT Services</t>
  </si>
  <si>
    <t>Alexanders Mobility Services</t>
  </si>
  <si>
    <t>5 Peters Canyon Rd;Suite 150;Irvine CA 92606;USA</t>
  </si>
  <si>
    <t>Household Moving, Long Distance, International Moving, Storage</t>
  </si>
  <si>
    <t>Superior Water &amp; Air</t>
  </si>
  <si>
    <t>3536 S 1950 W;West Valley City UT 84119-3827;USA</t>
  </si>
  <si>
    <t>Water Treatment &amp; Air Quality</t>
  </si>
  <si>
    <t>Water Softeners, Water Filtration, Air Purifiers, HVAC, Plumbing</t>
  </si>
  <si>
    <t>Greenville Scale Co. Inc</t>
  </si>
  <si>
    <t>149 Landmark Dr;Taylors SC 29687;USA</t>
  </si>
  <si>
    <t>Industrial Scale Sales &amp; Service</t>
  </si>
  <si>
    <t>Truck Scales, Platform Scales, Calibration, Scale Repair, Weighing Systems</t>
  </si>
  <si>
    <t>Installed Building Products LLC</t>
  </si>
  <si>
    <t>495 S HIGH ST;STE 50;COLUMBUS OH 43215-5689;USA</t>
  </si>
  <si>
    <t>Insulation &amp; Building Products</t>
  </si>
  <si>
    <t>Insulation Installation, Garage Doors, Gutters, Shelving, Mirrors, Shower Doors</t>
  </si>
  <si>
    <t>HOI Vending Inc.</t>
  </si>
  <si>
    <t>PO Boc 10;Lacon IL 61540;USA</t>
  </si>
  <si>
    <t>Vending Machine Services</t>
  </si>
  <si>
    <t>Vending Machine Installation, Snack &amp; Beverage Supply, Machine Maintenance</t>
  </si>
  <si>
    <t>Chulskis Salt Service, LLC</t>
  </si>
  <si>
    <t>945 Comstock St;Marne MI 49435-8751;USA</t>
  </si>
  <si>
    <t>Walk-In Coolers, Freezers, Refrigeration Repair</t>
  </si>
  <si>
    <t>Corporate Plus Card, Inc.</t>
  </si>
  <si>
    <t>7030 Woodbine Ave;Suite 500;Markham ON L3R 6G2;CAN</t>
  </si>
  <si>
    <t>Fuel Cards, Corporate Payments, Expense Management</t>
  </si>
  <si>
    <t>Precision Cleaning Systems, Inc.</t>
  </si>
  <si>
    <t>8165 Alpine Ave;Sacramento CA 95826-4706;USA</t>
  </si>
  <si>
    <t>Overhead Door Of Clearwater</t>
  </si>
  <si>
    <t>12855 Daniels Dr;Ste A;Clearwater FL 33762-4758;USA</t>
  </si>
  <si>
    <t>Mels Auto Glass</t>
  </si>
  <si>
    <t>11775 Reading Rd;Cincinnati OH 45241 1548;USA</t>
  </si>
  <si>
    <t>Greenbrier Inc. dba Tiger Fuel Co.</t>
  </si>
  <si>
    <t>PO Box 1607;Charlottesville VA 22902;USA</t>
  </si>
  <si>
    <t>Gasoline, Diesel, Heating Oil, Propane, Convenience Stores, Lubricants</t>
  </si>
  <si>
    <t>Premium Waters Inc.</t>
  </si>
  <si>
    <t>PO Box 9128;Minneapolis MN 55480;USA</t>
  </si>
  <si>
    <t>Bottled Water &amp; Beverage Distribution</t>
  </si>
  <si>
    <t>Water Delivery, Private Label Water, Coffee Service, Beverage Distribution</t>
  </si>
  <si>
    <t>Stegall Mechanical, LLC</t>
  </si>
  <si>
    <t>2800 5th Ave S;Birmingham AL 35233-2820;USA</t>
  </si>
  <si>
    <t>HVAC, Plumbing, Piping, Mechanical Systems, Sheet Metal</t>
  </si>
  <si>
    <t>Linde Canada Inc</t>
  </si>
  <si>
    <t>80 Westcreek Boulevard, Unit 1;Brampton ON L6T 0B8;CAN</t>
  </si>
  <si>
    <t>Industrial Gases, Medical Gases, Welding Products, Gas Equipment</t>
  </si>
  <si>
    <t>Tims Towing &amp; Recovery</t>
  </si>
  <si>
    <t>2141 Gamble Rd;Savannah GA 31405-2830;USA</t>
  </si>
  <si>
    <t>Pure Water Partners, LLC</t>
  </si>
  <si>
    <t>Dept CH 19648;Palatine IL 60055;USA</t>
  </si>
  <si>
    <t>3D Security, Inc.</t>
  </si>
  <si>
    <t>5315 N 6th Ave;Sioux Falls SD 57104;USA</t>
  </si>
  <si>
    <t>Video Surveillance, Fire Alarms, Access Controls, Alarm Monitoring</t>
  </si>
  <si>
    <t>United States Postal Service</t>
  </si>
  <si>
    <t>High Point Branch;4600 140th Ave N;Suite 100;Clearwater FL 33762;USA</t>
  </si>
  <si>
    <t>Postal &amp; Mailing Services</t>
  </si>
  <si>
    <t>Mail Delivery, Package Shipping, PO Boxes, Stamps, Certified Mail, Priority Mail</t>
  </si>
  <si>
    <t>Reyes Industrial Group LLC</t>
  </si>
  <si>
    <t>540 Paddle Drive;Crowley TX 76036;USA</t>
  </si>
  <si>
    <t>Industrial Maintenance, Welding, Fabrication, Facility Services</t>
  </si>
  <si>
    <t>Pensacola Rubber &amp; Gasket CO Inc</t>
  </si>
  <si>
    <t>4312 N Palafox St;Pensacola FL 32505 2921;USA</t>
  </si>
  <si>
    <t>Industrial Rubber &amp; Gasket Products</t>
  </si>
  <si>
    <t>Rubber Gaskets, Seals, O-Rings, Hoses, Custom Fabrication, Industrial Supplies</t>
  </si>
  <si>
    <t>Carolina R Richardson</t>
  </si>
  <si>
    <t>850 TESON RD;HAZELWOOD MO 63042-3336;USA</t>
  </si>
  <si>
    <t>All County Garage Doors, LLC</t>
  </si>
  <si>
    <t>78 South Hook Road;Pennsville NJ 08070;USA</t>
  </si>
  <si>
    <t>Door Installation, Repair, Rolling Steel Doors, Dock Equipment</t>
  </si>
  <si>
    <t>Valley Air Condition &amp; Repair, Inc.</t>
  </si>
  <si>
    <t>825 S TOPEKA AVE;FRESNO CA 93721-2406;USA</t>
  </si>
  <si>
    <t>Air Conditioning, Heating, HVAC Repair, Installation, Maintenance</t>
  </si>
  <si>
    <t>Glenna Streeter</t>
  </si>
  <si>
    <t>5646 SPRINGFIELD URBANA PIKE;Pike lot 102;URBANA OH 43078-9471;USA</t>
  </si>
  <si>
    <t>City of Bakersfield-#225653-7396</t>
  </si>
  <si>
    <t>PO Box 2057;Bakersfield CA 93303 2057;USA</t>
  </si>
  <si>
    <t>Municipal Government Services</t>
  </si>
  <si>
    <t>City Services, Permits, Utilities</t>
  </si>
  <si>
    <t>Sparefoot Inc</t>
  </si>
  <si>
    <t>ATTN: Robbie Reed;720 Brazos Street;Austin TX 78717;USA</t>
  </si>
  <si>
    <t>Self-Storage Marketplace Platform</t>
  </si>
  <si>
    <t>Storage Facility Search, Price Comparison, Self-Storage Booking, Moving Resources</t>
  </si>
  <si>
    <t>Crawford Contractor Connection</t>
  </si>
  <si>
    <t>Atttn: Dennis Wright 10550 Deerwood Park Blvd;Ste 110;Jacksonville FL 32256 0596;USA</t>
  </si>
  <si>
    <t>Contractor Connection &amp; Claims</t>
  </si>
  <si>
    <t>Property Restoration, Insurance Claims, Contractor Network</t>
  </si>
  <si>
    <t>Security One, Inc.</t>
  </si>
  <si>
    <t>716 West Byrd Boulevard;Universal City TX 78148;USA</t>
  </si>
  <si>
    <t>Alarm Systems, Video Surveillance, Monitoring Services, Smart Home Security</t>
  </si>
  <si>
    <t>Ferry, Inc.</t>
  </si>
  <si>
    <t>3179 Walden Ave;Depew NY 14043 2843;USA</t>
  </si>
  <si>
    <t>Material Handling &amp; Distribution</t>
  </si>
  <si>
    <t>Warehouse Equipment, Storage Solutions, Distribution, Material Handling</t>
  </si>
  <si>
    <t>000690</t>
  </si>
  <si>
    <t>Ottawa Police Service</t>
  </si>
  <si>
    <t>PO/CP 9634 Station T;Ottawa ON K1G 6H5;CAN</t>
  </si>
  <si>
    <t>Law Enforcement</t>
  </si>
  <si>
    <t>Police Services, Public Safety, Community Policing</t>
  </si>
  <si>
    <t>Shamrocks Discount Janitorial Supp</t>
  </si>
  <si>
    <t>2511 San Mateo Blvd. NE;Albuquerque NM 87110;USA</t>
  </si>
  <si>
    <t>Janitorial Supply Distribution</t>
  </si>
  <si>
    <t>Cleaning Supplies, Paper Products, Cleaning Chemicals, Equipment Sales</t>
  </si>
  <si>
    <t>Rex Lock &amp; Safe, Inc</t>
  </si>
  <si>
    <t>125 W 11TH ST;TRACY CA 95376-3907;USA</t>
  </si>
  <si>
    <t>Lock Repair, Key Cutting, Safe Sales, Access Control, Emergency Locksmith</t>
  </si>
  <si>
    <t>PO Box 41602;Philadelphia PA 19101-1602;USA</t>
  </si>
  <si>
    <t>The Ctr of Health Aff&amp; CHAMPS GPO</t>
  </si>
  <si>
    <t>ATTN: Debbie Curtis;1226 Huron Road E;Cleveland OH 44115;USA</t>
  </si>
  <si>
    <t>Healthcare Group Purchasing Organization</t>
  </si>
  <si>
    <t>Group Purchasing, Medical Supplies, Healthcare Procurement, Cost Savings Programs</t>
  </si>
  <si>
    <t>Crown Maintenance Company</t>
  </si>
  <si>
    <t>PO Box 3508;Seal Beach CA 90740;USA</t>
  </si>
  <si>
    <t>Janitorial, Building Maintenance, Handyman Services</t>
  </si>
  <si>
    <t>Gustas Outdoor Power Equipment</t>
  </si>
  <si>
    <t>7684 Southrail Rd;Apt A;Charleston SC 29420-9000;USA</t>
  </si>
  <si>
    <t>Outdoor Power Equipment Sales &amp; Service</t>
  </si>
  <si>
    <t>Lawn Mower Sales, Chainsaw Sales, Parts, Equipment Repair</t>
  </si>
  <si>
    <t>Lighting and Lamp Corporation</t>
  </si>
  <si>
    <t>2552 Pelham Pkwy;Pelham AL 35124-1329;USA</t>
  </si>
  <si>
    <t>Lighting Supply &amp; Distribution</t>
  </si>
  <si>
    <t>Commercial Lighting, LED Products, Lamp Replacement, Light Fixtures</t>
  </si>
  <si>
    <t>Brecke Mechanical Contractor</t>
  </si>
  <si>
    <t>4140 F Ave NW;Cedar Rapids IA 52405-1947;USA</t>
  </si>
  <si>
    <t>HVAC, Plumbing, Mechanical Systems, Installation</t>
  </si>
  <si>
    <t>FireTech Extinguisher Service &amp; Safety Equipment Co, LLC</t>
  </si>
  <si>
    <t>10627 5th Ave;Ocoee FL 34761;USA</t>
  </si>
  <si>
    <t>Fire Extinguisher Service, Kitchen Suppression, Inspections, Safety Equipment</t>
  </si>
  <si>
    <t>Sigler Heat and Air, LLC</t>
  </si>
  <si>
    <t>1150 S Joplin;Tulsa OK 74112;USA</t>
  </si>
  <si>
    <t>Spectra Laboratories, LLC</t>
  </si>
  <si>
    <t>2221 Ross Way;Tacoma WA 98421-3401;USA</t>
  </si>
  <si>
    <t>Environmental Laboratory Services</t>
  </si>
  <si>
    <t>Water Testing, Soil Testing, Air Quality, Environmental Compliance, Chemical Analysis</t>
  </si>
  <si>
    <t>Mobile Storage Of Calgary</t>
  </si>
  <si>
    <t>PO Box 5462;Grand Island NE 68802 5462;USA</t>
  </si>
  <si>
    <t>Mobile Storage Of Calgary-c</t>
  </si>
  <si>
    <t>11150 38TH ST SE;Calgary ON T2G5S7;CAN</t>
  </si>
  <si>
    <t>Murray Construction Co., Inc.</t>
  </si>
  <si>
    <t>374 Millburn Avenue;4th Floor;Millburn NJ 07041;USA</t>
  </si>
  <si>
    <t>Sterling Lexicon</t>
  </si>
  <si>
    <t>815 South Main Street;Jacksonville FL 32207;USA</t>
  </si>
  <si>
    <t>Global Mobility, Household Goods Moving, Destination Services, Immigration Support, Policy Consulting</t>
  </si>
  <si>
    <t>000799</t>
  </si>
  <si>
    <t>Globalinduatrial.ca</t>
  </si>
  <si>
    <t>C/O th1216 PO Box 4290 STN A;Toronto ON M5W 0E1;CAN</t>
  </si>
  <si>
    <t>Industrial Supply &amp; Equipment</t>
  </si>
  <si>
    <t>MRO Supplies, Safety Products, Material Handling, Janitorial Supplies</t>
  </si>
  <si>
    <t>Fire Tech LLC</t>
  </si>
  <si>
    <t>5024 Business Park Dr;Montgomery AL 36116-2637;USA</t>
  </si>
  <si>
    <t>Fire Extinguisher Service, Fire Suppression, Inspections, Safety Training</t>
  </si>
  <si>
    <t>Capital Relocation Services (db)</t>
  </si>
  <si>
    <t>22810 Quicksilver Dr;Sterling VA 20166-2007;USA</t>
  </si>
  <si>
    <t>Overhead Door Co of Savannah</t>
  </si>
  <si>
    <t>129 AIRPORT PARK DR;SAVANNAH GA 31408-9544;USA</t>
  </si>
  <si>
    <t>Pinnacle Fire &amp; Automation, LLC</t>
  </si>
  <si>
    <t>329 N Waco;Wichita KS 67202;USA</t>
  </si>
  <si>
    <t>Fire Protection &amp; Building Automation</t>
  </si>
  <si>
    <t>Fire Alarm Systems, Fire Suppression, Building Automation, Safety Inspections</t>
  </si>
  <si>
    <t>Overhead Door Co of Rogue Valley</t>
  </si>
  <si>
    <t>PO Box 8193;Medford OR 97501-0493;USA</t>
  </si>
  <si>
    <t>Adam Wild</t>
  </si>
  <si>
    <t>c/o Rue &amp; Ziffra, P.A.;632 Dunlawton Ave;Port Orange FL 32127;USA</t>
  </si>
  <si>
    <t>Manufacturing Staffing, Construction, Aviation, Logistics</t>
  </si>
  <si>
    <t>Priority One Security</t>
  </si>
  <si>
    <t>PO Box 36;Mauldin SC 29662;USA</t>
  </si>
  <si>
    <t>Armed &amp; Unarmed Guards, Patrol Services, Event Security, Alarm Monitoring</t>
  </si>
  <si>
    <t>Unitil-#5071538504</t>
  </si>
  <si>
    <t>PO Box 981077;Boston MA 02298-1077;USA</t>
  </si>
  <si>
    <t>Electric &amp; Gas Utility</t>
  </si>
  <si>
    <t>Electric Service, Natural Gas, Utility Billing, Energy Efficiency Programs</t>
  </si>
  <si>
    <t>Aerial Hydraulics, Inc.</t>
  </si>
  <si>
    <t>5736 Jarvis Street;Harahan LA 70123;USA</t>
  </si>
  <si>
    <t>Aerial Lift Repair, Hydraulic Systems, Equipment</t>
  </si>
  <si>
    <t>Lenny Campbell Service Company Inc.</t>
  </si>
  <si>
    <t>3883 OLD VALLEY PIKE;NEW MARKET VA 22844-3400;USA</t>
  </si>
  <si>
    <t>Heating, Air Conditioning, Plumbing, Mechanical Service &amp; Repair</t>
  </si>
  <si>
    <t>Tire King</t>
  </si>
  <si>
    <t>PO Box 323;Sussex NJ 07461-0323;USA</t>
  </si>
  <si>
    <t>School Bus Safety Program NY</t>
  </si>
  <si>
    <t>BofA Payment Processing Ctr;PO Box 411472;Boston MA 02241;USA</t>
  </si>
  <si>
    <t>School Bus Safety Programs</t>
  </si>
  <si>
    <t>School Bus Safety Training, Compliance Programs</t>
  </si>
  <si>
    <t>Ace Hardware Corporation</t>
  </si>
  <si>
    <t>ATTN: Jason Haddad;2915 Jorie Blvd;Oak Brook IL 60523;USA</t>
  </si>
  <si>
    <t>Hardware Retail Cooperative</t>
  </si>
  <si>
    <t>Paint, Lawn &amp; Garden, Tools, Home Improvement</t>
  </si>
  <si>
    <t>Hammers Towing</t>
  </si>
  <si>
    <t>PO Box 80282;Toledo OH 43608-0282;USA</t>
  </si>
  <si>
    <t>Fond Technologies, Inc. Do Not Use-Use Vendor 149334</t>
  </si>
  <si>
    <t>PO Box 8546;Pasadena CA 91109;USA</t>
  </si>
  <si>
    <t>Employee Benefits Platform (Inactive)</t>
  </si>
  <si>
    <t>Employee Recognition, Rewards Platform, Corporate Perks</t>
  </si>
  <si>
    <t>ARIN</t>
  </si>
  <si>
    <t>P.O. Box 719477;Philadelphia PA 19171;USA</t>
  </si>
  <si>
    <t>Internet Registry Services</t>
  </si>
  <si>
    <t>IP Address Management, Network Resource Registry</t>
  </si>
  <si>
    <t>Austin Fire Systems LLC</t>
  </si>
  <si>
    <t>PO Box 411;Prairieville LA 70769;USA</t>
  </si>
  <si>
    <t>Fire Sprinklers, Fire Alarms, Inspections</t>
  </si>
  <si>
    <t>HCTRA- Violations</t>
  </si>
  <si>
    <t>PO Box 4440;Dept. 8;Houston TX 77210;USA</t>
  </si>
  <si>
    <t>Toll Violations &amp; Collection</t>
  </si>
  <si>
    <t>Toll Violation Processing, Toll Payment, Harris County Toll Road</t>
  </si>
  <si>
    <t>SNO CO Dist CT South DIV</t>
  </si>
  <si>
    <t>20520 68TH AVE W;LYNNWOOD WA 98036-7406;USA</t>
  </si>
  <si>
    <t>Court Services</t>
  </si>
  <si>
    <t>District Court Services, Legal Processing</t>
  </si>
  <si>
    <t>Mid-Atlantic Appraisal Cons.</t>
  </si>
  <si>
    <t>365 Broad St Suite 12;Red Bank NJ 07701;USA</t>
  </si>
  <si>
    <t>Real Estate Appraisal Services</t>
  </si>
  <si>
    <t>Commercial Appraisal, Residential Appraisal, Consulting, Valuation</t>
  </si>
  <si>
    <t>ADP Inc.</t>
  </si>
  <si>
    <t>Attn: Gina Fresolone;One ADP Blvd MS A248;Roseland NJ 07068;USA</t>
  </si>
  <si>
    <t>Tax Compliance, Benefits Administration, Time &amp; Attendance, HCM</t>
  </si>
  <si>
    <t>Roanoke Gas Company-#0751953-1</t>
  </si>
  <si>
    <t>PO Box 70848;Charlotte NC 28272-0848;USA</t>
  </si>
  <si>
    <t>Natural Gas Utility</t>
  </si>
  <si>
    <t>Natural Gas Delivery, Gas Line Service, Utility Operations</t>
  </si>
  <si>
    <t>Illinois Tollway</t>
  </si>
  <si>
    <t>PO Box 5544;Chicago IL 60680;USA</t>
  </si>
  <si>
    <t>Toll Collection, Transponder Services, I-PASS, Traffic Management</t>
  </si>
  <si>
    <t>Progressive Commercial Services, LLC.</t>
  </si>
  <si>
    <t>PO Box 91297;Raleigh NC 27675-1297;USA</t>
  </si>
  <si>
    <t>Janitorial, Floor Care, Window Cleaning, Facility Maintenance</t>
  </si>
  <si>
    <t>Pet Screening Inc.</t>
  </si>
  <si>
    <t>603 South Church Street;Mooresville NC 28115;USA</t>
  </si>
  <si>
    <t>Pet Screening &amp; Policy Management Software</t>
  </si>
  <si>
    <t>Assistance Animal Verification, Pet Risk Assessment, Pet Policy Management, Rental Property Integration</t>
  </si>
  <si>
    <t>Saf-Way Recycler</t>
  </si>
  <si>
    <t>PO Box 1671;Conway SC 29528;USA</t>
  </si>
  <si>
    <t>Recycling &amp; Salvage Services</t>
  </si>
  <si>
    <t>Auto Recycling, Salvage Parts, Scrap Metal Buying</t>
  </si>
  <si>
    <t>Security Dynamics Inc.</t>
  </si>
  <si>
    <t>3215 East Yandell Drive;El Paso TX 79903;USA</t>
  </si>
  <si>
    <t>Security Installation, Alarm Monitoring, CCTV, Access Control</t>
  </si>
  <si>
    <t>Transteck, Inc.</t>
  </si>
  <si>
    <t>4360 LEWIS RD;HARRISBURG PA 17111-2538;USA</t>
  </si>
  <si>
    <t>Truck Sales, Parts, Service, Leasing, Body Shop, Used Trucks</t>
  </si>
  <si>
    <t>Averitt Express, Inc.</t>
  </si>
  <si>
    <t>1415 Neal St;PO Box 3166;Cookeville TN 38501-4328;USA</t>
  </si>
  <si>
    <t>Truck Terminal, Distribution Facility</t>
  </si>
  <si>
    <t>Keane Fire &amp; Safety Equipment Co</t>
  </si>
  <si>
    <t>1500 Main St;Waltham MA 02451 1635;USA</t>
  </si>
  <si>
    <t>Fire Extinguishers, Safety Equipment, Fire Suppression, Inspections</t>
  </si>
  <si>
    <t>MC Tabor Enterprises</t>
  </si>
  <si>
    <t>1440 Dutch Valley Pl NE;Ste 1000;Atlanta GA 30324-5389;USA</t>
  </si>
  <si>
    <t>Janitorial, Building Maintenance, Grounds Care</t>
  </si>
  <si>
    <t>Complete Auto Glass</t>
  </si>
  <si>
    <t>PO Box 8099;Kentwood MI 49518-8099;USA</t>
  </si>
  <si>
    <t>Jon-Don LLC dba Factory Cleaning Equipment by Jon-Don LLC</t>
  </si>
  <si>
    <t>1578 A Beverly Court;Aurora IL 60502;USA</t>
  </si>
  <si>
    <t>Industrial Floor Cleaning Equipment</t>
  </si>
  <si>
    <t>Floor Scrubbers, Sweepers, Parts, Rental, Service &amp; Repair</t>
  </si>
  <si>
    <t>Napa Auto Parts-DO NOT USE</t>
  </si>
  <si>
    <t>1005 Dallas Dr;Denton TX 76205 5277;USA</t>
  </si>
  <si>
    <t>Auto Parts, Tools, Accessories, Fleet Parts Programs</t>
  </si>
  <si>
    <t>NTTA</t>
  </si>
  <si>
    <t>North Texas Tollway Authority;PO Box 660244;Dallas TX 75266 0244;USA</t>
  </si>
  <si>
    <t>Toll Road Authority</t>
  </si>
  <si>
    <t>Toll Collection, TollTag/TxTag, Highway Operations, Traffic Management</t>
  </si>
  <si>
    <t>Texas Lone Star Plumbing LLC</t>
  </si>
  <si>
    <t>4691 COLLEGE ST;BEAUMONT TX 77707-3809;USA</t>
  </si>
  <si>
    <t>Residential Plumbing, Commercial Plumbing, Drain Cleaning, Water Heaters, Pipe Repair</t>
  </si>
  <si>
    <t>Spectrum Business #8260 13 009 1585300</t>
  </si>
  <si>
    <t>Time Warner Cable;PO Box 60074;City Of Industry CA 91716;USA</t>
  </si>
  <si>
    <t>Telecommunications &amp; Internet Services</t>
  </si>
  <si>
    <t>Business Internet, Phone, TV, Fiber, Networking, Wi-Fi Solutions</t>
  </si>
  <si>
    <t>Net RMA Processing</t>
  </si>
  <si>
    <t>PO Box 734182;Dallas TX 75373-4182;USA</t>
  </si>
  <si>
    <t>Returns &amp; Reverse Logistics</t>
  </si>
  <si>
    <t>RMA Processing, Product Returns, Refurbishment, Recycling</t>
  </si>
  <si>
    <t>001197</t>
  </si>
  <si>
    <t>Les Gestions NAS Inc.</t>
  </si>
  <si>
    <t>1151, Autoroute 440 Ouest;Laval QC H7L 3W3;CAN</t>
  </si>
  <si>
    <t>Property Management &amp; Administrative Services</t>
  </si>
  <si>
    <t>Real Estate Management, Administrative Support, Facility Services</t>
  </si>
  <si>
    <t>Central Florida Expressway Auth</t>
  </si>
  <si>
    <t>Violation Enforcement Section;PO Box 585070;Orlando FL 32858;USA</t>
  </si>
  <si>
    <t>Industrial Storage Tank Construction</t>
  </si>
  <si>
    <t>Tank Engineering, Construction, Maintenance</t>
  </si>
  <si>
    <t>Baxter Estates Court</t>
  </si>
  <si>
    <t>315 MAIN ST;PORT WASHINGTON NY 11050-2705;USA</t>
  </si>
  <si>
    <t>Property Services, Business Support</t>
  </si>
  <si>
    <t>001265</t>
  </si>
  <si>
    <t>Moving Waldo, Inc.</t>
  </si>
  <si>
    <t>Attn: Phillipe Tardif-Michaud;917 Ave. Mont-Royal Est;Montreal QC H2J 1X3;CAN</t>
  </si>
  <si>
    <t>Relocation Technology Platform</t>
  </si>
  <si>
    <t>Utility Setup, Change of Address Automation, Moving Concierge, Home Services</t>
  </si>
  <si>
    <t>Crystal Springs</t>
  </si>
  <si>
    <t>Bottled Water, Water Coolers, Filtration Systems</t>
  </si>
  <si>
    <t>Advanced Lock and Alarm</t>
  </si>
  <si>
    <t>PO Box 832;East Granby CT 06026;USA</t>
  </si>
  <si>
    <t>Locksmith, Alarm Systems, Security Installation</t>
  </si>
  <si>
    <t>CertaSite, LLC</t>
  </si>
  <si>
    <t>9855 CROSSPOINT BLVD;STE 126;INDIANAPOLIS IN 46256-3355;USA</t>
  </si>
  <si>
    <t>Automotive Dealership Software</t>
  </si>
  <si>
    <t>DMS Systems, CRM, Digital Marketing, Dealer Technology</t>
  </si>
  <si>
    <t>Advanced Fluid Power, Inc.</t>
  </si>
  <si>
    <t>PO Box 628;Theodore AL 36590-0628;USA</t>
  </si>
  <si>
    <t>Hydraulic &amp; Fluid Power</t>
  </si>
  <si>
    <t>Hydraulic Systems, Pneumatics, Industrial Equipment</t>
  </si>
  <si>
    <t>Language Testing International Inc.</t>
  </si>
  <si>
    <t>580 White Plains Road;Suite 660;Tarrytown NY 10591;USA</t>
  </si>
  <si>
    <t>Language Proficiency Testing</t>
  </si>
  <si>
    <t>ACTFL Testing, Language Certification, Corporate Language Assessment, Translation</t>
  </si>
  <si>
    <t>Jeffrey Knight</t>
  </si>
  <si>
    <t>35 E 84th Street, Apt 11A;New York NY 10028;USA</t>
  </si>
  <si>
    <t>CCA Global Partners Inc.</t>
  </si>
  <si>
    <t>4301 EARTH CITY EXPY;EARTH CITY MO 63045-1334;USA</t>
  </si>
  <si>
    <t>Business Services</t>
  </si>
  <si>
    <t>Cooperative Services, Business Solutions, Purchasing</t>
  </si>
  <si>
    <t>Commonwealth Gaming &amp; Ho</t>
  </si>
  <si>
    <t>PO Box 88250;Sioux Falls SD 57109;USA</t>
  </si>
  <si>
    <t>Real Estate, Hospitality, Gaming Venue</t>
  </si>
  <si>
    <t>Andrew Schuetz</t>
  </si>
  <si>
    <t>15609 GOVERNORS ISLAND WAY;PROSPER TX 75078-1715;USA</t>
  </si>
  <si>
    <t>000619</t>
  </si>
  <si>
    <t>Air Liquide</t>
  </si>
  <si>
    <t>MH2042, PO BOX 6789, STN Centre-Ville;Montreal QC H3C 4J5;CAN</t>
  </si>
  <si>
    <t>Specialty Gases, Medical Gases, Hydrogen, Equipment</t>
  </si>
  <si>
    <t>The Salvation Army Western Terr. Hq</t>
  </si>
  <si>
    <t>Attn: Allison Welch;30840 Hawthorne Blvd;Rancho Palos Verdes CA 90275-5301;USA</t>
  </si>
  <si>
    <t>SaveAround</t>
  </si>
  <si>
    <t>PO Box 2399;Binghamton NY 13902;USA</t>
  </si>
  <si>
    <t>Discount Coupon &amp; Savings Platform</t>
  </si>
  <si>
    <t>Digital Coupons, Cashback Offers, Brand Deals, Savings Programs</t>
  </si>
  <si>
    <t>SHARP- Pinellas Cty Sherriffs Off</t>
  </si>
  <si>
    <t>PO Box 2500;Largo FL 33779 2500;USA</t>
  </si>
  <si>
    <t>Law Enforcement Programs</t>
  </si>
  <si>
    <t>School Resource Officers, Public Safety Programs</t>
  </si>
  <si>
    <t>Pony Up Moving</t>
  </si>
  <si>
    <t>ATN: Rusty Koch;1301 E Parkerville Road;De Soto TX 75115;USA</t>
  </si>
  <si>
    <t>Local Moving, Long-Distance Moving, Packing Services, Loading &amp; Unloading</t>
  </si>
  <si>
    <t>Suburban Propane-1645</t>
  </si>
  <si>
    <t>Advanced Refreshments of Michigan</t>
  </si>
  <si>
    <t>1256 West Sharon Road;Cincinnati OH 45240;USA</t>
  </si>
  <si>
    <t>Vending &amp; Breakroom Services</t>
  </si>
  <si>
    <t>Micro Markets, Office Coffee, Vending Machines</t>
  </si>
  <si>
    <t>001236</t>
  </si>
  <si>
    <t>SNT Solutions</t>
  </si>
  <si>
    <t>32 Topple Drive;Dartmouth NS B3B 1L6;CAN</t>
  </si>
  <si>
    <t>IT Services, Networking, Managed IT, Infrastructure</t>
  </si>
  <si>
    <t>Maine Oxy Acetylene Supply Co.</t>
  </si>
  <si>
    <t>100 Washington Street North;Auburn ME 04210;USA</t>
  </si>
  <si>
    <t>Industrial &amp; Welding Gas Supply</t>
  </si>
  <si>
    <t>Oxygen, Acetylene, Welding Supplies, Safety Equipment, Industrial Gases</t>
  </si>
  <si>
    <t>Overhead Door Co of Shreveport</t>
  </si>
  <si>
    <t>9421 St Vincent Ave;Shreveport LA 71106;USA</t>
  </si>
  <si>
    <t>Southeast Industrial Equipment, Inc.</t>
  </si>
  <si>
    <t>PO Box 63230;Charlotte NC 28263-3230;USA</t>
  </si>
  <si>
    <t>Forklift Sales &amp; Service, Rentals, Parts, Material Handling, Warehouse Equipment</t>
  </si>
  <si>
    <t>NYC Dept Of Finance-3600</t>
  </si>
  <si>
    <t>PARKING VIOLATIONS;CHURCH STREET STATION;PO BOX 3600;New York NY 10008-3600;USA</t>
  </si>
  <si>
    <t>Terminix Commercial</t>
  </si>
  <si>
    <t>PO Box 735458;Dallas TX 75373;USA</t>
  </si>
  <si>
    <t>Termite Treatment, Pest Prevention, Bed Bug Treatment, Commercial Pest Control, Wildlife Control</t>
  </si>
  <si>
    <t>Missouri Dept of Agiculture, Weights, Measures and Comsumer</t>
  </si>
  <si>
    <t>P.O.BOX 630;Jefferson City MO 65102;USA</t>
  </si>
  <si>
    <t>Weights &amp; Measures, Consumer Protection, Agricultural Regulation</t>
  </si>
  <si>
    <t>Spectora, Inc.</t>
  </si>
  <si>
    <t>1005 S Gaylord St;Denver CO 80209;USA</t>
  </si>
  <si>
    <t>Home Inspection Software</t>
  </si>
  <si>
    <t>Inspection Reporting, Mobile App, Scheduling, Business Management, Home Inspector Tools</t>
  </si>
  <si>
    <t>Occup Health Ctrs of Kansas, P.A.</t>
  </si>
  <si>
    <t>PO Box 369;Lombard IL 60126;USA</t>
  </si>
  <si>
    <t>Occupational Health Services</t>
  </si>
  <si>
    <t>Drug Testing, Physical Exams, Workers' Comp, Wellness Programs</t>
  </si>
  <si>
    <t>Appalachian Power-#023-479-215-1-8</t>
  </si>
  <si>
    <t>PO Box 371496;Pittsburgh PA 15250-7496;USA</t>
  </si>
  <si>
    <t>Electric Utility Services</t>
  </si>
  <si>
    <t>Electricity Supply, Power Distribution</t>
  </si>
  <si>
    <t>Paylode, Inc.</t>
  </si>
  <si>
    <t>1065 SW 8th Street;Suite 1320;Miami FL 33130;USA</t>
  </si>
  <si>
    <t>Customer Perk Management Platform</t>
  </si>
  <si>
    <t>Embedded Rewards, API Integration, Customer Engagement, Loyalty Programs</t>
  </si>
  <si>
    <t>The Bug Man, Inc.</t>
  </si>
  <si>
    <t>1946 Wooddale Blvd.;Baton Rouge LA 70806;USA</t>
  </si>
  <si>
    <t>Termite Treatment, General Pest Control, Mosquito Control, Wildlife Removal</t>
  </si>
  <si>
    <t>Buckeye Plumbing Inc.</t>
  </si>
  <si>
    <t>310 Business Parkway;West Palm Beach FL 33411;USA</t>
  </si>
  <si>
    <t>Lori Folco dba Rhode Island Cross Connection Control</t>
  </si>
  <si>
    <t>72 Evergreen Rd,;North Kingstown RI 02852;USA</t>
  </si>
  <si>
    <t>Cross-Connection Control &amp; Backflow Testing</t>
  </si>
  <si>
    <t>Backflow Prevention, Annual Testing, Plumbing Compliance</t>
  </si>
  <si>
    <t>One Point Solutions</t>
  </si>
  <si>
    <t>Attn: Kim Cunningham &amp; Alex Rudolph 1500 Walnut St;Philadelphia PA 19102;USA</t>
  </si>
  <si>
    <t>Telecommunications &amp; IT Solutions</t>
  </si>
  <si>
    <t>Phone Systems, VoIP, Structured Cabling, Managed IT, Network Services</t>
  </si>
  <si>
    <t>Fire Safety First, LLC</t>
  </si>
  <si>
    <t>1170 E FRUIT ST;SANTA ANA CA 92701-4205;USA</t>
  </si>
  <si>
    <t>Fire Extinguishers, Safety Equipment, Inspections, Fire Code Compliance</t>
  </si>
  <si>
    <t>Chantez Dickerson</t>
  </si>
  <si>
    <t>c/o Wilson Jones Carter Baxley Attn: Ian Gohean;325 Rocky Slope Rd, Ste 201;Greenville SC 29607;USA</t>
  </si>
  <si>
    <t>Healthcare Management Services</t>
  </si>
  <si>
    <t>Managed Care, Health Plan Administration, Member Services</t>
  </si>
  <si>
    <t>Thomas Asselin</t>
  </si>
  <si>
    <t>7 CROSSVINE DR;ORMOND BEACH FL 32174-1475;USA</t>
  </si>
  <si>
    <t>Kelly Dukes</t>
  </si>
  <si>
    <t>515 77TH ST E;# 9;PALMETTO FL 34221-9773;USA</t>
  </si>
  <si>
    <t>Company Name</t>
  </si>
  <si>
    <t>Main Technical Service</t>
  </si>
  <si>
    <t>Additional Technical Services</t>
  </si>
  <si>
    <t>Relocation Tech Platform</t>
  </si>
  <si>
    <t>Utility Setup, Change of Address Automation</t>
  </si>
  <si>
    <t>Southeast Industrial Equipment</t>
  </si>
  <si>
    <t>Material Handling Solutions</t>
  </si>
  <si>
    <t>Fleet Management, Equipment Telematics</t>
  </si>
  <si>
    <t>AI Virtual Agents, Workforce Engagement</t>
  </si>
  <si>
    <t>RG Group</t>
  </si>
  <si>
    <t>Motion Control &amp; Fluid Power</t>
  </si>
  <si>
    <t>Robotics, Hydraulic/Pneumatic Systems</t>
  </si>
  <si>
    <t>Tata Consultancy Services</t>
  </si>
  <si>
    <t>IT Services &amp; Managed Solutions</t>
  </si>
  <si>
    <t>Cloud Migration, Software Development</t>
  </si>
  <si>
    <t>Workforce Management / HRIS</t>
  </si>
  <si>
    <t>Payroll, Talent Management, Analytics</t>
  </si>
  <si>
    <t>Salesforce Marketing Cloud</t>
  </si>
  <si>
    <t>Digital Strategy, CRM Consulting</t>
  </si>
  <si>
    <t>Mobile App, Business Management Tools</t>
  </si>
  <si>
    <t>Customer Perk Management</t>
  </si>
  <si>
    <t>Embedded Rewards, API Integration</t>
  </si>
  <si>
    <t>Toll Management Solutions</t>
  </si>
  <si>
    <t>Fleet Administration, Violation Processing</t>
  </si>
  <si>
    <t>Revenue Management, Sales Effectiveness</t>
  </si>
  <si>
    <t>Data &amp; Technology Consulting</t>
  </si>
  <si>
    <t>Cybersecurity, Forensic Accounting</t>
  </si>
  <si>
    <t>CPQ (Configure, Price, Quote)</t>
  </si>
  <si>
    <t>Commerce Engines, Product Configuration</t>
  </si>
  <si>
    <t>Row Labels</t>
  </si>
  <si>
    <t>Vendors</t>
  </si>
  <si>
    <t>Spend</t>
  </si>
  <si>
    <t>Grand Total</t>
  </si>
  <si>
    <t>Vendor Rank</t>
  </si>
  <si>
    <t>Vendor Name</t>
  </si>
  <si>
    <t>Spend Amount</t>
  </si>
  <si>
    <t>Cumulative Spend</t>
  </si>
  <si>
    <t>Cumulative %</t>
  </si>
  <si>
    <t>Total Spend</t>
  </si>
  <si>
    <t>Summary</t>
  </si>
  <si>
    <t>Total Spend:</t>
  </si>
  <si>
    <t>80% Threshold:</t>
  </si>
  <si>
    <t>Vendors for 80%:</t>
  </si>
  <si>
    <t>Total Vendors:</t>
  </si>
  <si>
    <t>% of Vendors:</t>
  </si>
  <si>
    <t>First vendor over 80%:</t>
  </si>
  <si>
    <t>That vendor's name:</t>
  </si>
  <si>
    <t>Cumulative % at vendor 118:</t>
  </si>
  <si>
    <t>Cumulative % at vendor 119: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</si>
</sst>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,&quot;K&quot;"/>
  </numFmts>
  <fonts count="8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0" fontId="3" fillId="0" borderId="0" xfId="0" applyFont="1" applyAlignment="1">
      <alignment wrapText="1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  <xf numFmtId="44" fontId="1" fillId="0" borderId="2" xfId="1" applyFont="1" applyBorder="1" applyAlignment="1">
      <alignment horizontal="center" vertical="top"/>
    </xf>
    <xf numFmtId="44" fontId="4" fillId="0" borderId="2" xfId="1" applyFont="1" applyBorder="1" applyAlignment="1">
      <alignment horizontal="center" vertical="top"/>
    </xf>
    <xf numFmtId="0" fontId="5" fillId="0" borderId="0" xfId="0" applyFont="1"/>
    <xf numFmtId="10" fontId="0" fillId="0" borderId="0" xfId="0" applyNumberFormat="1"/>
    <xf numFmtId="164" fontId="0" fillId="0" borderId="0" xfId="0" applyNumberFormat="1"/>
    <xf numFmtId="0" fontId="6" fillId="2" borderId="0" xfId="0" applyFont="1" applyFill="1"/>
    <xf numFmtId="0" fontId="7" fillId="2" borderId="0" xfId="0" applyFont="1" applyFill="1"/>
    <xf numFmtId="0" fontId="4" fillId="0" borderId="2" xfId="0" applyFont="1" applyBorder="1" applyAlignment="1">
      <alignment horizontal="center" vertical="top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2">
    <cellStyle name="Currency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0.00_);[Red]\(0.00\)"/>
    </dxf>
    <dxf>
      <numFmt numFmtId="165" formatCode="&quot;$&quot;#,##0,&quot;K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Ligas" refreshedDate="46121.680208564816" createdVersion="8" refreshedVersion="8" minRefreshableVersion="3" recordCount="2225" xr:uid="{29BC251F-4786-4485-834A-913347FF5106}">
  <cacheSource type="worksheet">
    <worksheetSource ref="A1:J1048576" sheet="Enriched Data"/>
  </cacheSource>
  <cacheFields count="10">
    <cacheField name="ACCOUNTNUM" numFmtId="0">
      <sharedItems containsBlank="1" containsMixedTypes="1" containsNumber="1" containsInteger="1" minValue="100020" maxValue="152746"/>
    </cacheField>
    <cacheField name="Top Group" numFmtId="0">
      <sharedItems containsBlank="1" count="3">
        <s v="80% Spend"/>
        <s v="20% Spend"/>
        <m/>
      </sharedItems>
    </cacheField>
    <cacheField name="NAME" numFmtId="0">
      <sharedItems containsBlank="1" count="2283">
        <s v="Morgan Stanley"/>
        <s v="Tombras"/>
        <s v="Blackhawk Transport Inc"/>
        <s v="Xn Financial -us"/>
        <s v="Ryder Transportation Services-CHIC"/>
        <s v="C R England Inc"/>
        <s v="Schneider National Carriers, Inc."/>
        <s v="Averitt Express"/>
        <s v="USA Truck LLC"/>
        <s v="Concentrix Solutions Corporation"/>
        <s v="NFI"/>
        <s v="WEX Bank"/>
        <s v="Fidelity 401K"/>
        <s v="Marsh Usa Inc"/>
        <s v="Cass Information Systems, Inc"/>
        <s v="Liberty Mutual Insurance"/>
        <s v="Salesforce.com"/>
        <s v="Express Scripts, Inc"/>
        <s v="Ernst &amp; Young LLP"/>
        <s v="J Hawk Inc"/>
        <s v="Microsoft Licensing Gp"/>
        <s v="Armstrong Transport Group Inc"/>
        <s v="Hogan Dedicated Services, Inc."/>
        <s v="Total Transportation of MS, LLC"/>
        <s v="Maverick Transporation LLC"/>
        <s v="Pasha Group"/>
        <s v="Prologis, L.P"/>
        <s v="Sea Box Inc."/>
        <s v="Global Logistics Group, LLC"/>
        <s v="Frank Consolidated Enterprises LLC"/>
        <s v="Gallagher Bassett Services, Inc."/>
        <s v="Dynamic Wave, LLC"/>
        <s v="AFCO Credit-Direct"/>
        <s v="Lion Industrial Properties LP"/>
        <s v="Penske"/>
        <s v="Legacy Support Services"/>
        <s v="Ryder Truck Rental Canada"/>
        <s v="Concept Logistics"/>
        <s v="Los Angeles County Employees Retirement"/>
        <s v="Pacab LLC"/>
        <s v="HYG Financial Services, Inc."/>
        <s v="BTC II Holdco, LLC"/>
        <s v="Boyle at 54th, LLC"/>
        <s v="Gateway Logistics, Inc."/>
        <s v="Terreno Realty Corporation"/>
        <s v="Gateway Pacific Vista LLC"/>
        <s v="Dyer Business Park c/o Shea Ctr Cor"/>
        <s v="FKQ Marketing"/>
        <s v="Rexford Industrial Realty LP"/>
        <s v="Greatwide Dallas Mavis LLC"/>
        <s v="DD Rich"/>
        <s v="Logistic Dynamics LLC"/>
        <s v="ReliaStar Life insurance Co."/>
        <s v="J.P.Morgan REIT Operating Part LP"/>
        <s v="National Financial Services LLC"/>
        <s v="Yale Materials Handling Corp"/>
        <s v="Cintas National Rental A/R"/>
        <s v="Fleming Business Park LLC"/>
        <s v="Five9 Inc."/>
        <s v="Best Bay Logistics Inc"/>
        <s v="PS Business Parks, LP"/>
        <s v="Ryder Truck Rental INC"/>
        <s v="Tata Consultancy Services Limited"/>
        <s v="Bridge FLL, LLC"/>
        <s v="2065 George St"/>
        <s v="ListEngage, LLC"/>
        <s v="Greyway Global LLC"/>
        <s v="LBA LVF IX Aggregator, LLC"/>
        <s v="Veritas Logistics"/>
        <s v="American Express"/>
        <s v="Sandell Holdings LLC"/>
        <s v="Nirro LLC"/>
        <s v="Lima Truck Brokers LLC"/>
        <s v="Build to Core Industrial Partn"/>
        <s v="PBI Post Dist. LLC"/>
        <s v="VMD Industrial V LLC"/>
        <s v="Coast 2 Coast Logistics LLC"/>
        <s v="Bestpass, Inc."/>
        <s v="Teachers Ins&amp; Anny Assoc of America"/>
        <s v="Miller Dedicated Services"/>
        <s v="Invesco U.S. Income REIT, LLC"/>
        <s v="Bristol Warehouse LLC"/>
        <s v="Majestic Realty Co."/>
        <s v="94 Business Park Drive Associates"/>
        <s v="Orlando Corporation"/>
        <s v="E Thomas Harvey III"/>
        <s v="BA One REIT LLC"/>
        <s v="Sullivan &amp; Cromwell LLP"/>
        <s v="Wheels Leasing Canada LTD"/>
        <s v="Simon Kucher &amp; Partners"/>
        <s v="GFI Big Joe LLC"/>
        <s v="Standard Ins Co (Life/Disability)"/>
        <s v="GuidePoint Security Holdings LLC"/>
        <s v="LMO Creekside Dist., LLC"/>
        <s v="Aetna Life Insurance Company Medical"/>
        <s v="Mode Transportation, LLC"/>
        <s v="HDC Properties Hanua Logistic Ctr"/>
        <s v="Ankura Consulting Group LLC"/>
        <s v="BGO Diversified Property Fund REIT LLC"/>
        <s v="SML Relocation LLC"/>
        <s v="RG Industries dba RG Group"/>
        <s v="Motus Freight LLC"/>
        <s v="Grizz Logistics"/>
        <s v="New Age Holdings LLC"/>
        <s v="Jing Jiang Asian-Pacific Special Mt"/>
        <s v="CREIT Management LP in Trust for CREIT Alberta Industrial"/>
        <s v="625 Universtiy Leasehold Owner, LLC"/>
        <s v="Pac West Equities dba PW Fund Do not use - use 152202"/>
        <s v="UKG Inc."/>
        <s v="29899 SW Boones Ferry Rd Co LLC"/>
        <s v="Rastegar Rel Fund Mgt Infinity Park"/>
        <s v="Werner Enterprises Inc"/>
        <s v="Pine Forest Everett, LLC"/>
        <s v="Focused Labs, Inc."/>
        <s v="One Fifteen-M-Woodridge, L.L.C."/>
        <s v="JM Holdings USA LLC"/>
        <s v="AAFES"/>
        <s v="Almar Management LLC"/>
        <s v="First Industrial Realty Trust"/>
        <s v="Austin Warehouse LLC"/>
        <s v="Allegis dba Aerotek"/>
        <s v="Nor Co 2534 Holdings, LLC"/>
        <s v="CIGNITI TECHNOLOGIES LIMITED"/>
        <s v="Florida Storage Equities LLC"/>
        <s v="Hurley Felds 1, LLC"/>
        <s v="GP Trans Inc."/>
        <s v="Sureway Transportation Company"/>
        <s v="Traffic Tech, Inc."/>
        <s v="FitzMark Inc."/>
        <s v="McClellan Park LLC"/>
        <s v="Portable Storage Canada, LTD"/>
        <s v="PROS Inc."/>
        <s v="Logik.io Inc"/>
        <s v="CB Luna Industrial No 2"/>
        <s v="RCCI Inc"/>
        <s v="ARA-B, LLC"/>
        <s v="Amazon Capital Services, Inc."/>
        <s v="Ashley Romulus LLC"/>
        <s v="Manassas Logistics Center LLC"/>
        <s v="MTA Distributors LLC"/>
        <s v="Cascades West LLC"/>
        <s v="The Westwood Companies Inc"/>
        <s v="IL Trep Kingsland, LLC"/>
        <s v="Verizon Wireless- #920358656"/>
        <s v="WEX Canada"/>
        <s v="Russell Lane Technology"/>
        <s v="Frederickson 50, LLC"/>
        <s v="SPW - DIST, LLC"/>
        <s v="Adler AB Owner XVII LLC dba Adler Industrial LLC"/>
        <s v="HG Logistics LLC"/>
        <s v="Kennesaw 75 Investors LLC"/>
        <s v="N&amp;G Realty Co."/>
        <s v="Usa Logistics Inc"/>
        <s v="PVR Consulting Inc"/>
        <s v="BCP Owner LLC"/>
        <s v="Sherwin Williams District Credit"/>
        <s v="Mansfield Oil Co of Gainesville, ."/>
        <s v="Guide Southbelt DRE, LLC"/>
        <s v="Colliers Macaulay Nicolls Inc. ITF"/>
        <s v="SL Project Texas 2, LP"/>
        <s v="Wesgroup Properties Ltd."/>
        <s v="Cosa Nova Fashions"/>
        <s v="Mastech Digital Technologies Inc."/>
        <s v="Aetna Life Insurance Company Voluntary"/>
        <s v="RSM US LLP"/>
        <s v="Avot Realty Sanford Logistics Ctr"/>
        <s v="San Marcos Warehouse LLC"/>
        <s v="AmeriGas -371473"/>
        <s v="TCD245 Sunbelt Property LLC-Do Not Use"/>
        <s v="Marlboro Dist Rte 9 LLC"/>
        <s v="Columbia Georgia Horizon Industrl"/>
        <s v="Warren Warehouse,LLC"/>
        <s v="94-40 Merrick Blvd. LLC- DO NOT USE-USE 111153"/>
        <s v="TransForce Inc."/>
        <s v="OCF-S West 38, LLC"/>
        <s v="Ivoyant, LLC"/>
        <s v="Trace3 LLC"/>
        <s v="BCI IV Operating Partnership LP"/>
        <s v="CK Ridge Creek West lll, LLC"/>
        <s v="Stevens Group Management dba L&amp;M Ent. Ltd."/>
        <s v="Fastenal"/>
        <s v="Merritt Properties, LLC-Elkridge"/>
        <s v="Teleport Logistic Services Inc."/>
        <s v="Clackamas Commons II LLC"/>
        <s v="799A Kahelu Ave, LLC"/>
        <s v="Carrot HR Inc. dba Assembly"/>
        <s v="Prologis USLV Subreit 4, LLC"/>
        <s v="TDC Charleston Partners I, LLC"/>
        <s v="Guide Kenswick DRE, LLC"/>
        <s v="Franco Transport, Inc."/>
        <s v="Walker Ford Company Inc"/>
        <s v="West Gate Industrial Park LLC"/>
        <s v="Calverton Dist RTE 25 LLC"/>
        <s v="EQT Exeter Industrial REIT VI, LLC"/>
        <s v="COS Dabling Distr. LLC"/>
        <s v="Tiburon Advisors, LLC"/>
        <s v="Stonewood Properties FBO Cornell,"/>
        <s v="Cooper Dysert"/>
        <s v="MM&amp;A LLC"/>
        <s v="Trident Realty LLC"/>
        <s v="Chattanooga Industrial Two, LLC"/>
        <s v="Kforce Professional Staffing"/>
        <s v="DELOITTE &amp; TOUCHE LLP"/>
        <s v="BREIT Industrial"/>
        <s v="Rush Truck Centers of Florida, Inc"/>
        <s v="First Industrial LP-CO"/>
        <s v="Exeter Operating Partnership V, LP"/>
        <s v="Cintas Corporation"/>
        <s v="KRE AIP VI LLC- Do not use"/>
        <s v="Cranbrook Realty Investment Fund"/>
        <s v="Horizon Pacific Management Inc."/>
        <s v="Inland Plywood"/>
        <s v="Commerce Drive 6, LLC"/>
        <s v="GPG Clearwater, LLC"/>
        <s v="Lennon Fleet Service Dr LLC"/>
        <s v="Rainbow Properties c/o Jones LaSalle Real Estate Services, Inc"/>
        <s v="Lowen Corporation"/>
        <s v="SAF Hart Distributors, LLC"/>
        <s v="Stag Industrial Holdings LLC"/>
        <s v="Argano, LLC"/>
        <s v="Exeter Industrial Core IV"/>
        <s v="AUG Commerce Distributors, LLC"/>
        <s v="HS Chicago Portfolio Investors LLC"/>
        <s v="ONX1-400 LLC - DO NOT USE"/>
        <s v="Samsara Networks Inc."/>
        <s v="Flexential"/>
        <s v="Minkles Broadpointe II LLC"/>
        <s v="Plymouth Industrial OP, LP"/>
        <s v="Cabot Industrial Value Fund VI"/>
        <s v="Setzer Properties BCWLXK, LLC"/>
        <s v="South Air Depot Industrial LLC"/>
        <s v="Goodyear Tire &amp; Rubber Co"/>
        <s v="ZionsCo, LLC"/>
        <s v="Synoptek"/>
        <s v="Ohana Housing &amp; Development, Inc."/>
        <s v="HTO E Hampton Distr LLC"/>
        <s v="Dickinson Fleet Services"/>
        <s v="I-10/Gulf Coast Logistics Ctr II"/>
        <s v="Merritt Properties, LLC-White Marsh"/>
        <s v="Richcraft Properties"/>
        <s v="KWT Global"/>
        <s v="Valpak Franchise Operations, LLC"/>
        <s v="Beemac Trucking LLC - DO NOT USE"/>
        <s v="Nuveen Global Cities Reit Inc."/>
        <s v="International Motors, LLC dba Fleet Charge dba Navistar"/>
        <s v="BCP Tremont, LLC"/>
        <s v="BDPF Eastgate 375-385 Spectrum LP"/>
        <s v="PNS Briese Distr., LLC"/>
        <s v="Kaizen Analytix LLC"/>
        <s v="Shop Grove Holdings, LLC"/>
        <s v="BREIT Industrial Holdings"/>
        <s v="SSI Inc. (USA)"/>
        <s v="MHT Winston Distr LLC"/>
        <s v="3 Rivers Logistics, Inc"/>
        <s v="PDCUSIF South Meadows Land LLC"/>
        <s v="CapTech Ventures, Inc."/>
        <s v="MLM Trucking"/>
        <s v="NJ Exit 5 Industrial Berry OwnerLLC"/>
        <s v="UFP Thornton, LLC"/>
        <s v="Giuffre Property Management, Inc."/>
        <s v="SeaWorld Parks &amp; Entertainment"/>
        <s v="J&amp;B Holdings LLC"/>
        <s v="Infios US, Inc."/>
        <s v="Poplar Logistics Center LLC"/>
        <s v="Midwest Diversified LLC"/>
        <s v="NSA OP, LP"/>
        <s v="Sussex Land LLC"/>
        <s v="Trinity Commercial Prop"/>
        <s v="Mullins Properties, LLC"/>
        <s v="Principal U.S. Property Portfolio"/>
        <s v="Insight Direct USA, Inc."/>
        <s v="INDUS Realty"/>
        <s v="Quality Logistics LLC"/>
        <s v="Xn Financial Service Inc-can"/>
        <s v="Sam Logistics, LLC"/>
        <s v="Gordon Food Services Inc."/>
        <s v="North Kingstown Warehouse LLC"/>
        <s v="Premier/SOM Airport Park, LLC"/>
        <s v="Harrisburg PA Warehouse LLC"/>
        <s v="CDW LLC"/>
        <s v="370 Allied Drive, LLC"/>
        <s v="TMW Systems"/>
        <s v="Cintas Corporation No. 2 Chicago IL"/>
        <s v="WPT Reeves Place, LP-DO NOT USE. USE 152248"/>
        <s v="CBRE, Inc."/>
        <s v="Waste Dynamics, LLC"/>
        <s v="Snowflake, Inc."/>
        <s v="Plymouth STL Commerce Center MO LLC"/>
        <s v="Vaccinated LP"/>
        <s v="ES REIT I, LLC"/>
        <s v="McNeary, Inc."/>
        <s v="Trinity Commerical Property GP"/>
        <s v="Fedex Freight"/>
        <s v="Taylor Drive Associates, LLC"/>
        <s v="Fuego UX LLC"/>
        <s v="Carney Family Trust 2019"/>
        <s v="Scicom Infrastructure Servs"/>
        <s v="Ring Power Corp."/>
        <s v="TBD Bo Caldwell ID, LLP"/>
        <s v="Palm Bay One Properties LLC"/>
        <s v="BBIC Investors SPE, LLC"/>
        <s v="100 Readington Road LLC"/>
        <s v="Continental Tire the Americas, LLC"/>
        <s v="Penny L Clouser dba Country Auto"/>
        <s v="Nexcom"/>
        <s v="Cape Fare Holding LLC"/>
        <s v="Exxpand Export Management Corp"/>
        <s v="Motive Technologies, Inc."/>
        <s v="Atlantic Solution Group"/>
        <s v="D &amp; PR"/>
        <s v="Phelps Dunbar LLP"/>
        <s v="First Onsite Property Restoration"/>
        <s v="The Pasha Group"/>
        <s v="K &amp; M Transport, LLC"/>
        <s v="Compuquip Security"/>
        <s v="ADT Commerical LLC"/>
        <s v="New Heights Industrial Park, LLC"/>
        <s v="VPF Properties LLC"/>
        <s v="Mustard Street Complex LLC"/>
        <s v="Leetsdale II"/>
        <s v="Donald C.Boatman"/>
        <s v="Alpaca Investments"/>
        <s v="Randstad North America, Inc."/>
        <s v="C H Robinson Worldwide Inc"/>
        <s v="Heller Industrial Parks"/>
        <s v="Clara Ridgely Properties LLC"/>
        <s v="H3Four General Contractors"/>
        <s v="MEGHA HOLDINGS INC."/>
        <s v="Sitecore USA, Inc."/>
        <s v="Kemper Warehousing &amp; Distribution"/>
        <s v="Datavail Corporation"/>
        <s v="Generations Enterprises, Inc."/>
        <s v="Francine Hanin Family Trust"/>
        <s v="Service Now, Inc"/>
        <s v="Solnsoft LLC"/>
        <s v="Advantage Technical Resourcing Inc"/>
        <s v="Boyer Holbrook Industrial, LC"/>
        <s v="Paul Hastings LLP"/>
        <s v="Trucking Edge LLC"/>
        <s v="Blackstone Technology Group, Inc"/>
        <s v="Ontario Teachers Pension Plan"/>
        <s v="Pasco Industrial Group, LLC"/>
        <s v="G&amp;W Equipment Inc."/>
        <s v="DataDog, Inc."/>
        <s v="Alvarez &amp; Marsal Holdings, LLC"/>
        <s v="Albany, NY Warehouse LLC"/>
        <s v="Weston Property Investment I LLC"/>
        <s v="Costco Wholesale Corporation"/>
        <s v="USAA Alliances Services Co."/>
        <s v="XPO Logistics Freight Inc."/>
        <s v="Daniel B. Light"/>
        <s v="Terminix International Co Ltd Partn"/>
        <s v="Moxie Equities 22 Gateway LLC"/>
        <s v="Staples Advantage"/>
        <s v="Fedex"/>
        <s v="Meridian Street Warehouse LLC"/>
        <s v="Gartner Inc."/>
        <s v="Telephony Partners LLC"/>
        <s v="The Martino Group/The Martino Group"/>
        <s v="PFL dba Printing for Less"/>
        <s v="Group 14 Company"/>
        <s v="Express Employment Professionals"/>
        <s v="Rosette Media Group"/>
        <s v="1300 Edwards, LLC"/>
        <s v="Discovery Benefits- ACH"/>
        <s v="Dell Marketing Lp"/>
        <s v="ePlus Technology"/>
        <s v="Z-Land, LLC"/>
        <s v="85 South LLC"/>
        <s v="Super Grip Corporation"/>
        <s v="Teknia Networks &amp; Logistics, Inc."/>
        <s v="Commercenter #24, LLC"/>
        <s v="I-380 Flex Space LLC"/>
        <s v="People Ready"/>
        <s v="Prime Logistic Solutions Inc"/>
        <s v="Commercial Rentals Mgmt Inc"/>
        <s v="Diesel Direct"/>
        <s v="Salem Leasing Corporation"/>
        <s v="2Y, LLC"/>
        <s v="Endpoint Associates, LLC"/>
        <s v="Liberty Commercial LLC"/>
        <s v="Tape Specialists Of Fl Inc"/>
        <s v="AJ Properties CIP 4, LLC"/>
        <s v="Star Three Long Beach, LLC Do not use- Use 153288"/>
        <s v="Officeworx Source Inc."/>
        <s v="BXM Saco Distr LLC"/>
        <s v="TeamQuest Staffing Services Inc"/>
        <s v="James Family Trust"/>
        <s v="Google, Inc."/>
        <s v="Keystone Automotive Industries Inc."/>
        <s v="Applocations LLC"/>
        <s v="Carusa Company, LLC"/>
        <s v="JML Consulting, LLC"/>
        <s v="ZoomInfo"/>
        <s v="Old Dominion Freight Line Inc."/>
        <s v="CFGI Eagle Parent, LLC"/>
        <s v="Ludlow Warehouse LLC"/>
        <s v="PW Fund B LP"/>
        <s v="Flournoy &amp; Calhoun"/>
        <s v="CCH Incorporated"/>
        <s v="Aston Carter Inc."/>
        <s v="Aerotek ULC"/>
        <s v="Stonecap, LLC"/>
        <s v="BAPS Properties, LLC"/>
        <s v="9333762 Canada Inc."/>
        <s v="Grant Thornton Advisors LLC"/>
        <s v="PSL Mercantile A3 LLC"/>
        <s v="RHM, LLC"/>
        <s v="Uline"/>
        <s v="Young Brothers"/>
        <s v="Mini Mall Storage Properties"/>
        <s v="Cintas Fire Protection"/>
        <s v="Misource Staffing, LLC"/>
        <s v="480 E Dixie Investments LLC"/>
        <s v="Start Traffic"/>
        <s v="Motion Industries Inc."/>
        <s v="PK Realty Management, LLC"/>
        <s v="407 ETR"/>
        <s v="Pitisci &amp; Associates, LLC"/>
        <s v="Woodside Ventures, Inc"/>
        <s v="Hyster-Yale Canada ULC"/>
        <s v="Lee Property Services, LLC."/>
        <s v="Fivetran, Inc."/>
        <s v="Overhead Door-Wayne Dalton"/>
        <s v="Affordable Owner LLC"/>
        <s v="Switch Growth Inc."/>
        <s v="Cintas Canada Limited"/>
        <s v="Whip Around, Inc."/>
        <s v="Lake View Business Center"/>
        <s v="Parkit Enterprise, Inc."/>
        <s v="Melbourne Skyway A3 LLC"/>
        <s v="Beaverdale Investments LLC"/>
        <s v="Recast Labs, Inc."/>
        <s v="Capital One, N.A."/>
        <s v="Red Wing Business Advantage Account"/>
        <s v="Linkedin Corp."/>
        <s v="Samba Holdings, Inc."/>
        <s v="Hydraulic Supply Co."/>
        <s v="Kantar LLC"/>
        <s v="CXO Solutions"/>
        <s v="Pirtek USA"/>
        <s v="Mirakl INC"/>
        <s v="Medavie Blue Cross"/>
        <s v="OB Real Estate Holdings"/>
        <s v="Bryan Cotton Warehouse, Inc."/>
        <s v="Phil Pearson Fabrication LLC"/>
        <s v="U.S. Coast Guard NAFA"/>
        <s v="Genuine Parts Company"/>
        <s v="EOS Software"/>
        <s v="Safety Kleen, Inc."/>
        <s v="Fuel Logic"/>
        <s v="Zenarate, Inc"/>
        <s v="Leetsdale Industrial Corporation"/>
        <s v="Hide Away Storage"/>
        <s v="GardaWorld Security Services"/>
        <s v="HJ Goldston, LLC"/>
        <s v="Insight Global Inc"/>
        <s v="Cadillac Freight Enterprises LLC"/>
        <s v="Recruitment Ad Placement LLC"/>
        <s v="Ten Logan Ventures LP"/>
        <s v="Entertainment Data Oracle"/>
        <s v="Business Interiors of Texas Inc"/>
        <s v="DigiCert, Inc."/>
        <s v="Jeffrey Johnson"/>
        <s v="Tony and Marsha Investments LLC"/>
        <s v="Moodys Investors Service"/>
        <s v="ScreenBroldery, LLC DBA Thumbprint"/>
        <s v="One Source Technology, LLC"/>
        <s v="Marsh Canada LTD"/>
        <s v="Trafford Commerce Center Inc."/>
        <s v="Pitney Bowes"/>
        <s v="Scott Logistics LLC"/>
        <s v="Power Kleen Corp"/>
        <s v="Sapiens Development"/>
        <s v="Primelis US Inc"/>
        <s v="EAN Services LLC"/>
        <s v="MCCS"/>
        <s v="SrinSoft Inc"/>
        <s v="Centerline Drivers LLC"/>
        <s v="RayDot Properties LLC"/>
        <s v="BBI Logistics, LLC"/>
        <s v="Inner Parish Security Corporation"/>
        <s v="FLEET MOBILE SERVICE, INC"/>
        <s v="City of Lakeland"/>
        <s v="Commercial Properties Associates,"/>
        <s v="Leonora Polonsky &amp; Associates, LLC"/>
        <s v="MHC Kenworth Little Rock"/>
        <s v="Sommers Construction LLC"/>
        <s v="Pro Reit Acquisitions (I) LP."/>
        <s v="CanFam, LLC"/>
        <s v="Teamster Local No 671 - Health Insurance Medical"/>
        <s v="Druid City Properties LLC"/>
        <s v="Virginia Storage Services LLC"/>
        <s v="Farmers Warehouse Inc.-Roanoke"/>
        <s v="Storage Squares"/>
        <s v="RetailMeNot, Inc."/>
        <s v="Planview Delaware, LLC"/>
        <s v="SFS Properties LLC"/>
        <s v="Haus Analytics, Inc"/>
        <s v="Ellen Breaux Morris; Trustee"/>
        <s v="Optilogic, Inc"/>
        <s v="Nathan Smith dba Wrappit Wraps LLC"/>
        <s v="Lonestar Forklift 2017 USA, Inc"/>
        <s v="Standard &amp; Poors Financial"/>
        <s v="Tenstreet, LLC"/>
        <s v="Corcentric, LLC"/>
        <s v="Hercules Sealing Products Inc."/>
        <s v="Modern Group LTD"/>
        <s v="Expeditors International"/>
        <s v="Triner Scale &amp; Mfg Co, Inc"/>
        <s v="Sealy Slack Industrial, LLC"/>
        <s v="Fisher &amp; Phillips LLP"/>
        <s v="HMSA-Hawaii Medical Serv Assoc"/>
        <s v="Gwendolyn G Edwards"/>
        <s v="Ryan Transportation Services"/>
        <s v="Daimler Truck Financial Services USA, LLC"/>
        <s v="Mechanical Services Unlimited LLC"/>
        <s v="Carolina Industrial Trucks"/>
        <s v="Dynamic Development LLC"/>
        <s v="Andrea Rahal"/>
        <s v="HRP Partners LLC"/>
        <s v="Trustmark Voluntary Benefit Sol,"/>
        <s v="Thompson Tractor Co., Inc."/>
        <s v="Medius Software, Inc."/>
        <s v="Formlogic Ltd."/>
        <s v="Foust Family Limited Partnership"/>
        <s v="Sunbelt Rentals"/>
        <s v="Ridge Business Development LLC"/>
        <s v="Harness Inc."/>
        <s v="GL Sayre Inc."/>
        <s v="Content Square Inc"/>
        <s v="Dunlap Bennett &amp; Ludwig"/>
        <s v="Sun State International Trucks LLC"/>
        <s v="Lift-All Company, Inc"/>
        <s v="Higher Oak Consulting Limited"/>
        <s v="ID Associates, Inc."/>
        <s v="A&amp;F Diesel"/>
        <s v="Farmers Warehouse Inc.-JC"/>
        <s v="HireRight LLC"/>
        <s v="Williams Scotsman Inc."/>
        <s v="Plote Properties LLC"/>
        <s v="Catherine Associates"/>
        <s v="Amsoes Bia"/>
        <s v="BrightEdge Technologies Inc."/>
        <s v="Clear Link Technologies, LLC"/>
        <s v="The Peterbilt Store Hagerstown"/>
        <s v="Superior Protection Professionals"/>
        <s v="S.A. White Oil Company, Inc."/>
        <s v="Grainger"/>
        <s v="Lift North America, Inc."/>
        <s v="Troys Towing LLC"/>
        <s v="Areit Operating Partnership LP"/>
        <s v="RBG Lonestar Partners, LLC"/>
        <s v="Canteen Refreshment Services"/>
        <s v="CD Automotive Enterprises Inc"/>
        <s v="Key Trucking"/>
        <s v="Hollweg Assessment Partners LLC"/>
        <s v="Nielsen Merksamer Parrinello Gross"/>
        <s v="Medallia, Inc."/>
        <s v="Alison Kendall"/>
        <s v="US Federal Contractor Registration, Inc."/>
        <s v="Pacific States Petroleum, Inc."/>
        <s v="Sanderson Concrete, LLC"/>
        <s v="Scott Transportation"/>
        <s v="BIP Reilly Property LLC"/>
        <s v="IT Resources Corp"/>
        <s v="Anne B Shahan"/>
        <s v="The Earnest Analytics Company"/>
        <s v="Cool Aid AC"/>
        <s v="John Perkins Industries Inc."/>
        <s v="JLB NETA LLC"/>
        <s v="Select Equipment Sales, Inc."/>
        <s v="Rosendo Zamudio"/>
        <s v="Teamster Local Union No 671 - Dues Fees"/>
        <s v="ADESA Auctions Canada dba ADESA Calgary"/>
        <s v="Metlife"/>
        <s v="2849933 Ontario Inc."/>
        <s v="Atlanta ForkLifts"/>
        <s v="Yelp, Inc."/>
        <s v="Neon Logistics LLC"/>
        <s v="Lighting Expertise and Design Ser"/>
        <s v="Traject Reviews LLC"/>
        <s v="Cost Control Associates, Inc."/>
        <s v="K &amp; T Transport LTD"/>
        <s v="SL Industrial, LP"/>
        <s v="S and S Morris LLC"/>
        <s v="Brainlabs Digital, Inc."/>
        <s v="Melling Partners, LL"/>
        <s v="Cheetah Software Systems Inc."/>
        <s v="Appcast Inc"/>
        <s v="Professional Drivers of Georgia,"/>
        <s v="Cigniti Technologies, Inc."/>
        <s v="Samson Trucking Inc."/>
        <s v="DAC Group Chicago Inc.."/>
        <s v="Restraint Sales Inc"/>
        <s v="Russo Propane Inc"/>
        <s v="Winson Park 520 West LLc"/>
        <s v="Rimini Street Inc."/>
        <s v="Manus Products, Inc"/>
        <s v="Claire Huang"/>
        <s v="3G Portable Storage LLC"/>
        <s v="InterCity Direct LLC"/>
        <s v="Suzette M Deering"/>
        <s v="Consumer Unified LLC"/>
        <s v="Lease Harbor LLC"/>
        <s v="Fleetpride"/>
        <s v="Rocke Mclean &amp; Sbar, PA Trust Acc"/>
        <s v="Livingston International"/>
        <s v="Canon Financial Services"/>
        <s v="Bianca Bartell dba Ambianc Cleaning"/>
        <s v="Phenom People, Inc."/>
        <s v="Denver Propane Exchange"/>
        <s v="DuraServ Corp dba Southern Dock Products"/>
        <s v="DISA Global Solutions, Inc"/>
        <s v="Protiviti Inc-knowledge Leader"/>
        <s v="EFL Properties LP"/>
        <s v="Suncoast Drivers LLC"/>
        <s v="Monomoy UpReit, LLC"/>
        <s v="Anago Of Tampa"/>
        <s v="Fountain Fuller of SC LLC"/>
        <s v="Paul Hammer"/>
        <s v="Australian Portable Storage LLC"/>
        <s v="Lino Sienna"/>
        <s v="12th Leewick Holdings"/>
        <s v="CBIZ CMF"/>
        <s v="Welch Equipment CO"/>
        <s v="On Point Repairs LLC"/>
        <s v="Mustang Investments"/>
        <s v="Cannonball Trucking, Inc."/>
        <s v="Wiginton Fire Systems"/>
        <s v="Sunbelt Material Handling"/>
        <s v="New England Truck Solutions"/>
        <s v="Aires"/>
        <s v="Ohio Bureau Of Workers Compensation"/>
        <s v="Oliver Wyman"/>
        <s v="Keener Lumber Company, Inc"/>
        <s v="Carlton Fields Atty At Law"/>
        <s v="GEM Group Inc"/>
        <s v="Mercer Health &amp; Benefits"/>
        <s v="Shippers Preferred Express, Inc"/>
        <s v="GDN Infotech Inc"/>
        <s v="Shahram Farhoudi"/>
        <s v="Gordon Rees Scully Mansukhani LLP"/>
        <s v="AddShoppers, Inc."/>
        <s v="Elrod Pope Law Firm PA Attorneys Law"/>
        <s v="AAA Northeast"/>
        <s v="Docusign, Inc."/>
        <s v="Julia Montalvo Services"/>
        <s v="Caine &amp; Weiner"/>
        <s v="Empire Landscaping &amp; Snow Plowing"/>
        <s v="Concordia Resolve Consulting LLC"/>
        <s v="Level Wing Media"/>
        <s v="Leavitt Machinery USA, Inc."/>
        <s v="Tri Lakes Portable Storage, LLC"/>
        <s v="New England Waste Systems, LLC."/>
        <s v="BenefitHub"/>
        <s v="SAMACO Supply"/>
        <s v="Jack White FLLC"/>
        <s v="MJB 500, LLC"/>
        <s v="John Hancock Variable Life Ins"/>
        <s v="Nationwide-RE, Inc."/>
        <s v="Sprinklr, Inc."/>
        <s v="Red Maple Press, Inc"/>
        <s v="Leavitt Machinery"/>
        <s v="Lee E Wells"/>
        <s v="Facility Operation Services, LLC"/>
        <s v="JMI Staffing Solutions"/>
        <s v="King &amp; Spalding"/>
        <s v="Pac West Equities, LP"/>
        <s v="Cornerstone Systems, Inc."/>
        <s v="FORJAK Industrial Holdings, Inc"/>
        <s v="GMG Certify Tax, LLC"/>
        <s v="Southwest International Trucks"/>
        <s v="Phillip Patterson"/>
        <s v="Amazon.com.ca dba Amazon Business"/>
        <s v="LS Realty 737 LLC"/>
        <s v="Airgas USA, LLC"/>
        <s v="TEC Equipment Inc."/>
        <s v="PricewaterhouseCoopers LLP"/>
        <s v="APEX Systems Inc."/>
        <s v="AIG Enterprises, LLC"/>
        <s v="Burwell Material Handling LLC"/>
        <s v="Berry Drive LLC"/>
        <s v="Service Express, LLC"/>
        <s v="SK Global Software LLC"/>
        <s v="Alert Media, Inc."/>
        <s v="GJR Holdings LLC"/>
        <s v="Avatar Management Services, Inc"/>
        <s v="Orange Brothers Services LLC"/>
        <s v="B&amp;I Contractors, Inc."/>
        <s v="Carlton Elleker Chase Ltd"/>
        <s v="Mills Sadat Dowlat LLP"/>
        <s v="Wells Fargo Equipment Finance Company"/>
        <s v="Doors on Demand"/>
        <s v="Kinnie Transportation Group, Inc"/>
        <s v="ContractPod Technologies, Inc."/>
        <s v="Moreno Cleaning Services"/>
        <s v="Les Services Mobitech, Inc."/>
        <s v="SERVPRO"/>
        <s v="R3 Environmental Management, Inc"/>
        <s v="Horizontal Integration, Inc."/>
        <s v="Salt Edge Wash, LLC"/>
        <s v="Petes Road Service Inc."/>
        <s v="Youngblood Automotive &amp; Tire, LLC"/>
        <s v="Baymard Institute ApS"/>
        <s v="International Trucks of Hawaii"/>
        <s v="Pearl River Community College"/>
        <s v="Katlynn Sierra Mullins"/>
        <s v="Chateau Products Inc."/>
        <s v="Charles G HIll"/>
        <s v="Material Handling Systems, Inc."/>
        <s v="Ally Vista LLC"/>
        <s v="Diamond International Trucks Ltd."/>
        <s v="Tri-star Plastics"/>
        <s v="NAVEX"/>
        <s v="McMillan LLP"/>
        <s v="OBannon Living Trust"/>
        <s v="Solarwinds Inc"/>
        <s v="Jet Intermodal, Inc."/>
        <s v="Heather Magness"/>
        <s v="Herculift, Inc."/>
        <s v="VV3100 LLC"/>
        <s v="SheerID Inc."/>
        <s v="Top Gun Electrical Contractors Inc."/>
        <s v="United Rentals North America Inc"/>
        <s v="Ace Mini Self Storage"/>
        <s v="Angela Lloyd"/>
        <s v="Gosalia Inc."/>
        <s v="Michael &amp; Tracey LaPaglia"/>
        <s v="Novus Investments LP"/>
        <s v="Snider Fleet Solutions"/>
        <s v="Overhead Door Company"/>
        <s v="Country Gardens of Bristol, LLC"/>
        <s v="Rello Search Partners, LLC"/>
        <s v="A-Better Landscape Design, LLC"/>
        <s v="Southern Tire Mart LLC"/>
        <s v="Penman Construction"/>
        <s v="Suddath Relo Syst of St. Pete"/>
        <s v="Father and Sons Logistics LLC"/>
        <s v="Dorso &amp; Son Property Maintenance"/>
        <s v="ID Watchdog co of Equifax"/>
        <s v="Gerber National Claim Services LLC"/>
        <s v="Jay Cee Sales &amp; Rivet"/>
        <s v="Reimagine Office Furniture"/>
        <s v="Liveclicker, Inc."/>
        <s v="Southern Cat"/>
        <s v="Briggs Equipment"/>
        <s v="Blue Star Cleaning Services Inc."/>
        <s v="Sweeten Creek Holdings LLC"/>
        <s v="DCI Industrial Welding and Fabrication"/>
        <s v="Adesa Montreal Corp"/>
        <s v="Sullivan Tire Co Inc"/>
        <s v="Executive Life Solutions"/>
        <s v="Gowlings Lafleur Henderson LLP"/>
        <s v="Anywhere Real Estate"/>
        <s v="Amazon Web Services, Inc."/>
        <s v="Vogel Heating and Cooling Inc."/>
        <s v="Fortra LLC"/>
        <s v="Boulevard Tire Center"/>
        <s v="Al Warren Oil"/>
        <s v="Blossman Gas-#2772800"/>
        <s v="Pomps Tire Service Inc."/>
        <s v="Adesa Autions Canada Corp"/>
        <s v="Pluralsight, LLC"/>
        <s v="BrightView Landscape Services"/>
        <s v="East Bay Tire Co."/>
        <s v="350 Southgate, LLC"/>
        <s v="Inbox Monster"/>
        <s v="Michael D LeBlanc"/>
        <s v="Plote Property Management -DO NOT USE"/>
        <s v="The Knapheide Manufacturing Company"/>
        <s v="OverHead Door of Albuquerque"/>
        <s v="SLS Consulting, Inc."/>
        <s v="Interstate Nationalease"/>
        <s v="CCC Development Partners, LLC"/>
        <s v="Delta Awnings Express Inc"/>
        <s v="Mihir Transportation Inc."/>
        <s v="Saad Resources, LLC"/>
        <s v="Davis Hartman Wright LLP"/>
        <s v="Birchwood Creek, LLC-Do Not Use"/>
        <s v="PORT CONSOLIDATED, INC"/>
        <s v="Ryan Daniel Burts"/>
        <s v="Universal Premium/FuelMan Fleet"/>
        <s v="Maria Julieta Mello"/>
        <s v="Peconic Propane"/>
        <s v="Sun Print Management"/>
        <s v="The Standard Ins Co of New York"/>
        <s v="The Expediter, LLC"/>
        <s v="Sela Products, LLC"/>
        <s v="USRPI REIT, INC"/>
        <s v="EBIP, LLC"/>
        <s v="Holland &amp; Knight LLP"/>
        <s v="Bermuda Landscape &amp; Design, Inc."/>
        <s v="Enterprise Property Management LLC"/>
        <s v="Truck Park Management, LLC"/>
        <s v="12 Interactive LLC"/>
        <s v="Friends Plumbing"/>
        <s v="Fuze, Inc."/>
        <s v="Fox &amp; James NationaLease"/>
        <s v="Carolina International Trucks Inc"/>
        <s v="Propane Man/Island LP Gas Services"/>
        <s v="British Columbia Ministry of Finance"/>
        <s v="OReilly Auto Parts"/>
        <s v="Freightliner of Arizona, LLC"/>
        <s v="Thomson Reuters"/>
        <s v="Gulf Controls Corp."/>
        <s v="Steiner Hawaii . c/o Steiner Corp"/>
        <s v="8X8, Inc."/>
        <s v="KPMG LLP"/>
        <s v="Vortex Industries Inc"/>
        <s v="Rachel Esposito"/>
        <s v="Pure Water Partners LLC-WA"/>
        <s v="Wendy Malloy"/>
        <s v="Covington-Albany Road-TRUX JV LLC"/>
        <s v="Mary Jane Michael"/>
        <s v="Diligent Corporation"/>
        <s v="Bright Star Import Export Corp"/>
        <s v="Collin Keith Plyler"/>
        <s v="Stream Logistics"/>
        <s v="Propane Pete dba Kangaroo"/>
        <s v="Laser Connection"/>
        <s v="Pape Material Handling"/>
        <s v="Axecel Construction, LLC"/>
        <s v="Bolts Plus"/>
        <s v="Columbia Paint"/>
        <s v="Greater Tampa Chamber of Commerce"/>
        <s v="Moore, OBrien &amp; Foti"/>
        <s v="Southern Atlantic Group"/>
        <s v="Pro-Vac LLC"/>
        <s v="Alain V. Bonavida"/>
        <s v="Josef Gas"/>
        <s v="San Diego Gas &amp; Electric Company"/>
        <s v="DuraServ dba Just Rite Equipment"/>
        <s v="The Boyd Group (U.S.) Inc."/>
        <s v="Securitas Technology Corporation"/>
        <s v="Schellman &amp; Company, LLC"/>
        <s v="Natalia Perez"/>
        <s v="Marmic Fire &amp; Safety"/>
        <s v="Mohammad Frotan"/>
        <s v="Search Solution Group, Inc."/>
        <s v="Jessey Booco-Ramirez"/>
        <s v="Foothills Group, Inc."/>
        <s v="Timothy Harlow"/>
        <s v="Brennan Equipment Services"/>
        <s v="Facilities Maintenance Corp."/>
        <s v="The Patch Company LLC"/>
        <s v="Chico Scrap Metal, Inc"/>
        <s v="Lifecare Inc"/>
        <s v="Best Rolling Doors, Inc."/>
        <s v="BFPE International"/>
        <s v="Kodiak Equipment Services Inc"/>
        <s v="Lalezary Law Firm LLP dba The Law"/>
        <s v="Wyott Capital Group"/>
        <s v="T&amp;W Tire, LLC"/>
        <s v="Bela Tech Electrical Contractor LLC"/>
        <s v="Luckys Truck &amp; Trailer"/>
        <s v="Les Produits Forestiers MES Inc"/>
        <s v="Innova Solutions Inc."/>
        <s v="Quantum Lift, Inc."/>
        <s v="Keller Williams Realty, Inc."/>
        <s v="RWC International LTD dba RWC Group"/>
        <s v="Elmer Scott Huey dba Lawn Care"/>
        <s v="Ready Refresh-856158"/>
        <s v="OBrien Doors"/>
        <s v="Awesome Landscaping Corp."/>
        <s v="Scott Hans"/>
        <s v="CorpLand LLC"/>
        <s v="Talx UC Express"/>
        <s v="EmployBridge Holding Company"/>
        <s v="Smartsheet.com"/>
        <s v="RocKilco LLC"/>
        <s v="Blacks Tire Service Inc"/>
        <s v="Prologis Logistics"/>
        <s v="LBNW LLC"/>
        <s v="Iron Mountain"/>
        <s v="ADESA Edmonton"/>
        <s v="Atlanta Commercial Tire Inc"/>
        <s v="Kobalt Industries, Inc."/>
        <s v="Amazon Gift Cards"/>
        <s v="Move Buddha"/>
        <s v="1499 E Philadelphia LLC"/>
        <s v="Lift Solutions, Inc"/>
        <s v="B4 Logistics"/>
        <s v="Storemytruck.com, LLC"/>
        <s v="Mountain Laurel Ashby, LLC"/>
        <s v="Livingston International-us"/>
        <s v="Sand Key Associates LP DBA Sheraton"/>
        <s v="Airmax Heating &amp; Cooling Inc"/>
        <s v="Davis Wright Tremaine LLP"/>
        <s v="44 River LLC"/>
        <s v="PetroChoice Holdings Inc"/>
        <s v="Arnold Machinery Company"/>
        <s v="Central Auto &amp; Transport LLC"/>
        <s v="Assoc of National Advertisers"/>
        <s v="Southern Lift Trucks, LLC"/>
        <s v="Smart Community Storage Inc."/>
        <s v="PricewaterhouseCoopers LLP UK"/>
        <s v="Royal Brass, Inc."/>
        <s v="Gregg Distributors LP"/>
        <s v="BestOne Tire"/>
        <s v="AMX Logistics"/>
        <s v="VSC Fire &amp; Security Inc-Z027,Z130"/>
        <s v="LiftOne LLC"/>
        <s v="Horizon Electronics Loss Prevention"/>
        <s v="Piper Fire Protection, Inc."/>
        <s v="Trailco of Florida, Inc"/>
        <s v="Nordic Mechanical Services Ltd."/>
        <s v="US Lawns Nashua"/>
        <s v="Muldowney Development Inc."/>
        <s v="PEAC Solutions"/>
        <s v="Cision US, Inc."/>
        <s v="Humble Flooring Services Inc"/>
        <s v="M&amp;L Industries, LLC"/>
        <s v="Wolter, Inc."/>
        <s v="Gen Digital Inc."/>
        <s v="Simeral Properties LLC"/>
        <s v="Miguel Sanchez Painting"/>
        <s v="Spokane Recycling Company, LLC"/>
        <s v="WJM Holdings LLC"/>
        <s v="Atlassian"/>
        <s v="TLC Total Lawn Care"/>
        <s v="Taylor Nelson Slattery Bernard PLLC"/>
        <s v="Quench USA Inc"/>
        <s v="Gregory Poole Equipment co."/>
        <s v="Steves Repair Service LLC"/>
        <s v="Temperance Hill Square, LLC"/>
        <s v="L&amp;S Contracting Services LLC"/>
        <s v="Safetyculture Pty Ltd"/>
        <s v="Entertainment Benefits Group"/>
        <s v="Lets Plan a Party, LLC"/>
        <s v="Real Time Board Inc. dba Miro"/>
        <s v="KRV LLC"/>
        <s v="Advance Treads Inc."/>
        <s v="APFS Staffing, Inc"/>
        <s v="Northwind Air Conditioning"/>
        <s v="Union Realtime LLC"/>
        <s v="Banter LLC"/>
        <s v="Ewing D. Blackston"/>
        <s v="Ward International Trucks, LLC"/>
        <s v="Euless Wrecker Service Inc"/>
        <s v="Tampa Bay Staging &amp; Events"/>
        <s v="Opaljur PTY LTD"/>
        <s v="Womble Bond Dickinson (US) LLP"/>
        <s v="New England Lift Truck Corp."/>
        <s v="Kaufman Real Estate"/>
        <s v="Starlite"/>
        <s v="F&amp;S Tire Corp"/>
        <s v="Reading Industrial LLC"/>
        <s v="Browserstack Inc."/>
        <s v="Callaghans Best-One Tire &amp; Serv"/>
        <s v="Discount Fence Company"/>
        <s v="Alternative Landscape &amp; Mntc, ."/>
        <s v="Pacific Material Handling"/>
        <s v="230 Sussex Street LLC"/>
        <s v="Broadway Properties Management LLC"/>
        <s v="TY Investments LLC"/>
        <s v="Mariner-Gulf Consulting &amp; Services"/>
        <s v="CFE Equipment Corporation Do Not Use-(Use This Acc 152307-Northern Coast Lift Truck, Inc.)"/>
        <s v="Maid for Kings Cleaning Service LLC"/>
        <s v="Johnson Controls Security Solutions"/>
        <s v="R&amp;S Erection of Santa Rosa, Inc."/>
        <s v="The driveN Agency Inc."/>
        <s v="Paloma Model &amp; Talent, Inc"/>
        <s v="Barnwell House Of Tires Inc"/>
        <s v="Teamster Local Union No. 384"/>
        <s v="Stephen Gould Corporation"/>
        <s v="Shred-It USA,LLC"/>
        <s v="Quinlan Enterprise, LLC"/>
        <s v="ResNav Solutions Inc."/>
        <s v="Sasha Bogie Inc."/>
        <s v="Allied Garage Door, Inc."/>
        <s v="Specialty Panel Products USA"/>
        <s v="Alpha Services Corporation"/>
        <s v="Davis-Ulmer Sprinkler Co. Inc"/>
        <s v="Gabbard Overhead Door"/>
        <s v="Ryan Lantz and Sons Painting LLC"/>
        <s v="Power Systems Inc."/>
        <s v="Lordco Auto Parts"/>
        <s v="Passport Unlimited Inc."/>
        <s v="Alhambra"/>
        <s v="DH Pace Company, Inc."/>
        <s v="Alta Industrial Equipment MI. LLC"/>
        <s v="AudiencePoint Inc."/>
        <s v="Asana Inc."/>
        <s v="Cty Secure Parking &amp; Trailer Repair"/>
        <s v="Gardners Cleaning"/>
        <s v="Johnny Piper"/>
        <s v="Allegra Marketing Print Mail"/>
        <s v="Elite Landscaping and Lawn Mntc"/>
        <s v="Parker Gas Company Inc."/>
        <s v="Kinko ./Overhead Door Co. of Waco"/>
        <s v="Black and McDonald Ltd."/>
        <s v="Linde Gas &amp; Equipment"/>
        <s v="Brainlabs USA, LLC"/>
        <s v="Bolt Acquireco, Inc."/>
        <s v="Albert Vaughters"/>
        <s v="Bash Realty FL, LLC"/>
        <s v="Cinnati Lift Truck &amp; Battery Serv"/>
        <s v="COS IV LLC"/>
        <s v="Hotsy Equipment Company"/>
        <s v="Signarama, Inc. - West Palm Beach"/>
        <s v="TCL Industries, Inc."/>
        <s v="Tritech Electric, LLC"/>
        <s v="Motor City Door Company, Inc."/>
        <s v="United Rentals of Canada Inc"/>
        <s v="Quarles &amp; Brady LLP"/>
        <s v="Brothers Electric Co., Inc."/>
        <s v="EFuel, LLC"/>
        <s v="Wayne Automatic Fire Sprinklers"/>
        <s v="Outlaw Equipment Service"/>
        <s v="Keystone Contractors Partnership"/>
        <s v="Port of Bremerton"/>
        <s v="McCarthy Tire Service Company"/>
        <s v="JPMorgan Chase Bank N.A., Toronto Branch"/>
        <s v="Clean Water Technologies, LLC"/>
        <s v="Evolution Forklift, LLC"/>
        <s v="Ferrellgas"/>
        <s v="Benesch, Friedlander, Coplan &amp; Aron"/>
        <s v="Anne M. Carter"/>
        <s v="Consolidated Pallet Co. INC"/>
        <s v="Ogletree, Deakins, Nash, Smoak, P.C"/>
        <s v="Hatfield Brothers Truck Service LTD"/>
        <s v="Chris Wolodkowlcz"/>
        <s v="Woodfin Heating Inc dba Woodfin Oil"/>
        <s v="CLS Facilitites Mgt Servs,"/>
        <s v="Canyon Overhead Doors Inc."/>
        <s v="Vans Towing &amp; Transport"/>
        <s v="Staples Business Advantage"/>
        <s v="F &amp; A Concrete and Landsc Servs,"/>
        <s v="Honey Bucket"/>
        <s v="Maricela Garcia"/>
        <s v="Kept Co. Inc. dba Fleetwash"/>
        <s v="J.V.S. Sprint Enterprises, Inc."/>
        <s v="Encore Fire Protection"/>
        <s v="Sampsons Automotive LLC"/>
        <s v="Laura Gabriel"/>
        <s v="Steve and Sally Wood"/>
        <s v="Pulte Group Divosta"/>
        <s v="A.M.B. LIFT INC"/>
        <s v="Cal-State Site Services"/>
        <s v="Plant A Insights Group, LLC"/>
        <s v="Sila Services, LLC"/>
        <s v="Jim Whitehead Tire &amp; Auto"/>
        <s v="Jet Brains Americas Inc."/>
        <s v="The Crazy Eight"/>
        <s v="Rental Concepts Inc"/>
        <s v="Maria Maldonado"/>
        <s v="Figma Inc."/>
        <s v="Jason Edwards"/>
        <s v="Lighthouse Electrical Contractors"/>
        <s v="Extreme Cleaning and Detailing LLC"/>
        <s v="St.Augustine Electric Motor Works"/>
        <s v="Danielle Facer"/>
        <s v="Joseph P Steo"/>
        <s v="AS&amp;P Billing Services Corp."/>
        <s v="Mojave Air and Space Port"/>
        <s v="Nitco LLC"/>
        <s v="HQI Hydraulics"/>
        <s v="Liberty Ashes"/>
        <s v="Andersen Construction"/>
        <s v="Killeen S Park Commercial Prop,"/>
        <s v="Jellyfish US Limited"/>
        <s v="Sawyers Self Strg of East Troy,LLC"/>
        <s v="Russos Cape Cod Bark &amp; Landsc"/>
        <s v="The S Land Company LLC"/>
        <s v="1st Choice Material Handling"/>
        <s v="OpenTech Alliance, Inc."/>
        <s v="McDoles Fabricating and Repair LLC"/>
        <s v="200 Summer Street Kingston LLC"/>
        <s v="The Hose Helper"/>
        <s v="Absolute Protective Systems, Inc."/>
        <s v="Twin Spans Business Park, LLC"/>
        <s v="Shrader Tire &amp; Oil Inc."/>
        <s v="Project Resources Group, Inc"/>
        <s v="Fedex Freight-223125"/>
        <s v="NFP Executive Benefits, LLC"/>
        <s v="American Allegiance Lawn&amp; Landsc,"/>
        <s v="Guardian Gate Company"/>
        <s v="A Better Clean"/>
        <s v="Suburban Propane-1627 1449 1608"/>
        <s v="Wessel Lawncare &amp; Landscaping"/>
        <s v="Foley &amp; Lardner LLP"/>
        <s v="C &amp; R Property Services, LLC."/>
        <s v="C&amp;P Offroad Specialist&amp; Auto Repair"/>
        <s v="Clean Sweep, Inc."/>
        <s v="The Kent Architectural Collab"/>
        <s v="First Protection Services, Inc."/>
        <s v="Colony Tire Corporation"/>
        <s v="SB Truck &amp; Trailer"/>
        <s v="WMS Trimble Company"/>
        <s v="Underwood Sales"/>
        <s v="Llano Waste Company LLC"/>
        <s v="Ace Hydraulics Inc."/>
        <s v="Extreme Reach Talent, Inc."/>
        <s v="Cardinal Logistics Mngmnt Corp"/>
        <s v="Challenger, Gray &amp; Christmas, Inc."/>
        <s v="Ultimate Fleet Repair"/>
        <s v="Foremost Industrial Technologies"/>
        <s v="Golden Bears Propane"/>
        <s v="Cory M Robinson"/>
        <s v="Fine Fixtures"/>
        <s v="AQUA, LLC"/>
        <s v="Jan-Pro Ottawa"/>
        <s v="David McKivitz"/>
        <s v="Madison Air, Inc."/>
        <s v="Mashwork Inc dba Canvs"/>
        <s v="Just Clean LLC"/>
        <s v="C.&amp;R. Truck West Ltd"/>
        <s v="Perkopolis"/>
        <s v="Bellflower Landscaping"/>
        <s v="Jani-King of Ft Worth"/>
        <s v="Bee-Line Overhead Door LLC"/>
        <s v="Marks Commercial"/>
        <s v="Lorena Patricia Berrios Lizama"/>
        <s v="Rood Landscaping LLC"/>
        <s v="ABAV"/>
        <s v="iPower Georgia"/>
        <s v="Cornerstone OnDemand, Inc."/>
        <s v="Telecom System Solutions"/>
        <s v="AccuWeather Enterprise Solutions"/>
        <s v="Sovos Compliance, LLC"/>
        <s v="Christopher Solis"/>
        <s v="Carbajal Reality, Inc."/>
        <s v="LEB Services LLC"/>
        <s v="Taylor Marie Luettke"/>
        <s v="Paradigm Industrial LLC"/>
        <s v="Mayer Paint &amp; Hardware"/>
        <s v="Axis Freight Ltd"/>
        <s v="Fleet Professional Services Inc."/>
        <s v="JEFFERIES INC."/>
        <s v="BrandVerity"/>
        <s v="Leary Masonry Solutions Inc"/>
        <s v="Superior Propane"/>
        <s v="Petrospect Industrial Services Inc"/>
        <s v="Cintas Corporation #0562 #0610"/>
        <s v="TBJ Services LTD"/>
        <s v="Marion Self Storage"/>
        <s v="Amerifleet Transportation, Inc"/>
        <s v="SSS Down To Earth Opco, LLC"/>
        <s v="Times Square District Management Assoc, Inc."/>
        <s v="Benjamin Turnage"/>
        <s v="Nest Holdings Inc"/>
        <s v="Conserve, LLC"/>
        <s v="Arkansas National Guard Morate Wel"/>
        <s v="Postman Inc"/>
        <s v="Reels Hose Fix"/>
        <s v="Sapphire Hydralics, Inc"/>
        <s v="Northern Virginia Cleaning Inc"/>
        <s v="Gary Burkeens dba Burkeens Welding"/>
        <s v="Trane U.S. Inc."/>
        <s v="ASCO Aerospace USA LLC"/>
        <s v="Love Talent Corp"/>
        <s v="AutoZone Stores LLC"/>
        <s v="HG Fire Systems, LP"/>
        <s v="Memtech Inc."/>
        <s v="ChemStation International"/>
        <s v="AG Services of KS Inc"/>
        <s v="Think-Cell Software GmbH"/>
        <s v="Crisafulli Bros. Plumbing&amp; Heating"/>
        <s v="American Overhead Doors, inc."/>
        <s v="Wanda L. Carmichael"/>
        <s v="Coca-Cola Consolidated, Inc"/>
        <s v="My Blue Robot"/>
        <s v="Richards Lawn and More Austin Ric"/>
        <s v="Boland Trane Services, Inc"/>
        <s v="Boston Quality Cleaning Servs"/>
        <s v="UPI Energy"/>
        <s v="Colton Jester dba JeRoCo Services"/>
        <s v="OT Technology"/>
        <s v="All American Stoneworks"/>
        <s v="ABF Facility Services"/>
        <s v="Bison Fleet Specialists"/>
        <s v="Eastern Door &amp; Dock, Inc."/>
        <s v="Propane Services"/>
        <s v="Accelerated Services Inc."/>
        <s v="Cutting Edge Industries, Ltd. dba Byler Rivet Supply"/>
        <s v="Jan-PRO Cleaning Systems of Raleigh"/>
        <s v="Jan-Pro of Wilmington"/>
        <s v="Elizabeth Kean"/>
        <s v="T&amp;S Jewell, LLC dba Overhead Door Co. of Wilmington"/>
        <s v="Pardo Fleet Solutions, LLC"/>
        <s v="General Saw Company"/>
        <s v="Smart Heating &amp; Cooling LLC"/>
        <s v="Harnois Energies, Inc"/>
        <s v="Anderson IND 1 LLC"/>
        <s v="Central Moving"/>
        <s v="Metco Investment Realty, Inc"/>
        <s v="Mmag Concrete LLC"/>
        <s v="MM Everett LLC"/>
        <s v="Stars and Stripes"/>
        <s v="Sport Dimension Inc."/>
        <s v="Trustpilot Inc"/>
        <s v="Firetrol Protection Systems, Inc."/>
        <s v="Sofia E Rivera"/>
        <s v="HLB Mann Judd"/>
        <s v="5 Star CDL Training LLC"/>
        <s v="Roberts Printing, Inc."/>
        <s v="Baker &amp; McKenzie"/>
        <s v="Elite Cleaning Solutions, LLC"/>
        <s v="Commercial Tire Inc."/>
        <s v="HOJ Forklift, LLC"/>
        <s v="Bob J Joseph"/>
        <s v="22 Park Road LLC"/>
        <s v="CTE Company, LLC"/>
        <s v="Murden Investments, LLC"/>
        <s v="Joshua D Smith"/>
        <s v="Serge Tanner dba Airman Heat &amp; Air"/>
        <s v="TKOT Enterprises, LLC Dba Jan-Pro of Tampa"/>
        <s v="Advanced Revert LLC"/>
        <s v="Hepaco Blocker, Inc"/>
        <s v="Lynch Fuel Co dba Glover Oil"/>
        <s v="J1 Consulting DBA/Gill Metal Cons"/>
        <s v="LHR Fire Protection"/>
        <s v="Tri Weld industries, Inc."/>
        <s v="Jan-PRO Franchise Dev Charlotte"/>
        <s v="Leeville"/>
        <s v="Chester Resources"/>
        <s v="Buster Brown Propane"/>
        <s v="Cleaning Frenzy Inc"/>
        <s v="Atco Structures &amp; Logistics, Ltd."/>
        <s v="Tulip LLC DBA Commercial Driver Scl"/>
        <s v="Jason Keely"/>
        <s v="E.H. Wolf &amp; Sons, Inc."/>
        <s v="Survey Monkey Inc."/>
        <s v="DJs Auto Clinic North Inc"/>
        <s v="Maid on the Spot, Inc"/>
        <s v="Yale Truck Industries"/>
        <s v="Hepburn Enterprises, Inc."/>
        <s v="Gembecki Mechanical Services, Inc"/>
        <s v="VelocityEHS"/>
        <s v="Shindig, LLC"/>
        <s v="Willie Green"/>
        <s v="Leland Frink"/>
        <s v="CRH California Water Inc"/>
        <s v="Charleys Crane Service"/>
        <s v="Salary.com"/>
        <s v="J and G Masonry"/>
        <s v="Marcos Alvarado Cabrera"/>
        <s v="Meyer &amp; Depew Co., Inc."/>
        <s v="Pack &amp; Load Services, Inc."/>
        <s v="Inside Moves-Relocation Service Inc"/>
        <s v="Green Velvet Landscaping, Inc."/>
        <s v="Tacoma Screw Products Inc."/>
        <s v="Portable Storage Of Nebraska"/>
        <s v="Gypsys Palace FLP"/>
        <s v="Pettys Welding Company, LLC DO NOT USE"/>
        <s v="Jani-King of Austin"/>
        <s v="Barclays Bank"/>
        <s v="Two Maids to Clean"/>
        <s v="Lakeview Trucking LLC"/>
        <s v="S&amp;R Adventures LLC dba MaidPro"/>
        <s v="S&amp;R Louisiana LLC"/>
        <s v="Progressive Casualty Ins Co"/>
        <s v="C&amp;B Cleaning LLC"/>
        <s v="Niagara River World Inc"/>
        <s v="Mapline"/>
        <s v="Triliji Group"/>
        <s v="Lakin D Kirk"/>
        <s v="Princess Auto"/>
        <s v="CSC"/>
        <s v="MK Industries, Inc."/>
        <s v="Mortgage Research Center LLC"/>
        <s v="Stratus Building Solutions"/>
        <s v="Peak Technologies"/>
        <s v="Super Clean 360"/>
        <s v="Proscape Landscaping Mgt Corp"/>
        <s v="Twin City Garage Door Company"/>
        <s v="Michael H Bruegge"/>
        <s v="D M Conversions, Ltd"/>
        <s v="Fire Protection Services, LLC"/>
        <s v="Jan-Pro of Greater Nashville"/>
        <s v="Lady Boss Lawn Care LLC"/>
        <s v="Johnson Equipment Company"/>
        <s v="Pacific Metal Buildings Inc"/>
        <s v="Power Clean"/>
        <s v="Precision Door Service - Pensacola"/>
        <s v="GTG Peterbilt - Davenport"/>
        <s v="SKR Corporation"/>
        <s v="DKI Pro Supply"/>
        <s v="InTouch Solutions Group Inc."/>
        <s v="Gyrfalcon Logistics Inc."/>
        <s v="Ridge Angeline dba B&amp;B Restorations"/>
        <s v="Erindale Systems Inc."/>
        <s v="Peter Lyman"/>
        <s v="Uncle Nicks"/>
        <s v="Wrights Media , LLC"/>
        <s v="Wallace and Wallace Fences"/>
        <s v="Krystal Cleaning&amp; Disinfecting Sol"/>
        <s v="LEAF Capital Funding LLC"/>
        <s v="Rehobet Janitorial Services"/>
        <s v="Get Lit Electrical &amp; Plumbing"/>
        <s v="Paul Davis Restoration"/>
        <s v="Eagerton Tree Service LLC"/>
        <s v="Marvco Enterprises, Inc."/>
        <s v="Cintas Corporation #62"/>
        <s v="Bankers Trust"/>
        <s v="Lindsey M Townsend"/>
        <s v="Servpro Assets, LLC"/>
        <s v="Chicago Tire"/>
        <s v="Molly Maid of Chesapeake"/>
        <s v="FLV US LLC"/>
        <s v="968 Reed Road 2020"/>
        <s v="J&amp;B Management Corporation"/>
        <s v="Tri South Mechanical LLC"/>
        <s v="Precision Door Services of Memphis"/>
        <s v="Miners Towing Co. Inc."/>
        <s v="South Ferry Inc"/>
        <s v="A Clean Place Services/Angela Hough"/>
        <s v="Vulcan Companies, Inc."/>
        <s v="Bernstein Shur Sawyer &amp; Nelson PA"/>
        <s v="Coverall North America Inc"/>
        <s v="Ready Refresh-856192"/>
        <s v="Marxaire, Inc."/>
        <s v="Attention to Detail Prof. Cleaning"/>
        <s v="Snell &amp; Wilmer L.L.P."/>
        <s v="RE/MAX International Inc"/>
        <s v="Restored Digital Solution, LLC"/>
        <s v="Yacht StarShip Dining Cruises LLC"/>
        <s v="Southland Fencing"/>
        <s v="EAAL CORP"/>
        <s v="Rosey Industrial Park &amp; Storage LLC"/>
        <s v="MoreSteam.com LLC"/>
        <s v="Better Business Bureau of W FL"/>
        <s v="Tom J Martin"/>
        <s v="Blackwell Repairs &amp; Welding"/>
        <s v="Luckys Energy Service, Inc."/>
        <s v="KJ Cleaning LLC"/>
        <s v="Airoldi Brothers, Inc."/>
        <s v="The Salvation Army A Georgia CT"/>
        <s v="CPH Landscape"/>
        <s v="Nyc Department Of Finance"/>
        <s v="Linda Gates"/>
        <s v="Steven Brown"/>
        <s v="Pye-Barker Fire &amp; Safety Inc."/>
        <s v="Selking International, LLC"/>
        <s v="Dawn Falace"/>
        <s v="April Szulborski dba Advent Packaging"/>
        <s v="Air Comfort, Inc."/>
        <s v="Hiegel Supply"/>
        <s v="Northern Investments &amp; Properties"/>
        <s v="Remco Business Center, LLC"/>
        <s v="Brook Construction Co., Inc."/>
        <s v="Wilson David Antoine"/>
        <s v="Alyssa Lora"/>
        <s v="Southside Trailer Service"/>
        <s v="Propane Central-Wichita"/>
        <s v="Empire Fire Systems, LLC"/>
        <s v="CWPM LLC"/>
        <s v="Walton Management Services Inc."/>
        <s v="Commercial Shelving Inc"/>
        <s v="Sean Joubert"/>
        <s v="Super-Save Enterprises, Ltd."/>
        <s v="Ready Refresh-856680"/>
        <s v="Tags Hawaii, Inc."/>
        <s v="Global Mobility Solutions"/>
        <s v="Just Green Lawn and Landscaping"/>
        <s v="National Fire &amp; Safety Inc"/>
        <s v="JK Johns Roofing &amp; Sheet Metal, Inc"/>
        <s v="Albuquerque Plumbing, Heat and Cool"/>
        <s v="Memphis Maids, LLC"/>
        <s v="ChemStation Chicago LLC"/>
        <s v="Custom Pump &amp; Controls"/>
        <s v="Affordable Truck Tires"/>
        <s v="AAA Tire Company Inc"/>
        <s v="Perfection Lawn Care &amp; Mntc,"/>
        <s v="The UPS Store Inc"/>
        <s v="Overdoors of Illinois"/>
        <s v="Stewart &amp; Stevenson FDDA LLC"/>
        <s v="Black Equipment Company East, Inc."/>
        <s v="D&amp;K Pitchers Auto Salvage Inc"/>
        <s v="Perfect Detail MI"/>
        <s v="Prestige Yardscapes &amp; Snow Mgt"/>
        <s v="A2B Hotshots, LLC"/>
        <s v="Avenir Energy Ltd"/>
        <s v="Xtreme Fleet Maintenance, LLC"/>
        <s v="eTEC Fire Protection LLC"/>
        <s v="Getty Images Inc"/>
        <s v="Trupar America INC"/>
        <s v="Leslie A Baker"/>
        <s v="Colorado Mechanical Systems, Inc."/>
        <s v="Solid Home LLC"/>
        <s v="Gem City Tire"/>
        <s v="The American Legion"/>
        <s v="KKJ, dba Jan Pro Fran Dev of NEPA"/>
        <s v="McKinney Trailer Rental"/>
        <s v="Dutchess Overhead Door Inc."/>
        <s v="MooveGuru, Inc"/>
        <s v="Next Step Strategies LLC"/>
        <s v="Powertown LLC dba Forklifts NH"/>
        <s v="First Security"/>
        <s v="Silco Fire &amp; Security"/>
        <s v="N&amp;S Automotive"/>
        <s v="Rickey L Walker"/>
        <s v="Sheila Frazier"/>
        <s v="Aulani Commercial Services, LLC"/>
        <s v="A&amp;A Hauling &amp; Concrete"/>
        <s v="El Paso XCS, LLC"/>
        <s v="Bay Alarm Company"/>
        <s v="Green Thumb Lawn Care"/>
        <s v="Kahoot"/>
        <s v="911 Restoration Franchise, Inc"/>
        <s v="Assurance Electric LLC"/>
        <s v="Nation Waste Inc"/>
        <s v="OMNIA Partners"/>
        <s v="Indeed, Inc."/>
        <s v="Grayco Enterprises, Inc"/>
        <s v="MilitaryByOwner Advertising, Inc."/>
        <s v="Randy Sagar"/>
        <s v="Danies Maldonado"/>
        <s v="Jenkins Services, Inc"/>
        <s v="Mirrione, Shaughnessy &amp; Uitti, LLC in Trust"/>
        <s v="ST. Pete Pride, Inc"/>
        <s v="American Cancer Society, Inc."/>
        <s v="Michael Nehnevajsa and Susan"/>
        <s v="Mooremaids"/>
        <s v="Bright Painting &amp; Design Inc Dba Wow 1 day painting"/>
        <s v="Arthur Laws"/>
        <s v="Cox Autom Mobility Fleet Servs"/>
        <s v="National Guard Association US, Inc."/>
        <s v="Beaudoin &amp; Krause-Leemon LLP DO NOT USE(Use-153003)"/>
        <s v="Door Works Inc"/>
        <s v="National Defense Transportation Association"/>
        <s v="Charlies Plumbing Inc."/>
        <s v="KB Electric Inc."/>
        <s v="King Waste Services, LLC"/>
        <s v="Mid-Ohio Material Handling, Inc"/>
        <s v="State of New Jersey"/>
        <s v="KALTIRE"/>
        <s v="Patrick Services, Inc"/>
        <s v="ABC Plaza"/>
        <s v="Ralph Wiles"/>
        <s v="Judy Logsdon"/>
        <s v="Molly Maid of the Peninsula &amp; Willia"/>
        <s v="Joseph Peter Westerberg"/>
        <s v="Andrews Welding and Fabr. Servs"/>
        <s v="Washrite, Inc."/>
        <s v="Cartus - Relocation"/>
        <s v="Southern Sweepers &amp; Scrubbers"/>
        <s v="Fairborn Equipment Midwest"/>
        <s v="Cleantegrity, LLC"/>
        <s v="ATP Alarms"/>
        <s v="Double Oak Erosion"/>
        <s v="Kyle Simpson"/>
        <s v="Arrowwood Landscape Design LLC"/>
        <s v="Davis Door Service Inc."/>
        <s v="Southern Touch Exterior Solutions"/>
        <s v="Logan Schulken"/>
        <s v="American Door Services Inc."/>
        <s v="Biermann Plumbing &amp; Heating"/>
        <s v="Transworld Systems Inc"/>
        <s v="Suburban Propane LP 7881"/>
        <s v="Quick Cable Corporation"/>
        <s v="Summit Fire &amp; Security"/>
        <s v="A-1 Waste &amp; Rolloff Service, Inc"/>
        <s v="Corporate Creations"/>
        <s v="Southern On-Site"/>
        <s v="USAble Life"/>
        <s v="JBS GARAGE DOOR SERVICES LLC"/>
        <s v="D.Law, Inc."/>
        <s v="AFGO Mechanical Services, Inc"/>
        <s v="Luciaci Enterprises LLC"/>
        <s v="Well Manicured Properties"/>
        <s v="RC Lawncare, LLC"/>
        <s v="Bowen Law Firm"/>
        <s v="Morris Pulpwood &amp; Timber"/>
        <s v="Northern Pass Refrigeration"/>
        <s v="Ingersoll Rand"/>
        <s v="Miller Truck Leasing"/>
        <s v="Carson Industries, Inc"/>
        <s v="That 1 Painter"/>
        <s v="Suburban Welding &amp; Steel LLC"/>
        <s v="Kentucky Petroleum Supply LLC"/>
        <s v="Scopelitis Garvin Light Hanson&amp;Fear"/>
        <s v="Charles Woodward dba CW Lawns"/>
        <s v="Laid Back Lawn Care"/>
        <s v="Diamary Pileta"/>
        <s v="S&amp;J Lawn Care Service"/>
        <s v="Xerox Financial Services LLC"/>
        <s v="Uline*"/>
        <s v="Mcmullen Oil"/>
        <s v="ODS Cleaning Services LLC"/>
        <s v="Chayah Faith Inc."/>
        <s v="James E Cozart"/>
        <s v="Ambreen Smith"/>
        <s v="Scott County Tobacco Warehouse"/>
        <s v="Action Enterprises, Inc"/>
        <s v="D&amp;K Hunt Electric"/>
        <s v="Blue Ridge Enterprises, LLC"/>
        <s v="Cleaning Services Of Lubbock"/>
        <s v="ABC Landscaping Inc."/>
        <s v="Sonitrol Pacific"/>
        <s v="Sprout Social, Inc."/>
        <s v="Limons Road Service"/>
        <s v="Cisco Air Systems, Inc."/>
        <s v="Dilmar Oil Company Inc"/>
        <s v="Colonial Webb Contractors Company"/>
        <s v="Denise Cunningham"/>
        <s v="GovX, Inc."/>
        <s v="Dales Welding Service"/>
        <s v="Bob &amp; Bills Service Station, LLC"/>
        <s v="Thomas Towing &amp; Transport"/>
        <s v="Dave Davidson"/>
        <s v="UFCW Local 102"/>
        <s v="Security Central, Inc."/>
        <s v="Patricia McCarty Martinez"/>
        <s v="Shine Bright Cleaning, Inc."/>
        <s v="Scrap Metal Management North"/>
        <s v="Colonial Oil Industries, Inc"/>
        <s v="Red Gate Software Ltd."/>
        <s v="Spectrum Maintenance Services, LLC"/>
        <s v="Lawn Trouper, Inc."/>
        <s v="Hydra Power Hydraulics"/>
        <s v="East-West Electric Inc"/>
        <s v="Dipple Plumbing Inc."/>
        <s v="Flynn Scale Inc"/>
        <s v="SI Mechanical, LLC"/>
        <s v="Redguard Fire &amp; Security"/>
        <s v="Jessica Strechar dba JS Cleaning Service"/>
        <s v="Kolb Electric, Inc"/>
        <s v="Foos Fire, Inc."/>
        <s v="Overhead Door Co of Shenandoah Vall"/>
        <s v="Cali Maintenance, Inc."/>
        <s v="Alliance Mechanical Services"/>
        <s v="Merry Maids"/>
        <s v="Signature Relocation"/>
        <s v="D-Ben Security Systems, Inc."/>
        <s v="G.O. Tap Plus"/>
        <s v="3A Communications, LLC"/>
        <s v="Environmental Equipment Supply"/>
        <s v="Sturdy Oil Company"/>
        <s v="Carlos Palomera"/>
        <s v="Hookin &amp; Bookin Towing LLC"/>
        <s v="JT Lawn N Mulch, LLC"/>
        <s v="Michael Muhlfeder"/>
        <s v="Miner Florida"/>
        <s v="Portable Storage Inc."/>
        <s v="Sonitrol/Pacific West Security Inc."/>
        <s v="Landstar Ranger Inc"/>
        <s v="Fidelity Engineering Corporation"/>
        <s v="Creative Landscape Group"/>
        <s v="Fastenal Canada LTD"/>
        <s v="Denalect Alarm"/>
        <s v="Harding Landscapes"/>
        <s v="G&amp;C Diesel LLC"/>
        <s v="At Leisure Contractor Licensing LLC"/>
        <s v="Commercial Tire Group LLC"/>
        <s v="Pittsburgh Reliable Clng Serv, LLC"/>
        <s v="K-15 Auto Salvage Inc."/>
        <s v="Roger M. Schultz"/>
        <s v="Washington State Dpt of Ecology"/>
        <s v="Overhead Door Co. of the Capital C"/>
        <s v="Testlify, Inc"/>
        <s v="Stepps Heavy Transport"/>
        <s v="Courtney Pride LLC"/>
        <s v="BIR Investments, LLC"/>
        <s v="Marion L Robinson"/>
        <s v="Budget Sewer Service, Inc."/>
        <s v="Medley Material Handling Company"/>
        <s v="Global Security, LLC dba Paradyme"/>
        <s v="Yellow Truck &amp; Trailer Repair Inc"/>
        <s v="D&amp;D Fire &amp; Security"/>
        <s v="Puroclean"/>
        <s v="Carolina Cultured Aquatics"/>
        <s v="Heron Bay Commercial Cleaning Inc"/>
        <s v="Southland Industries"/>
        <s v="Welborn Electric Company, Inc."/>
        <s v="Emmett L Martin Jr"/>
        <s v="Broadfence, Inc"/>
        <s v="Blue Flame, LLC"/>
        <s v="D &amp; D Garage Doors of Tampa, Inc"/>
        <s v="W.B. Mason Co., Inc."/>
        <s v="Memphis Fence Company, LLC"/>
        <s v="United Education Institute dba sage"/>
        <s v="Greenville Compressor"/>
        <s v="PRECISION Servs of Jacksonville,"/>
        <s v="CRW Parts t/a Fleet Parts"/>
        <s v="Kenneth A Goldey dba FSP Painting"/>
        <s v="BLD Door Service, LLC DBA"/>
        <s v="Mitchell Bros Truck Line Inc."/>
        <s v="Gold Label Specialities LLC"/>
        <s v="Ryan LLC"/>
        <s v="Priority 1 Maintenance &amp; Janitorial"/>
        <s v="Grindstone Holding LLC"/>
        <s v="Data Print Technologies, Inc."/>
        <s v="Cooper Parry LLP"/>
        <s v="Pacific Jobbers Warehouse, Inc."/>
        <s v="Syntrio, Inc"/>
        <s v="McGriff Tire Service Inc."/>
        <s v="We Wrap, LLC"/>
        <s v="Amanda Meade"/>
        <s v="Calhoun Community College"/>
        <s v="Hinckley Springs"/>
        <s v="Sanphil Quality Cleaning, LLC"/>
        <s v="Modern Mechanical Services"/>
        <s v="Sylvia Del Rosario Molina"/>
        <s v="McAngus Goudelock &amp; Courie, LLC"/>
        <s v="Xpress Towing and Recovery"/>
        <s v="CCs High Q Electric LLC"/>
        <s v="Rotstein &amp; Shiffman, LLP"/>
        <s v="Truck Country of Wisconsin"/>
        <s v="McKinneys Towing &amp; Road Service LLC"/>
        <s v="Ashland Propane Inc."/>
        <s v="Koorsen Fire &amp; Security"/>
        <s v="Quality Towing NJ"/>
        <s v="Lewis Brisbois Bisgaard &amp; Smith"/>
        <s v="Hiller LLC"/>
        <s v="Apartment Fire Extinguisher Servs"/>
        <s v="McNelly Services, Inc."/>
        <s v="Tradewinds Brokerage Inc"/>
        <s v="Rodolfo A. Contreras"/>
        <s v="Brads Yard Service"/>
        <s v="The M.F.R. Group, LLC"/>
        <s v="Overhead Door Co of Grand Rapids"/>
        <s v="Texas SHRM"/>
        <s v="Edwards &amp; Patterson Law Firm"/>
        <s v="Fluid Dynamics LLC"/>
        <s v="Sapps Wrecker Service"/>
        <s v="Jan-Pro of the Triad"/>
        <s v="Hawthorne Investments LLC"/>
        <s v="Certified Laboratories"/>
        <s v="Realty Executives International"/>
        <s v="North Ferry Co Inc"/>
        <s v="Hydra Clean"/>
        <s v="Sciens Orlando LLc"/>
        <s v="AirTight FaciliTech, LLC"/>
        <s v="Office Pride - Do not use"/>
        <s v="Coharbor Electric, LLC"/>
        <s v="Association of the US Army"/>
        <s v="Molly Maid Columbus"/>
        <s v="Pace, Inc."/>
        <s v="All Auto Towing Inc."/>
        <s v="Mar-Nic General Contractor, LLP"/>
        <s v="B&amp;F Design Studio and Arch Svcs,LLC"/>
        <s v="Big South Metals, Inc."/>
        <s v="D&amp;M Hydraulic Sales &amp; Service, Inc."/>
        <s v="Ecotech Pest Control Services"/>
        <s v="WyEast Products Inc"/>
        <s v="Dyson dba Iron Horse"/>
        <s v="JAS Property Maintenance"/>
        <s v="Sherwin Williams-CANA"/>
        <s v="CU Cleaning 100199319"/>
        <s v="Greater Tampa Bay Chamber of Comm"/>
        <s v="New Orleans Portable Storage LLC"/>
        <s v="Connecticut Portable Storage"/>
        <s v="Great Lakes Distributing"/>
        <s v="OKeefes Landscaping LLC"/>
        <s v="TRSB, Inc."/>
        <s v="Vital Records Control"/>
        <s v="Wyatts Tire Co."/>
        <s v="Overhead Door Corporation"/>
        <s v="Broadway Refrigeration &amp; Air Conditioning Co. LTD"/>
        <s v="Jan-Pro Cleaning Servs of SC/GA Coa"/>
        <s v="Adirondack Group, LLC dba The Fence"/>
        <s v="ASSA ABLOY Entrance Systems Canada Inc"/>
        <s v="Delta T LLC dba Big Ass Fans"/>
        <s v="Timothy R Vroom"/>
        <s v="ASAP Garage Door Service Inc."/>
        <s v="High Cotton Landscaping &amp; P M, LLC"/>
        <s v="Overhead Door Of Sarasota"/>
        <s v="Idella B Becks"/>
        <s v="Christenson Electric, Inc."/>
        <s v="Marty Massey Towing &amp; Recovery Inc"/>
        <s v="Maryland Truck Tire Services Inc."/>
        <s v="McKernan, Inc"/>
        <s v="Texas Enterprises dba Hotsy Carlson"/>
        <s v="Forklifts of Michigan, Inc."/>
        <s v="Quality Petroleum, Inc"/>
        <s v="Hamilton Casters &amp; Mfg Co."/>
        <s v="The Truck Master School"/>
        <s v="Ricketts Transportation LLC"/>
        <s v="Stiles Contracting Inc."/>
        <s v="Rowan Landscape &amp; Design"/>
        <s v="National Military Community Foundat"/>
        <s v="CA Assets, dba Pro Overhead Door"/>
        <s v="A. Fire &amp; Safety Co."/>
        <s v="Coyote Portable Storage"/>
        <s v="AirTemp, Inc."/>
        <s v="CTS Cargo Tie-Down Specialty"/>
        <s v="The Lincoln Life National Insurance Company"/>
        <s v="Nu-Way Hydraulics"/>
        <s v="Competitive Hauling"/>
        <s v="Crystal Welding Inc."/>
        <s v="Still Water Security Company, LLC"/>
        <s v="Carden Jennings Publishing Co.,LTD."/>
        <s v="Box, Inc."/>
        <s v="Albert Villarreal"/>
        <s v="Glenn W Yetter"/>
        <s v="H&amp;I Fitness, Ltd."/>
        <s v="Ferpes Brothers Inc."/>
        <s v="Prompt Towing &amp; Transport Company In"/>
        <s v="JDR Cleaning"/>
        <s v="Vehiclean"/>
        <s v="Daron Jaco"/>
        <s v="McCarthy Tetrault LLP"/>
        <s v="Nicks Lawncare LLC"/>
        <s v="Equipment Depot Winsonsin"/>
        <s v="Jennifer Hudson"/>
        <s v="Touch of Pride Landscaping"/>
        <s v="John H Gold III"/>
        <s v="Central Credit Control LTD"/>
        <s v="TruckPro-Atlanta"/>
        <s v="Snyder Enterprise Group, LLC"/>
        <s v="Overhead Door Co of Raleigh"/>
        <s v="Dirt Busters Inc."/>
        <s v="Eastern Lift Truck co"/>
        <s v="Utah Engineering"/>
        <s v="Service Tire Truck Center"/>
        <s v="Yoder Overhead Door Co"/>
        <s v="Pro-Copy"/>
        <s v="Bay Area Pressure Pros, LLC."/>
        <s v="Vistra Trust Company Ltd."/>
        <s v="Sarah Jelsema dba Revival Cleaning"/>
        <s v="Diaz RE Holdings, LLC"/>
        <s v="Titanium American Logistics Inc."/>
        <s v="Elite Towing"/>
        <s v="Sun Shades &amp; Graphics, Inc."/>
        <s v="All Industries Inc"/>
        <s v="Portable Storage Of North (sc)"/>
        <s v="Fenichey LLC"/>
        <s v="Site Design, Inc"/>
        <s v="GFL Environmental-#001884451"/>
        <s v="Pro Equipment Repair"/>
        <s v="Bailey Fence Company, Inc."/>
        <s v="Brandon Clark dba BC Equipment Srvc"/>
        <s v="Cream Enterprise, LLC"/>
        <s v="J3 Mechanical Services"/>
        <s v="Jacks Overhead Door Inc"/>
        <s v="A25 LE Lien Intelligent"/>
        <s v="Waypoint Property Management, LLC"/>
        <s v="Jim Williams Fence Company"/>
        <s v="Capurro Trucking"/>
        <s v="ALG Worldwide Logistics, LLC"/>
        <s v="Goodyear Logistics LLC"/>
        <s v="Penske Transportation Mgmnt LLC"/>
        <s v="Western Motor Tariff Bureau, Inc."/>
        <s v="Fairborn Equipment Co of Illinois"/>
        <s v="Overhead Door Company of Providence"/>
        <s v="Envirotrol"/>
        <s v="Goch &amp; Sons Towing"/>
        <s v="Fraser Valley Equipment LTD"/>
        <s v="Door Dash, Inc"/>
        <s v="U Win Towing, LLC"/>
        <s v="Colliflower Inc"/>
        <s v="Hunter Security, Inc."/>
        <s v="The Salvation Army Central Terr. Hq"/>
        <s v="Tennant Sales &amp; Service Co."/>
        <s v="Baygas Propane"/>
        <s v="Southern Wrecker &amp; Recovery, LLC"/>
        <s v="Buds Wrecker Service Inc."/>
        <s v="Smith Mechanical"/>
        <s v="Great Little Box Company"/>
        <s v="R &amp; S Erection of Vallejo Inc."/>
        <s v="Lewis Thomason, P.C."/>
        <s v="All American Auto Glass Inc"/>
        <s v="Blue Beacon, Inc."/>
        <s v="Alante Security Group Inc."/>
        <s v="The Law Office of Lana Manitta,PLLC"/>
        <s v="RJP Hotsy"/>
        <s v="Renna Sarnie"/>
        <s v="Dominion Wrecker Service LLC"/>
        <s v="Pirtek Beltway/Conroe/Gulfgate/Sta"/>
        <s v="GEM Plumbing &amp; Heating Services LLC"/>
        <s v="Birch Fumigators"/>
        <s v="Justin Michael"/>
        <s v="Wilson Fuel Co. Limited"/>
        <s v="NCR Towing"/>
        <s v="BOES, LLC"/>
        <s v="MH Equipment"/>
        <s v="Voss Equipment Inc."/>
        <s v="CAA Quebec"/>
        <s v="James Hayes"/>
        <s v="Managed Mobile, Inc."/>
        <s v="Watson Home Properties"/>
        <s v="Suburban Towing Inc"/>
        <s v="Sallie Brown"/>
        <s v="Youdecide.com Inc"/>
        <s v="Area Plumbing &amp; Sewer Co., Inc"/>
        <s v="Asheville Oil Company"/>
        <s v="Lawrence Doors"/>
        <s v="A Five Star Termite&amp; Pest Control"/>
        <s v="Four Star Services, Inc"/>
        <s v="RY logistics Inc."/>
        <s v="Amino Transport, Inc. DO NOT USE"/>
        <s v="Moran Reeves &amp; Conn PC"/>
        <s v="Ace Heating &amp; Cooling, Inc."/>
        <s v="Federal Express Canada Corporation"/>
        <s v="Mr. Rooter Sewer &amp; Drain, Inc"/>
        <s v="Guardian Alarm of Ohio Inc."/>
        <s v="Air Therm LLC"/>
        <s v="Suburban Propane"/>
        <s v="Bauer Built Inc."/>
        <s v="Plasticycle Corporation"/>
        <s v="High Associates"/>
        <s v="United Industrial Service, Inc."/>
        <s v="Sherwin Williams - Brampton"/>
        <s v="Pro-Screen Inc."/>
        <s v="Frantz Ward LLP"/>
        <s v="SOS Fuels"/>
        <s v="FYR FYTER SALES &amp; SERVICES, INC"/>
        <s v="Mitchells W Nashville Wrecker Ser"/>
        <s v="Terminal Supply Company"/>
        <s v="Grays Towing"/>
        <s v="Cowleys Bug Out Pest Control Inc."/>
        <s v="Myrmo &amp; Sons Inc"/>
        <s v="Mobile Fleet Wash Inc."/>
        <s v="S. CAMEROTA &amp; SONS, INC."/>
        <s v="JAS Industries, LLC"/>
        <s v="Access One Lock Service"/>
        <s v="J&amp;R Mobile Wash"/>
        <s v="Southeast Texas Plumbing, Inc."/>
        <s v="Puritan Springs Water"/>
        <s v="Pact Service Inc"/>
        <s v="Medford Alarm &amp; Signal Inc"/>
        <s v="Centre de services scolaire des Aff"/>
        <s v="Super Save Disposal"/>
        <s v="Eric Anderson Trucking"/>
        <s v="De Lage Landen Financial"/>
        <s v="Move EZ, Inc."/>
        <s v="Willis Welding &amp; Machine Compny Inc"/>
        <s v="Earl Coy"/>
        <s v="Indoor Air Testing, Inc."/>
        <s v="HNST Mold Inspections"/>
        <s v="Katherine Beaven"/>
        <s v="Black Diamond Experts"/>
        <s v="Morrison Automotive Inc"/>
        <s v="Mid-State Door Inc"/>
        <s v="Colton Jones"/>
        <s v="Impact Fire Services LLC"/>
        <s v="OptiSigns Inc"/>
        <s v="Elizabeth K Wright"/>
        <s v="VIP Fire Sprinklers, Inc"/>
        <s v="Dedicated Carriers, Inc."/>
        <s v="Logistic Transit Solutions, Inc."/>
        <s v="First Fire &amp; Safety Enterprises LLC"/>
        <s v="Central Carolina Scale, Inc"/>
        <s v="Pelican Air Commercial Serv"/>
        <s v="American Protective Systems, Inc."/>
        <s v="A&amp;B Portable Toilets, LLC"/>
        <s v="Suri Towing LLC"/>
        <s v="GA Cayman Holdco LLC"/>
        <s v="Quench Canada Inc."/>
        <s v="AA Advance Air Inc."/>
        <s v="Allstate Fire Protection"/>
        <s v="Military Officers Assoc of America"/>
        <s v="Boston Area Door Co"/>
        <s v="Summit Fire Protection"/>
        <s v="Cardinal Integrated Systems"/>
        <s v="Shalysse Webster"/>
        <s v="PHPA"/>
        <s v="Kenron Industrial AC, ."/>
        <s v="Maintenance One 1, Inc"/>
        <s v="Sierra Springs"/>
        <s v="AQUA 3 LLC"/>
        <s v="Analytical Resources, Inc"/>
        <s v="MSS Solutions, LLC"/>
        <s v="Adam Stacharowkski"/>
        <s v="DFH Company"/>
        <s v="MakeMyMove.com"/>
        <s v="Parrish Cleaning Services, Inc"/>
        <s v="Modern Piping, Inc."/>
        <s v="Swan Dust Control LTD"/>
        <s v="Elite Towing LLC"/>
        <s v="Archibald Relocation"/>
        <s v="INS Insurance, Inc."/>
        <s v="Wellington Dock &amp; Door Ltd."/>
        <s v="Appalachian Springs Bottles Water"/>
        <s v="Ace Transportation Systems, LLC"/>
        <s v="DTI Transport LTD"/>
        <s v="Overhead Door Co. of Harrisburg-Yor"/>
        <s v="Uinta Disposal"/>
        <s v="Overhead Door of Lansing"/>
        <s v="Hums Hardware &amp; Rental"/>
        <s v="Centennial High School Athletic Boo"/>
        <s v="Village Of Westchester"/>
        <s v="Capital City Moving &amp; Storage"/>
        <s v="Dixie Electric Company, Inc."/>
        <s v="Jose Garcia dba Edens Lawn Service"/>
        <s v="United Mechanical Corporation"/>
        <s v="Taylor Enterprises"/>
        <s v="Danias Cleaning Services"/>
        <s v="Rochelle Hayden"/>
        <s v="Duncan Bolt Company"/>
        <s v="RickTheWelder Fabrication, LLC"/>
        <s v="Mettler-Toledo, LLC"/>
        <s v="Four Quarters Inc"/>
        <s v="Minister Of Finance"/>
        <s v="Hamburg Overhead Door Inc"/>
        <s v="Loyal Window Cleaning, Inc."/>
        <s v="Fleet Core Inc"/>
        <s v="Town of Guilderland"/>
        <s v="Bob Kline Quality Metals, Inc"/>
        <s v="Shambaugh &amp; Son, LP"/>
        <s v="Modern Pest Services LLC"/>
        <s v="Mobile Fleet Wash - CA"/>
        <s v="Larry Downs Jr. Plumbing"/>
        <s v="House of Doors"/>
        <s v="24 Hour LTD"/>
        <s v="Apple Valley Scale Company Inc"/>
        <s v="Rieck Services"/>
        <s v="Reward Gateway (US) Inc"/>
        <s v="Haight Fire Equipment Supply"/>
        <s v="Tate Construction LLC"/>
        <s v="Allied Electrical Syst &amp; Solutions"/>
        <s v="Blue Summit Water, LLC"/>
        <s v="Master Protection LP dba Firemaster"/>
        <s v="R.W. Truck Equipment"/>
        <s v="Pomykal Heating and Cooling LLC"/>
        <s v="ABC FIRE EQUIPMENT CORP"/>
        <s v="ABC Fire Equipment Inc"/>
        <s v="Schetter Electric LLC"/>
        <s v="Custom Security Systems, Inc."/>
        <s v="Focus Relocation"/>
        <s v="Heatherly Bros Auto Parts and Svcs"/>
        <s v="Quick Fix Garage Door Repair"/>
        <s v="Interhire LLC"/>
        <s v="Kauffs of Ft. Pierce, Inc"/>
        <s v="Overhead Door Of Ft Myers"/>
        <s v="Fleet Service of Tulsa"/>
        <s v="Northern Coast Lift Truck, Inc."/>
        <s v="Pro-Tech Fire &amp; Safety Inc"/>
        <s v="Abenity"/>
        <s v="Access Portable Toilets"/>
        <s v="Americas Garage Door Company"/>
        <s v="Insley McEntee Equipment Co ."/>
        <s v="Hotsy-Clean, LLC"/>
        <s v="The Hiller Companies"/>
        <s v="Alfred L Schiller Hardware Inc."/>
        <s v="TeamViewer GmbH"/>
        <s v="Shivers Towing of MS Inc."/>
        <s v="Jordan Highsmith"/>
        <s v="Gulf Storage Partners Lp"/>
        <s v="Benco Industrial Equipment, LLC"/>
        <s v="Fleet Fuel Services"/>
        <s v="Korte Does it All"/>
        <s v="Quitman Tires"/>
        <s v="Tomatow LLC"/>
        <s v="New Hampshire Peterbilt Inc."/>
        <s v="SAFElink Security"/>
        <s v="Pacific Office Automation"/>
        <s v="Weber Tires and Services LLC"/>
        <s v="Ads Security"/>
        <s v="New Haven Moving Equipment"/>
        <s v="Waterco of the Central States dba Culligan of Troy"/>
        <s v="J&amp;J Plumbing, Heating, &amp; Cooling"/>
        <s v="Confires Fire Protection Services"/>
        <s v="Atlas Fence Company, Inc."/>
        <s v="International Fire Protection Inc."/>
        <s v="Relocity, Inc."/>
        <s v="Sabass Amaya dba CyServices"/>
        <s v="Malcohm Massie"/>
        <s v="Garland Fire Systems, Inc."/>
        <s v="Priority 1"/>
        <s v="Saenz Material &amp; Handling"/>
        <s v="Fire Equipment Company Inc"/>
        <s v="Staples Contract&amp;Commercial"/>
        <s v="Southern Security &amp; Fire, Inc."/>
        <s v="Northside Service, Inc."/>
        <s v="Quickset Auto Glass"/>
        <s v="Great Works Perks Inc."/>
        <s v="Cactus Portable Storage"/>
        <s v="Milbert Company DBA Culligan Water"/>
        <s v="Unlimited Towing Service"/>
        <s v="Aqua Evolution LLC"/>
        <s v="Timothy OSheehan"/>
        <s v="Minuteman Security Technologies Inc"/>
        <s v="Advanced Wastewater Services Inc."/>
        <s v="Gerald Scott Clements"/>
        <s v="Associated Fire Protection, LLC"/>
        <s v="Cartridge World"/>
        <s v="Border Connect, Inc."/>
        <s v="Van Drunen Heating &amp;AC"/>
        <s v="Transglass"/>
        <s v="HOMETOWN AUTO GLASS"/>
        <s v="NexGen Technologies"/>
        <s v="Stacy Serrato"/>
        <s v="Atlas Consumer Law"/>
        <s v="Valerie Flores"/>
        <s v="DBA Alarm &amp; Security, Inc."/>
        <s v="ARIES, INC."/>
        <s v="Benz Hydraulics Inc"/>
        <s v="Kai Plumbing LLC"/>
        <s v="Mansfield of Canada, ULC"/>
        <s v="Jade Plumbing &amp; Heating, Ltd."/>
        <s v="CCDS dba Industrial Door Co"/>
        <s v="Unifour Fire &amp; Safety"/>
        <s v="The Salvation Army Eastern Terr. Hq"/>
        <s v="Culligan Bottled Water"/>
        <s v="Alert Fire &amp; Safety Co"/>
        <s v="A1 Sprinkler Co Inc"/>
        <s v="Eagle Fire dba BST"/>
        <s v="Barnes Welding/Fresno Oxygen"/>
        <s v="Overhead Door Greenville\High Country"/>
        <s v="Odyssey Relocation Management"/>
        <s v="Universal Business Solutions"/>
        <s v="D1 Executive Relocation Inc."/>
        <s v="Profetta Overhead Door Co."/>
        <s v="ALS Group USA Corp"/>
        <s v="S.A Comunale Co. Inc."/>
        <s v="D&amp;J Mobile Service LLC"/>
        <s v="Fire Safety Supply, Inc"/>
        <s v="Holmes Security Systems"/>
        <s v="DTM Installations"/>
        <s v="A Plus Alarm"/>
        <s v="Bouma Fire Inc. dba Service First Fire Sprinkler"/>
        <s v="Deep South Equipment"/>
        <s v="Swift Industrial Power, Inc"/>
        <s v="Employee Benefits"/>
        <s v="Complete Business Systems"/>
        <s v="The Tow Truck Company"/>
        <s v="United Fire Consultant"/>
        <s v="Culligan of Wichita"/>
        <s v="Blue Star Gas Eugene Company"/>
        <s v="Overhead Door Co of Cedar Rapids&amp;"/>
        <s v="Timmons Group, Inc."/>
        <s v="Lightning Mobile Services, LLC"/>
        <s v="Intruder Alert Systems, Inc."/>
        <s v="Pal-Mac Plumbing &amp; Heating"/>
        <s v="Relocation Today"/>
        <s v="Graciela Angel Ibarra"/>
        <s v="Fire Protection Equipment Co., Inc."/>
        <s v="OPG Plus LLC"/>
        <s v="Interstate Billing Service"/>
        <s v="TAH Operations, LLC"/>
        <s v="Kansas Chemical Specialties, LLC"/>
        <s v="Culligan of Rockland"/>
        <s v="CHH, LLC"/>
        <s v="Teds Towing Service"/>
        <s v="Industrial Source"/>
        <s v="Pinellas Fastener"/>
        <s v="JKA Real Estate Investments LLC"/>
        <s v="The Pressure Cleaning People.com, LLC"/>
        <s v="A&amp;S Plumbing, Inc"/>
        <s v="Interboro Fire Safety LLC"/>
        <s v="COP Hometown Services Inc."/>
        <s v="Marshall Marine Supply Inc"/>
        <s v="SSH Communications Security, Inc."/>
        <s v="Air System Designs LLC"/>
        <s v="Transport Repair Service, Inc."/>
        <s v="Maktech Fleet Solutions"/>
        <s v="R&amp;s Erection Of So Alameda"/>
        <s v="Heritage Industrial- do not use-USE Vendor #131947"/>
        <s v="Safelink Corporation (Fire Protection)"/>
        <s v="HomeServices Partnership Group, LLC"/>
        <s v="American Fire Protection Group, Inc"/>
        <s v="Dryco Construction"/>
        <s v="Schimmels Solutions LLC"/>
        <s v="Airtech Thermex LLC"/>
        <s v="ACT-Alarm &amp; Communication Technologies Inc"/>
        <s v="ADT Security Service"/>
        <s v="Xonex Relocation Llc"/>
        <s v="Burns Industrial Equipment Inc."/>
        <s v="Soefker Services LLC"/>
        <s v="AXOMO dba Namify, LLC"/>
        <s v="R. Essay Plumbing &amp; Heating, Inc."/>
        <s v="Mountain Alarm"/>
        <s v="Aloha Water Company, Inc"/>
        <s v="Jorgensen Company"/>
        <s v="Panhandle Alarm &amp; Telephone Co Inc."/>
        <s v="Scott Bottoms Service"/>
        <s v="Corporate Billing, LLC"/>
        <s v="Colorado Lighting, Inc"/>
        <s v="Cre8tive Eye Designs"/>
        <s v="Exeter Finance LLC"/>
        <s v="K.J.D. Inc."/>
        <s v="Erica Goodness"/>
        <s v="Proweld Fabrication &amp; Chassis, Inc."/>
        <s v="4J Mgt dba Wholesale Signs Plus"/>
        <s v="Columbus Fire &amp; Safety"/>
        <s v="Best Western International, Inc"/>
        <s v="Dick SmithAC &amp; Refrigeration"/>
        <s v="Fire Pro LLC"/>
        <s v="Interstate Batteries of N Chicago"/>
        <s v="Halls Electrical LLC"/>
        <s v="Omps Garage Inc"/>
        <s v="Amex Bank of Canada"/>
        <s v="Sedgwick"/>
        <s v="Marine Maintenance and Const Inc"/>
        <s v="Res/Comm Security Systems Inc"/>
        <s v="Auto Glass Assist"/>
        <s v="East Point Georgia-#193081-162228"/>
        <s v="Valor Fire Protection DO NOT USE -USE 150548"/>
        <s v="Cheney Door Company"/>
        <s v="Borem Fire Protection Inc."/>
        <s v="Freshwater &amp; Sons Electric, LLC"/>
        <s v="Bessler Welding, Inc."/>
        <s v="KayW Mobile Hose LLC"/>
        <s v="SMC MONITORING CORPORATION"/>
        <s v="Hurricane Industrial"/>
        <s v="Safety Systems and Signs Hawaii"/>
        <s v="AAA Auto Glass Inc."/>
        <s v="W.H. Thomas Oil Co."/>
        <s v="Halifax Bridge"/>
        <s v="Alexanders Mobility Services"/>
        <s v="Superior Water &amp; Air"/>
        <s v="Greenville Scale Co. Inc"/>
        <s v="Installed Building Products LLC"/>
        <s v="HOI Vending Inc."/>
        <s v="Chulskis Salt Service, LLC"/>
        <s v="Corporate Plus Card, Inc."/>
        <s v="Precision Cleaning Systems, Inc."/>
        <s v="Overhead Door Of Clearwater"/>
        <s v="Mels Auto Glass"/>
        <s v="Greenbrier Inc. dba Tiger Fuel Co."/>
        <s v="Premium Waters Inc."/>
        <s v="Stegall Mechanical, LLC"/>
        <s v="Linde Canada Inc"/>
        <s v="Tims Towing &amp; Recovery"/>
        <s v="Pure Water Partners, LLC"/>
        <s v="3D Security, Inc."/>
        <s v="United States Postal Service"/>
        <s v="Reyes Industrial Group LLC"/>
        <s v="Pensacola Rubber &amp; Gasket CO Inc"/>
        <s v="Carolina R Richardson"/>
        <s v="All County Garage Doors, LLC"/>
        <s v="Valley Air Condition &amp; Repair, Inc."/>
        <s v="Glenna Streeter"/>
        <s v="City of Bakersfield-#225653-7396"/>
        <s v="Sparefoot Inc"/>
        <s v="Crawford Contractor Connection"/>
        <s v="Security One, Inc."/>
        <s v="Ferry, Inc."/>
        <s v="Ottawa Police Service"/>
        <s v="Shamrocks Discount Janitorial Supp"/>
        <s v="Rex Lock &amp; Safe, Inc"/>
        <s v="The Ctr of Health Aff&amp; CHAMPS GPO"/>
        <s v="Crown Maintenance Company"/>
        <s v="Gustas Outdoor Power Equipment"/>
        <s v="Lighting and Lamp Corporation"/>
        <s v="Brecke Mechanical Contractor"/>
        <s v="FireTech Extinguisher Service &amp; Safety Equipment Co, LLC"/>
        <s v="Sigler Heat and Air, LLC"/>
        <s v="Spectra Laboratories, LLC"/>
        <s v="Mobile Storage Of Calgary"/>
        <s v="Mobile Storage Of Calgary-c"/>
        <s v="Murray Construction Co., Inc."/>
        <s v="Sterling Lexicon"/>
        <s v="Globalinduatrial.ca"/>
        <s v="Fire Tech LLC"/>
        <s v="Capital Relocation Services (db)"/>
        <s v="Overhead Door Co of Savannah"/>
        <s v="Pinnacle Fire &amp; Automation, LLC"/>
        <s v="Overhead Door Co of Rogue Valley"/>
        <s v="Adam Wild"/>
        <s v="Priority One Security"/>
        <s v="Unitil-#5071538504"/>
        <s v="Aerial Hydraulics, Inc."/>
        <s v="Lenny Campbell Service Company Inc."/>
        <s v="Tire King"/>
        <s v="School Bus Safety Program NY"/>
        <s v="Ace Hardware Corporation"/>
        <s v="Hammers Towing"/>
        <s v="Fond Technologies, Inc. Do Not Use-Use Vendor 149334"/>
        <s v="ARIN"/>
        <s v="Austin Fire Systems LLC"/>
        <s v="HCTRA- Violations"/>
        <s v="SNO CO Dist CT South DIV"/>
        <s v="Mid-Atlantic Appraisal Cons."/>
        <s v="ADP Inc."/>
        <s v="Roanoke Gas Company-#0751953-1"/>
        <s v="Illinois Tollway"/>
        <s v="Progressive Commercial Services, LLC."/>
        <s v="Pet Screening Inc."/>
        <s v="Saf-Way Recycler"/>
        <s v="Security Dynamics Inc."/>
        <s v="Transteck, Inc."/>
        <s v="Averitt Express, Inc."/>
        <s v="Keane Fire &amp; Safety Equipment Co"/>
        <s v="MC Tabor Enterprises"/>
        <s v="Complete Auto Glass"/>
        <s v="Jon-Don LLC dba Factory Cleaning Equipment by Jon-Don LLC"/>
        <s v="Napa Auto Parts-DO NOT USE"/>
        <s v="NTTA"/>
        <s v="Texas Lone Star Plumbing LLC"/>
        <s v="Spectrum Business #8260 13 009 1585300"/>
        <s v="Net RMA Processing"/>
        <s v="Les Gestions NAS Inc."/>
        <s v="Central Florida Expressway Auth"/>
        <s v="Baxter Estates Court"/>
        <s v="Moving Waldo, Inc."/>
        <s v="Crystal Springs"/>
        <s v="Advanced Lock and Alarm"/>
        <s v="CertaSite, LLC"/>
        <s v="Advanced Fluid Power, Inc."/>
        <s v="Language Testing International Inc."/>
        <s v="Jeffrey Knight"/>
        <s v="CCA Global Partners Inc."/>
        <s v="Commonwealth Gaming &amp; Ho"/>
        <s v="Andrew Schuetz"/>
        <s v="Air Liquide"/>
        <s v="The Salvation Army Western Terr. Hq"/>
        <s v="SaveAround"/>
        <s v="SHARP- Pinellas Cty Sherriffs Off"/>
        <s v="Pony Up Moving"/>
        <s v="Suburban Propane-1645"/>
        <s v="Advanced Refreshments of Michigan"/>
        <s v="SNT Solutions"/>
        <s v="Maine Oxy Acetylene Supply Co."/>
        <s v="Overhead Door Co of Shreveport"/>
        <s v="Southeast Industrial Equipment, Inc."/>
        <s v="NYC Dept Of Finance-3600"/>
        <s v="Terminix Commercial"/>
        <s v="Missouri Dept of Agiculture, Weights, Measures and Comsumer"/>
        <s v="Spectora, Inc."/>
        <s v="Occup Health Ctrs of Kansas, P.A."/>
        <s v="Appalachian Power-#023-479-215-1-8"/>
        <s v="Paylode, Inc."/>
        <s v="The Bug Man, Inc."/>
        <s v="Buckeye Plumbing Inc."/>
        <s v="Lori Folco dba Rhode Island Cross Connection Control"/>
        <s v="One Point Solutions"/>
        <s v="Fire Safety First, LLC"/>
        <s v="Chantez Dickerson"/>
        <s v="Thomas Asselin"/>
        <s v="Kelly Dukes"/>
        <m/>
        <s v="4J Mgt   dba Wholesale Signs Plus" u="1"/>
        <s v="CA Assets,   dba Pro Overhead Door" u="1"/>
        <s v="CCDS   dba Industrial Door Co" u="1"/>
        <s v="Carden Jennings  Publishing Co.,LTD." u="1"/>
        <s v="Cass Information Systems, Inc." u="1"/>
        <s v="KKJ,   dba Jan Pro Fran Dev of NEPA" u="1"/>
        <s v="Lonestar Forklift 2017  USA, Inc" u="1"/>
        <s v="Prologis, L.P." u="1"/>
        <s v="Rello Search Partners,  LLC" u="1"/>
        <s v="Sea Box, Inc." u="1"/>
        <s v="Mark's Commercial" u="1"/>
        <s v="Ontario Teacher's Pension Plan" u="1"/>
        <s v="Callaghan's Best-One Tire &amp; Serv" u="1"/>
        <s v="O'Reilly Auto Parts" u="1"/>
        <s v="Ted's Towing Service" u="1"/>
        <s v="Gusta's Outdoor Power Equipment" u="1"/>
        <s v="Mel's Auto Glass" u="1"/>
        <s v="SHARP- Pinellas Cty Sherriff's Off" u="1"/>
        <s v="Barclay's Bank" u="1"/>
        <s v="Russo's Cape Cod Bark &amp; Landsc" u="1"/>
        <s v="Pete's Road Service Inc." u="1"/>
        <s v="Scott Bottom's Service" u="1"/>
        <s v="Pomp's Tire Service Inc." u="1"/>
        <s v="Hum's Hardware &amp; Rental" u="1"/>
        <s v="Stepp's Heavy Transport" u="1"/>
        <s v="Gypsy's Palace FLP" u="1"/>
        <s v="Bud's Wrecker Service Inc." u="1"/>
        <s v="Chulski's Salt Service, LLC" u="1"/>
        <s v="O'Bannon Living Trust" u="1"/>
        <s v="Tim's Towing &amp; Recovery" u="1"/>
        <s v="Kauff's of Ft. Pierce, Inc" u="1"/>
        <s v="Gardner's Cleaning" u="1"/>
        <s v="Limon's Road Service" u="1"/>
        <s v="Steve's Repair Service LLC" u="1"/>
        <s v="Sapp's Wrecker Service" u="1"/>
        <s v="Generations' Enterprises, Inc." u="1"/>
        <s v="O'Brien Doors" u="1"/>
        <s v="JT Lawn N' Mulch, LLC" u="1"/>
        <s v="Wyatt's Tire Co." u="1"/>
        <s v="Jose Garcia dba Eden's Lawn Service" u="1"/>
        <s v="Petty's Welding Company, LLC DO NOT USE" u="1"/>
        <s v="Sampson's Automotive LLC" u="1"/>
        <s v="Let's Plan a Party, LLC" u="1"/>
        <s v="Jack's Overhead Door Inc" u="1"/>
        <s v="Black's Tire Service Inc" u="1"/>
        <s v="Banker's Trust" u="1"/>
        <s v="Van's Towing &amp; Transport" u="1"/>
        <s v="Baker McKenzie - DO NOT USE" u="1"/>
        <s v="Lucky's Energy Service, Inc." u="1"/>
        <s v="O'Keefe's Landscaping LLC" u="1"/>
        <s v="Shamrock's Discount Janitorial Supp" u="1"/>
        <s v="'Ohana Housing &amp; Development, Inc." u="1"/>
        <s v="Gray's Towing" u="1"/>
        <s v="Dania's Cleaning Services" u="1"/>
        <s v="Charlie's Plumbing Inc." u="1"/>
        <s v="Dale's Welding Service" u="1"/>
        <s v="Sabass Amaya dba Cy'Services" u="1"/>
        <s v="Freshwater &amp; Son's Electric, LLC" u="1"/>
        <s v="JB'S GARAGE DOOR SERVICES LLC" u="1"/>
        <s v="Uncle Nick's" u="1"/>
        <s v="Timothy O'Sheehan" u="1"/>
        <s v="Bob &amp; Bill's Service Station, LLC" u="1"/>
        <s v="Wright's Media , LLC" u="1"/>
        <s v="CC's High Q Electric LLC" u="1"/>
        <s v="Nick's Lawncare LLC" u="1"/>
        <s v="Moore, O'Brien &amp; Foti" u="1"/>
        <s v="Hall's Electrical LLC" u="1"/>
        <s v="McKinney's Towing &amp; Road Service LLC" u="1"/>
      </sharedItems>
    </cacheField>
    <cacheField name="VENDOR GROUP" numFmtId="0">
      <sharedItems containsBlank="1"/>
    </cacheField>
    <cacheField name="Address" numFmtId="0">
      <sharedItems containsBlank="1"/>
    </cacheField>
    <cacheField name="CURRENCY" numFmtId="0">
      <sharedItems containsBlank="1"/>
    </cacheField>
    <cacheField name="SUM_AMOUNT" numFmtId="44">
      <sharedItems containsString="0" containsBlank="1" containsNumber="1" minValue="100" maxValue="172439519.21000001" count="2084">
        <n v="172439519.21000001"/>
        <n v="63836894.890000001"/>
        <n v="30035305.920000002"/>
        <n v="27778217.27"/>
        <n v="23877181.120000001"/>
        <n v="22269849.039999999"/>
        <n v="20887754.390000001"/>
        <n v="19620029.879999999"/>
        <n v="19166697.260000002"/>
        <n v="15925507.84"/>
        <n v="15576392.15"/>
        <n v="15479314.689999999"/>
        <n v="14258254.119999999"/>
        <n v="9986344.5500000007"/>
        <n v="9468800.4299999997"/>
        <n v="9425627.8100000005"/>
        <n v="9291128.1500000004"/>
        <n v="8008657.2800000003"/>
        <n v="7740476.9400000004"/>
        <n v="7065487.8700000001"/>
        <n v="7030985.7199999997"/>
        <n v="6489064"/>
        <n v="6456600.3399999999"/>
        <n v="5888808.8300000001"/>
        <n v="5587356.9400000004"/>
        <n v="5484525.2999999998"/>
        <n v="5292946.41"/>
        <n v="5034297.67"/>
        <n v="4332434.01"/>
        <n v="4164045.68"/>
        <n v="3865366.49"/>
        <n v="3684855.03"/>
        <n v="3678784.08"/>
        <n v="3669054"/>
        <n v="3560124.49"/>
        <n v="3530311.6"/>
        <n v="3293556.4"/>
        <n v="3261841"/>
        <n v="3020989.97"/>
        <n v="2943600.49"/>
        <n v="2915710.57"/>
        <n v="2900407.44"/>
        <n v="2860899.09"/>
        <n v="2749533"/>
        <n v="2732693.09"/>
        <n v="2711818.23"/>
        <n v="2678231.5099999998"/>
        <n v="2634362.5099999998"/>
        <n v="2602682"/>
        <n v="2547243.25"/>
        <n v="2525227"/>
        <n v="2510649"/>
        <n v="2510403.59"/>
        <n v="2497615.0099999998"/>
        <n v="2473468.62"/>
        <n v="2357659"/>
        <n v="2330503.54"/>
        <n v="2309632.36"/>
        <n v="2245570.5299999998"/>
        <n v="2239867.37"/>
        <n v="2155219"/>
        <n v="2127865.66"/>
        <n v="2062249.14"/>
        <n v="2015459"/>
        <n v="1999094.87"/>
        <n v="1984805.53"/>
        <n v="1964041.5"/>
        <n v="1958952"/>
        <n v="1957090.9"/>
        <n v="1955467.34"/>
        <n v="1868456.22"/>
        <n v="1802317.48"/>
        <n v="1770981.13"/>
        <n v="1749466"/>
        <n v="1740880.31"/>
        <n v="1634591.69"/>
        <n v="1610474.66"/>
        <n v="1587574"/>
        <n v="1515426.73"/>
        <n v="1513252.88"/>
        <n v="1473582.01"/>
        <n v="1464688.39"/>
        <n v="1447245.61"/>
        <n v="1443781.6"/>
        <n v="1432760.58"/>
        <n v="1420725.17"/>
        <n v="1411964.06"/>
        <n v="1404197.73"/>
        <n v="1371035.34"/>
        <n v="1348072.5"/>
        <n v="1343918.92"/>
        <n v="1302281.4099999999"/>
        <n v="1286415.6599999999"/>
        <n v="1267723.06"/>
        <n v="1266405.78"/>
        <n v="1255419.22"/>
        <n v="1250507.5"/>
        <n v="1240916.07"/>
        <n v="1220838.3700000001"/>
        <n v="1206729.02"/>
        <n v="1203022.95"/>
        <n v="1197427.8"/>
        <n v="1176479"/>
        <n v="1169525"/>
        <n v="1152781.03"/>
        <n v="1143309"/>
        <n v="1130141.94"/>
        <n v="1123635.8600000001"/>
        <n v="1121824.58"/>
        <n v="1120512.4099999999"/>
        <n v="1119426.23"/>
        <n v="1110450"/>
        <n v="1105487.42"/>
        <n v="1105479.99"/>
        <n v="1101351.1499999999"/>
        <n v="1096016.56"/>
        <n v="1092959.49"/>
        <n v="1080799.0900000001"/>
        <n v="1058175.9099999999"/>
        <n v="1054986.76"/>
        <n v="1054323.57"/>
        <n v="1048761.45"/>
        <n v="1026633.53"/>
        <n v="1013908"/>
        <n v="980693.27"/>
        <n v="976337.24"/>
        <n v="975139"/>
        <n v="969974.16"/>
        <n v="965736.06"/>
        <n v="948186"/>
        <n v="940083.42"/>
        <n v="922489.08"/>
        <n v="919265.91"/>
        <n v="919135.89"/>
        <n v="903325.94"/>
        <n v="898733.1"/>
        <n v="893729.56"/>
        <n v="871716.32"/>
        <n v="870522.44"/>
        <n v="864379.67"/>
        <n v="862739.67"/>
        <n v="862555.84"/>
        <n v="860922.03"/>
        <n v="858347.43"/>
        <n v="852513.17"/>
        <n v="850997.96"/>
        <n v="843435.5"/>
        <n v="831240"/>
        <n v="829256.96"/>
        <n v="820340.91"/>
        <n v="818725"/>
        <n v="806588.05"/>
        <n v="805910.17"/>
        <n v="805554"/>
        <n v="802499.47"/>
        <n v="792118.34"/>
        <n v="775947.45"/>
        <n v="772170.1"/>
        <n v="767773"/>
        <n v="765019.18"/>
        <n v="756920.93"/>
        <n v="754877.15"/>
        <n v="751421.85"/>
        <n v="749398"/>
        <n v="743813.29"/>
        <n v="742260.38"/>
        <n v="741625.92"/>
        <n v="736646.23"/>
        <n v="731030.66"/>
        <n v="727990.13"/>
        <n v="727935.02"/>
        <n v="726084.77"/>
        <n v="722774.2"/>
        <n v="717324.83"/>
        <n v="709450.04"/>
        <n v="707132.84"/>
        <n v="705789.57"/>
        <n v="696386.61"/>
        <n v="690883.49"/>
        <n v="688317.92"/>
        <n v="682975.51"/>
        <n v="681424.55"/>
        <n v="678722.49"/>
        <n v="676156.76"/>
        <n v="673399.83"/>
        <n v="671370.87"/>
        <n v="670458.24"/>
        <n v="667222.65"/>
        <n v="661718.13"/>
        <n v="659917"/>
        <n v="658942.5"/>
        <n v="655047.81000000006"/>
        <n v="654547.31999999995"/>
        <n v="652276.62"/>
        <n v="646685.56999999995"/>
        <n v="643917.16"/>
        <n v="642751"/>
        <n v="639499.71"/>
        <n v="632311.02"/>
        <n v="630109.34"/>
        <n v="624487.24"/>
        <n v="621731.71"/>
        <n v="616815.79"/>
        <n v="609481"/>
        <n v="607892.04"/>
        <n v="607130.39"/>
        <n v="598721.84"/>
        <n v="598091.56000000006"/>
        <n v="597061.19999999995"/>
        <n v="596362.13"/>
        <n v="593251.54"/>
        <n v="590097.56000000006"/>
        <n v="586447.5"/>
        <n v="584177.31000000006"/>
        <n v="583246.1"/>
        <n v="581044.86"/>
        <n v="580412.65"/>
        <n v="577682.57999999996"/>
        <n v="572492.19999999995"/>
        <n v="571900.02"/>
        <n v="569801.57999999996"/>
        <n v="567767.15"/>
        <n v="567541.64"/>
        <n v="566740.88"/>
        <n v="565071.27"/>
        <n v="558300.12"/>
        <n v="557073.41"/>
        <n v="548854.16"/>
        <n v="544161.49"/>
        <n v="542881.68000000005"/>
        <n v="542137.14"/>
        <n v="537068.30000000005"/>
        <n v="535235.07999999996"/>
        <n v="532798.1"/>
        <n v="532705"/>
        <n v="532681.80000000005"/>
        <n v="531167.38"/>
        <n v="527081.49"/>
        <n v="520860.55"/>
        <n v="515841.74"/>
        <n v="515424.73"/>
        <n v="514929.35"/>
        <n v="511998.88"/>
        <n v="511423"/>
        <n v="511165.43"/>
        <n v="508946.57"/>
        <n v="507395.02"/>
        <n v="506109.41"/>
        <n v="505210.74"/>
        <n v="501247.98"/>
        <n v="499786.01"/>
        <n v="498853.18"/>
        <n v="498009.9"/>
        <n v="497994.67"/>
        <n v="493462"/>
        <n v="485218.73"/>
        <n v="484726.45"/>
        <n v="483822"/>
        <n v="482901.05"/>
        <n v="480430.78"/>
        <n v="477641.17"/>
        <n v="477443.69"/>
        <n v="476735.71"/>
        <n v="474889.5"/>
        <n v="473300.64"/>
        <n v="469726.87"/>
        <n v="469496.03"/>
        <n v="467468.41"/>
        <n v="462752"/>
        <n v="453764.07"/>
        <n v="452453.07"/>
        <n v="451888.84"/>
        <n v="451705.93"/>
        <n v="443883.71"/>
        <n v="439867"/>
        <n v="436656.2"/>
        <n v="435366.01"/>
        <n v="433151.98"/>
        <n v="433032.69"/>
        <n v="430119.03"/>
        <n v="429862.79"/>
        <n v="423833.33"/>
        <n v="421644.05"/>
        <n v="418632.96000000002"/>
        <n v="417239.07"/>
        <n v="416678.07"/>
        <n v="412527.38"/>
        <n v="410454.67"/>
        <n v="400000"/>
        <n v="398183.91"/>
        <n v="392374.81"/>
        <n v="391596.95"/>
        <n v="383388.17"/>
        <n v="382186.47"/>
        <n v="381673.19"/>
        <n v="378897.66"/>
        <n v="378880"/>
        <n v="376321.18"/>
        <n v="375698.35"/>
        <n v="375420.71"/>
        <n v="374805.45"/>
        <n v="374250"/>
        <n v="369187.58"/>
        <n v="367980.18"/>
        <n v="366048.67"/>
        <n v="365991.95"/>
        <n v="365194.23999999999"/>
        <n v="365107.16"/>
        <n v="357348.99"/>
        <n v="355819.54"/>
        <n v="355383.2"/>
        <n v="350241.08"/>
        <n v="348862.61"/>
        <n v="348797.68"/>
        <n v="348434.89"/>
        <n v="347825"/>
        <n v="340660.12"/>
        <n v="339258.98"/>
        <n v="335410.81"/>
        <n v="330900"/>
        <n v="329607.24"/>
        <n v="329572.71000000002"/>
        <n v="327252.96000000002"/>
        <n v="325902.68"/>
        <n v="324823.78999999998"/>
        <n v="322859.52000000002"/>
        <n v="319820"/>
        <n v="318070.56"/>
        <n v="316579.84000000003"/>
        <n v="314685"/>
        <n v="313604.33"/>
        <n v="313586"/>
        <n v="312576.34999999998"/>
        <n v="312009"/>
        <n v="310648.40999999997"/>
        <n v="310271.68"/>
        <n v="306284.52"/>
        <n v="305997.5"/>
        <n v="304997.5"/>
        <n v="302858.03999999998"/>
        <n v="299264.5"/>
        <n v="298239.86"/>
        <n v="298044.77"/>
        <n v="296114.34999999998"/>
        <n v="295881.03999999998"/>
        <n v="294807.03999999998"/>
        <n v="294232.78000000003"/>
        <n v="289229"/>
        <n v="288296.86"/>
        <n v="287196.02"/>
        <n v="285225.25"/>
        <n v="284125.19"/>
        <n v="283500"/>
        <n v="282735.82"/>
        <n v="281720.28000000003"/>
        <n v="278362.33"/>
        <n v="276857.21000000002"/>
        <n v="276215.46000000002"/>
        <n v="275530.36"/>
        <n v="273700"/>
        <n v="272170.07"/>
        <n v="271847.67999999999"/>
        <n v="270219.95"/>
        <n v="267891.38"/>
        <n v="267707.19"/>
        <n v="265972.5"/>
        <n v="264190.5"/>
        <n v="263867.09000000003"/>
        <n v="263043.46000000002"/>
        <n v="262250"/>
        <n v="260727.16"/>
        <n v="259992.4"/>
        <n v="256213.39"/>
        <n v="255310.06"/>
        <n v="255299.03"/>
        <n v="253049.16"/>
        <n v="251991.67"/>
        <n v="250390"/>
        <n v="248382.12"/>
        <n v="245584.13"/>
        <n v="244169.73"/>
        <n v="242645.92"/>
        <n v="242330.9"/>
        <n v="241317.99"/>
        <n v="240714.19"/>
        <n v="240000"/>
        <n v="236934.52"/>
        <n v="236700"/>
        <n v="235651.98"/>
        <n v="234484.38"/>
        <n v="234391.13"/>
        <n v="232646.64"/>
        <n v="232346.58"/>
        <n v="232071.58"/>
        <n v="231968.34"/>
        <n v="231117.95"/>
        <n v="231055"/>
        <n v="231050"/>
        <n v="231018.43"/>
        <n v="231001.87"/>
        <n v="228332.28"/>
        <n v="225206.56"/>
        <n v="225000"/>
        <n v="221841.01"/>
        <n v="221836.29"/>
        <n v="220522.54"/>
        <n v="218086.14"/>
        <n v="213579.2"/>
        <n v="212075.27"/>
        <n v="208295"/>
        <n v="208230"/>
        <n v="208228.88"/>
        <n v="207892.87"/>
        <n v="206280.11"/>
        <n v="205974.45"/>
        <n v="203439.68"/>
        <n v="202596.75"/>
        <n v="201305"/>
        <n v="198905.7"/>
        <n v="198687.72"/>
        <n v="198043.61"/>
        <n v="196062.48"/>
        <n v="195276.79999999999"/>
        <n v="195000"/>
        <n v="193114.63"/>
        <n v="193000"/>
        <n v="191250"/>
        <n v="190513.09"/>
        <n v="189884"/>
        <n v="188800"/>
        <n v="187954.76"/>
        <n v="185191"/>
        <n v="180303.12"/>
        <n v="177731.66"/>
        <n v="177055.4"/>
        <n v="175161.63"/>
        <n v="175000"/>
        <n v="173550.04"/>
        <n v="173160.78"/>
        <n v="172396.78"/>
        <n v="167917.25"/>
        <n v="166936.92000000001"/>
        <n v="166598"/>
        <n v="166125"/>
        <n v="165784.06"/>
        <n v="165300"/>
        <n v="164890.9"/>
        <n v="163823.98000000001"/>
        <n v="163500"/>
        <n v="163074.75"/>
        <n v="161835.6"/>
        <n v="159420.26999999999"/>
        <n v="157000"/>
        <n v="156503.26999999999"/>
        <n v="155373.29"/>
        <n v="155000"/>
        <n v="154190"/>
        <n v="154076.84"/>
        <n v="153636.28"/>
        <n v="153547.71"/>
        <n v="151828"/>
        <n v="151261"/>
        <n v="150520"/>
        <n v="150503.85"/>
        <n v="150000"/>
        <n v="149833.45000000001"/>
        <n v="149511.29999999999"/>
        <n v="147716.29"/>
        <n v="147684.43"/>
        <n v="147000"/>
        <n v="145978.94"/>
        <n v="145435.22"/>
        <n v="145237.28"/>
        <n v="145168.75"/>
        <n v="144975.94"/>
        <n v="144100"/>
        <n v="143229.15"/>
        <n v="142281.18"/>
        <n v="140400"/>
        <n v="140388.35"/>
        <n v="139927.92000000001"/>
        <n v="139500"/>
        <n v="138979.09"/>
        <n v="137378.18"/>
        <n v="136322"/>
        <n v="136311.26"/>
        <n v="135172.13"/>
        <n v="134933.64000000001"/>
        <n v="132544.06"/>
        <n v="130189.03"/>
        <n v="130036.77"/>
        <n v="130000"/>
        <n v="129929.54"/>
        <n v="129883.86"/>
        <n v="125891"/>
        <n v="125195.68"/>
        <n v="124740.24"/>
        <n v="124550.26"/>
        <n v="123500"/>
        <n v="123420.54"/>
        <n v="120436.3"/>
        <n v="120393"/>
        <n v="120000"/>
        <n v="119526"/>
        <n v="119125"/>
        <n v="118255.23"/>
        <n v="118015.47"/>
        <n v="118000"/>
        <n v="117590.28"/>
        <n v="117214.07"/>
        <n v="116892.04"/>
        <n v="115525.31"/>
        <n v="115131.96"/>
        <n v="110112.74"/>
        <n v="109341.62"/>
        <n v="107713.54"/>
        <n v="106789.46"/>
        <n v="106211.9"/>
        <n v="106050"/>
        <n v="103739.01"/>
        <n v="103659.96"/>
        <n v="102687.35"/>
        <n v="102349.92"/>
        <n v="102160"/>
        <n v="101562.67"/>
        <n v="101091.3"/>
        <n v="100976.59"/>
        <n v="100893"/>
        <n v="100440"/>
        <n v="99844.96"/>
        <n v="99545.919999999998"/>
        <n v="99460"/>
        <n v="98472.55"/>
        <n v="98413.759999999995"/>
        <n v="98405"/>
        <n v="98264.99"/>
        <n v="97595"/>
        <n v="97566.3"/>
        <n v="97500"/>
        <n v="97485.65"/>
        <n v="93310.5"/>
        <n v="93171.63"/>
        <n v="92974.12"/>
        <n v="92625.95"/>
        <n v="92250"/>
        <n v="90202.23"/>
        <n v="90000"/>
        <n v="88954.98"/>
        <n v="88521.23"/>
        <n v="88495"/>
        <n v="87892.28"/>
        <n v="86849.33"/>
        <n v="86842.98"/>
        <n v="86805"/>
        <n v="86342.18"/>
        <n v="85885.29"/>
        <n v="85610.57"/>
        <n v="85415.81"/>
        <n v="85266.31"/>
        <n v="85024.72"/>
        <n v="84053.5"/>
        <n v="84000"/>
        <n v="83575"/>
        <n v="83318.19"/>
        <n v="82507.16"/>
        <n v="81656"/>
        <n v="81475"/>
        <n v="80921.919999999998"/>
        <n v="80388"/>
        <n v="80211.350000000006"/>
        <n v="80000"/>
        <n v="79489.37"/>
        <n v="78989.58"/>
        <n v="78936"/>
        <n v="77952.72"/>
        <n v="76700"/>
        <n v="76651"/>
        <n v="76230"/>
        <n v="76194"/>
        <n v="76087.740000000005"/>
        <n v="75616.179999999993"/>
        <n v="74892.5"/>
        <n v="72697"/>
        <n v="70892.73"/>
        <n v="70192.5"/>
        <n v="69790.36"/>
        <n v="69721"/>
        <n v="69289.919999999998"/>
        <n v="68934.12"/>
        <n v="68789.919999999998"/>
        <n v="68540.240000000005"/>
        <n v="68266"/>
        <n v="67842.14"/>
        <n v="66928.63"/>
        <n v="66872"/>
        <n v="66573.440000000002"/>
        <n v="66417.47"/>
        <n v="66282.45"/>
        <n v="66052.83"/>
        <n v="66000"/>
        <n v="65934"/>
        <n v="65607.89"/>
        <n v="65552.47"/>
        <n v="64893.73"/>
        <n v="64841"/>
        <n v="64802.49"/>
        <n v="64800"/>
        <n v="64380.4"/>
        <n v="64357.19"/>
        <n v="63999.47"/>
        <n v="63960.32"/>
        <n v="63789.56"/>
        <n v="63000"/>
        <n v="62150"/>
        <n v="61936.69"/>
        <n v="61869.34"/>
        <n v="60550"/>
        <n v="60000"/>
        <n v="59434.44"/>
        <n v="59281.279999999999"/>
        <n v="59274.54"/>
        <n v="58668.1"/>
        <n v="57766.99"/>
        <n v="57625.84"/>
        <n v="57475"/>
        <n v="57444.81"/>
        <n v="57000"/>
        <n v="56022"/>
        <n v="55064.69"/>
        <n v="54728.12"/>
        <n v="53901.120000000003"/>
        <n v="53797.55"/>
        <n v="53549.65"/>
        <n v="53465.35"/>
        <n v="53446.1"/>
        <n v="52857.82"/>
        <n v="52846"/>
        <n v="52300"/>
        <n v="52012.7"/>
        <n v="51893.29"/>
        <n v="51851.4"/>
        <n v="51527"/>
        <n v="50707"/>
        <n v="50260"/>
        <n v="50250"/>
        <n v="50000"/>
        <n v="49999.13"/>
        <n v="49928.21"/>
        <n v="49842.07"/>
        <n v="49693.64"/>
        <n v="49365.84"/>
        <n v="49350"/>
        <n v="48896.14"/>
        <n v="48750"/>
        <n v="48234.52"/>
        <n v="48219.360000000001"/>
        <n v="48000"/>
        <n v="47511.42"/>
        <n v="47448.959999999999"/>
        <n v="47122.8"/>
        <n v="46992"/>
        <n v="46518.74"/>
        <n v="45500"/>
        <n v="45242.96"/>
        <n v="44987.25"/>
        <n v="44958.45"/>
        <n v="44750.8"/>
        <n v="44748"/>
        <n v="44591"/>
        <n v="44379"/>
        <n v="44320.49"/>
        <n v="44200"/>
        <n v="43250.75"/>
        <n v="43198"/>
        <n v="43176.75"/>
        <n v="43055.72"/>
        <n v="43000"/>
        <n v="42955"/>
        <n v="42797"/>
        <n v="42731.83"/>
        <n v="42578.7"/>
        <n v="42539.86"/>
        <n v="42222.5"/>
        <n v="42056.04"/>
        <n v="42000"/>
        <n v="41999.49"/>
        <n v="41676.410000000003"/>
        <n v="41604"/>
        <n v="41475.089999999997"/>
        <n v="41266.1"/>
        <n v="40696.769999999997"/>
        <n v="40641.06"/>
        <n v="40500"/>
        <n v="40175"/>
        <n v="39953.440000000002"/>
        <n v="39947.06"/>
        <n v="39890"/>
        <n v="39840"/>
        <n v="39703.11"/>
        <n v="39528.160000000003"/>
        <n v="39318.720000000001"/>
        <n v="39300"/>
        <n v="39269.089999999997"/>
        <n v="39064.519999999997"/>
        <n v="38913.75"/>
        <n v="38631.26"/>
        <n v="38623.43"/>
        <n v="38071.39"/>
        <n v="37680"/>
        <n v="37515.82"/>
        <n v="37512.980000000003"/>
        <n v="37414.54"/>
        <n v="37407.83"/>
        <n v="37200"/>
        <n v="37141.050000000003"/>
        <n v="36932.85"/>
        <n v="36740.300000000003"/>
        <n v="36692.9"/>
        <n v="36540"/>
        <n v="36493.42"/>
        <n v="36250"/>
        <n v="36184.74"/>
        <n v="36000"/>
        <n v="35718.32"/>
        <n v="35412.83"/>
        <n v="35068.92"/>
        <n v="35000"/>
        <n v="34606.629999999997"/>
        <n v="34579.199999999997"/>
        <n v="34578.32"/>
        <n v="34517.5"/>
        <n v="34500"/>
        <n v="34132.9"/>
        <n v="33535.58"/>
        <n v="33533.769999999997"/>
        <n v="33230.959999999999"/>
        <n v="32967.75"/>
        <n v="32748.12"/>
        <n v="32650.63"/>
        <n v="32400"/>
        <n v="32379.200000000001"/>
        <n v="32365.67"/>
        <n v="32163.59"/>
        <n v="32112.080000000002"/>
        <n v="32083.22"/>
        <n v="32004.87"/>
        <n v="31917.46"/>
        <n v="31798.799999999999"/>
        <n v="31657"/>
        <n v="31581.88"/>
        <n v="31502.99"/>
        <n v="31492.639999999999"/>
        <n v="31449.29"/>
        <n v="31447.96"/>
        <n v="31331.37"/>
        <n v="31160"/>
        <n v="31138.92"/>
        <n v="31100.51"/>
        <n v="30900"/>
        <n v="30800"/>
        <n v="30750"/>
        <n v="30646.17"/>
        <n v="30539.35"/>
        <n v="30500"/>
        <n v="30233.53"/>
        <n v="30000"/>
        <n v="29949.53"/>
        <n v="29500"/>
        <n v="29096.27"/>
        <n v="29000"/>
        <n v="28921.13"/>
        <n v="28819.11"/>
        <n v="28658.99"/>
        <n v="28634.33"/>
        <n v="28577.52"/>
        <n v="28566.15"/>
        <n v="28500"/>
        <n v="28206.9"/>
        <n v="28088.62"/>
        <n v="28060"/>
        <n v="28000"/>
        <n v="27904.19"/>
        <n v="27870.59"/>
        <n v="27816.97"/>
        <n v="27600.06"/>
        <n v="27545.84"/>
        <n v="27452.02"/>
        <n v="27336.37"/>
        <n v="27286.51"/>
        <n v="27273.94"/>
        <n v="27209.52"/>
        <n v="27010.06"/>
        <n v="26955.94"/>
        <n v="26919.41"/>
        <n v="26724.5"/>
        <n v="26395.55"/>
        <n v="26355"/>
        <n v="26179.35"/>
        <n v="26008.75"/>
        <n v="26000"/>
        <n v="25980"/>
        <n v="25603.45"/>
        <n v="25600"/>
        <n v="25510"/>
        <n v="25460"/>
        <n v="25405.42"/>
        <n v="25396.46"/>
        <n v="25354.240000000002"/>
        <n v="25352.49"/>
        <n v="25352.12"/>
        <n v="25020.880000000001"/>
        <n v="25000"/>
        <n v="24877.66"/>
        <n v="24750"/>
        <n v="24517.85"/>
        <n v="24500"/>
        <n v="24453.1"/>
        <n v="24431.23"/>
        <n v="24410.23"/>
        <n v="24400"/>
        <n v="24262.45"/>
        <n v="24161.38"/>
        <n v="24000"/>
        <n v="23630"/>
        <n v="23627.08"/>
        <n v="23295"/>
        <n v="23247.25"/>
        <n v="23206.66"/>
        <n v="22871.9"/>
        <n v="22750"/>
        <n v="22620.38"/>
        <n v="22595"/>
        <n v="22539.26"/>
        <n v="22500.98"/>
        <n v="22500"/>
        <n v="22450"/>
        <n v="22400.78"/>
        <n v="22370"/>
        <n v="22359.05"/>
        <n v="22103.06"/>
        <n v="22100"/>
        <n v="21913.64"/>
        <n v="21751"/>
        <n v="21688.36"/>
        <n v="21580"/>
        <n v="21479.14"/>
        <n v="21412.45"/>
        <n v="21404.080000000002"/>
        <n v="21379.5"/>
        <n v="21263.73"/>
        <n v="21100.32"/>
        <n v="21013.71"/>
        <n v="21000"/>
        <n v="20864.580000000002"/>
        <n v="20773.900000000001"/>
        <n v="20612.900000000001"/>
        <n v="20554.830000000002"/>
        <n v="20553.78"/>
        <n v="20527.04"/>
        <n v="20505.03"/>
        <n v="20500"/>
        <n v="20490.09"/>
        <n v="20419.349999999999"/>
        <n v="20191.52"/>
        <n v="20150"/>
        <n v="20000"/>
        <n v="19933.330000000002"/>
        <n v="19927.650000000001"/>
        <n v="19810.919999999998"/>
        <n v="19713"/>
        <n v="19607.36"/>
        <n v="19500"/>
        <n v="19477.28"/>
        <n v="19455.61"/>
        <n v="19451.89"/>
        <n v="19450"/>
        <n v="19404.45"/>
        <n v="19287.16"/>
        <n v="19230"/>
        <n v="19086.5"/>
        <n v="19025.150000000001"/>
        <n v="19023.18"/>
        <n v="18943"/>
        <n v="18926.45"/>
        <n v="18897.79"/>
        <n v="18795.34"/>
        <n v="18743.45"/>
        <n v="18604.72"/>
        <n v="18269.38"/>
        <n v="18267.07"/>
        <n v="18262.25"/>
        <n v="18250"/>
        <n v="18234.259999999998"/>
        <n v="18144.2"/>
        <n v="18123"/>
        <n v="18103.150000000001"/>
        <n v="18054.3"/>
        <n v="18000"/>
        <n v="17987.98"/>
        <n v="17975.97"/>
        <n v="17917.98"/>
        <n v="17811.849999999999"/>
        <n v="17747.77"/>
        <n v="17706.48"/>
        <n v="17600"/>
        <n v="17515.3"/>
        <n v="17444.91"/>
        <n v="17345.13"/>
        <n v="17316.38"/>
        <n v="17280"/>
        <n v="17268.599999999999"/>
        <n v="17216.13"/>
        <n v="17183.45"/>
        <n v="17131.79"/>
        <n v="17020"/>
        <n v="16802"/>
        <n v="16800"/>
        <n v="16669.53"/>
        <n v="16635.87"/>
        <n v="16506.89"/>
        <n v="16500"/>
        <n v="16495.990000000002"/>
        <n v="16464.560000000001"/>
        <n v="16460.400000000001"/>
        <n v="16443.439999999999"/>
        <n v="16408.3"/>
        <n v="16370.97"/>
        <n v="16344"/>
        <n v="16333.14"/>
        <n v="16320"/>
        <n v="16256.96"/>
        <n v="16206.09"/>
        <n v="16200"/>
        <n v="16125"/>
        <n v="16114.78"/>
        <n v="15950"/>
        <n v="15915.63"/>
        <n v="15900"/>
        <n v="15840"/>
        <n v="15767.38"/>
        <n v="15756.5"/>
        <n v="15745.05"/>
        <n v="15711.03"/>
        <n v="15682.13"/>
        <n v="15600"/>
        <n v="15585.58"/>
        <n v="15576.29"/>
        <n v="15488.21"/>
        <n v="15470.8"/>
        <n v="15400"/>
        <n v="15360"/>
        <n v="15355.98"/>
        <n v="15206.51"/>
        <n v="15144.29"/>
        <n v="15126.1"/>
        <n v="15040.41"/>
        <n v="15037.22"/>
        <n v="15000"/>
        <n v="14994"/>
        <n v="14900"/>
        <n v="14875"/>
        <n v="14850"/>
        <n v="14848.37"/>
        <n v="14820"/>
        <n v="14802.24"/>
        <n v="14722"/>
        <n v="14668.21"/>
        <n v="14477.22"/>
        <n v="14467.5"/>
        <n v="14400.37"/>
        <n v="14400"/>
        <n v="14335.71"/>
        <n v="14328.79"/>
        <n v="14267.72"/>
        <n v="14189.22"/>
        <n v="14077.93"/>
        <n v="14050"/>
        <n v="13986.46"/>
        <n v="13931.31"/>
        <n v="13857"/>
        <n v="13835"/>
        <n v="13647.84"/>
        <n v="13624.63"/>
        <n v="13621"/>
        <n v="13600"/>
        <n v="13544.88"/>
        <n v="13432.99"/>
        <n v="13421.99"/>
        <n v="13384.44"/>
        <n v="13315.59"/>
        <n v="13292.62"/>
        <n v="13253"/>
        <n v="13200"/>
        <n v="13195.06"/>
        <n v="13173.85"/>
        <n v="13128.25"/>
        <n v="13100.3"/>
        <n v="13046.23"/>
        <n v="12975.47"/>
        <n v="12913"/>
        <n v="12900"/>
        <n v="12881.11"/>
        <n v="12865"/>
        <n v="12861.58"/>
        <n v="12860"/>
        <n v="12851.84"/>
        <n v="12775.61"/>
        <n v="12766.71"/>
        <n v="12763.94"/>
        <n v="12760"/>
        <n v="12660"/>
        <n v="12654.77"/>
        <n v="12629.62"/>
        <n v="12522.32"/>
        <n v="12500"/>
        <n v="12485.51"/>
        <n v="12456.57"/>
        <n v="12436.53"/>
        <n v="12400"/>
        <n v="12379.56"/>
        <n v="12375.5"/>
        <n v="12360"/>
        <n v="12340.3"/>
        <n v="12337.5"/>
        <n v="12300"/>
        <n v="12204.9"/>
        <n v="12200"/>
        <n v="12176.62"/>
        <n v="12176.12"/>
        <n v="12142.56"/>
        <n v="12117.58"/>
        <n v="12064.26"/>
        <n v="12025"/>
        <n v="12000"/>
        <n v="11965.74"/>
        <n v="11932.68"/>
        <n v="11926.03"/>
        <n v="11910"/>
        <n v="11859.73"/>
        <n v="11839.2"/>
        <n v="11832.77"/>
        <n v="11734.82"/>
        <n v="11721.93"/>
        <n v="11710.42"/>
        <n v="11670"/>
        <n v="11664"/>
        <n v="11649.64"/>
        <n v="11637.96"/>
        <n v="11530.74"/>
        <n v="11513.19"/>
        <n v="11510.85"/>
        <n v="11489.04"/>
        <n v="11469.13"/>
        <n v="11440"/>
        <n v="11425"/>
        <n v="11400"/>
        <n v="11348.52"/>
        <n v="11325"/>
        <n v="11306.19"/>
        <n v="11300"/>
        <n v="11285.43"/>
        <n v="11277.3"/>
        <n v="11262.63"/>
        <n v="11257.39"/>
        <n v="11250"/>
        <n v="11184.49"/>
        <n v="11171.46"/>
        <n v="11101.69"/>
        <n v="11094"/>
        <n v="11079.6"/>
        <n v="11040"/>
        <n v="10972.44"/>
        <n v="10968.3"/>
        <n v="10967.21"/>
        <n v="10948"/>
        <n v="10875"/>
        <n v="10841.63"/>
        <n v="10819.96"/>
        <n v="10819.25"/>
        <n v="10795.82"/>
        <n v="10767.85"/>
        <n v="10649.5"/>
        <n v="10625"/>
        <n v="10620"/>
        <n v="10605.49"/>
        <n v="10594"/>
        <n v="10593.85"/>
        <n v="10590"/>
        <n v="10568"/>
        <n v="10552.15"/>
        <n v="10550"/>
        <n v="10500"/>
        <n v="10458.89"/>
        <n v="10400"/>
        <n v="10373.56"/>
        <n v="10365.17"/>
        <n v="10305"/>
        <n v="10269.66"/>
        <n v="10245"/>
        <n v="10205"/>
        <n v="10180"/>
        <n v="10154.299999999999"/>
        <n v="10130.59"/>
        <n v="10107.790000000001"/>
        <n v="10088.700000000001"/>
        <n v="10050"/>
        <n v="10029"/>
        <n v="10022.76"/>
        <n v="10000"/>
        <n v="9996"/>
        <n v="9979.41"/>
        <n v="9965"/>
        <n v="9929"/>
        <n v="9898"/>
        <n v="9878.57"/>
        <n v="9870.9699999999993"/>
        <n v="9840"/>
        <n v="9831.0400000000009"/>
        <n v="9827.99"/>
        <n v="9794.74"/>
        <n v="9783.44"/>
        <n v="9737.81"/>
        <n v="9723.6"/>
        <n v="9714.2800000000007"/>
        <n v="9705.3700000000008"/>
        <n v="9700"/>
        <n v="9670.76"/>
        <n v="9600"/>
        <n v="9578.2000000000007"/>
        <n v="9575"/>
        <n v="9571.93"/>
        <n v="9552.31"/>
        <n v="9540"/>
        <n v="9500"/>
        <n v="9470"/>
        <n v="9468.2000000000007"/>
        <n v="9444.99"/>
        <n v="9409.42"/>
        <n v="9304.51"/>
        <n v="9260.56"/>
        <n v="9248.56"/>
        <n v="9225"/>
        <n v="9211.98"/>
        <n v="9178.3700000000008"/>
        <n v="9154.8700000000008"/>
        <n v="9132.2800000000007"/>
        <n v="9100"/>
        <n v="9028.7999999999993"/>
        <n v="9000"/>
        <n v="8985"/>
        <n v="8944.08"/>
        <n v="8940"/>
        <n v="8880.8700000000008"/>
        <n v="8850"/>
        <n v="8819.26"/>
        <n v="8800.15"/>
        <n v="8792.7000000000007"/>
        <n v="8723.3700000000008"/>
        <n v="8710.3700000000008"/>
        <n v="8700"/>
        <n v="8693.5499999999993"/>
        <n v="8645.16"/>
        <n v="8640"/>
        <n v="8627"/>
        <n v="8611"/>
        <n v="8599"/>
        <n v="8583.2999999999993"/>
        <n v="8571.26"/>
        <n v="8534.9599999999991"/>
        <n v="8500"/>
        <n v="8464.5499999999993"/>
        <n v="8453.15"/>
        <n v="8400"/>
        <n v="8360.86"/>
        <n v="8357.52"/>
        <n v="8356.91"/>
        <n v="8350"/>
        <n v="8345.85"/>
        <n v="8296.02"/>
        <n v="8250"/>
        <n v="8235.01"/>
        <n v="8207.58"/>
        <n v="8195.5400000000009"/>
        <n v="8168.8"/>
        <n v="8088.41"/>
        <n v="8078.5"/>
        <n v="8050"/>
        <n v="8043"/>
        <n v="8034"/>
        <n v="8031.65"/>
        <n v="8001"/>
        <n v="8000"/>
        <n v="7954.43"/>
        <n v="7937.91"/>
        <n v="7921.09"/>
        <n v="7891.31"/>
        <n v="7888.34"/>
        <n v="7886.86"/>
        <n v="7822.58"/>
        <n v="7784.07"/>
        <n v="7737.65"/>
        <n v="7642.44"/>
        <n v="7609.5"/>
        <n v="7590"/>
        <n v="7560"/>
        <n v="7546.98"/>
        <n v="7527.67"/>
        <n v="7525"/>
        <n v="7500"/>
        <n v="7481.46"/>
        <n v="7471.48"/>
        <n v="7469.39"/>
        <n v="7439.9"/>
        <n v="7420.43"/>
        <n v="7400"/>
        <n v="7297.73"/>
        <n v="7290"/>
        <n v="7287.05"/>
        <n v="7271.82"/>
        <n v="7200"/>
        <n v="7193.61"/>
        <n v="7167"/>
        <n v="7150"/>
        <n v="7143.57"/>
        <n v="7133.68"/>
        <n v="7100"/>
        <n v="7066.7"/>
        <n v="7048.96"/>
        <n v="7047.15"/>
        <n v="7038.04"/>
        <n v="7025"/>
        <n v="6992"/>
        <n v="6978"/>
        <n v="6972.33"/>
        <n v="6931.25"/>
        <n v="6916.1"/>
        <n v="6900"/>
        <n v="6894.62"/>
        <n v="6850"/>
        <n v="6838.36"/>
        <n v="6813.45"/>
        <n v="6810.78"/>
        <n v="6801.04"/>
        <n v="6800"/>
        <n v="6792.12"/>
        <n v="6788.22"/>
        <n v="6772.64"/>
        <n v="6750"/>
        <n v="6737.25"/>
        <n v="6732"/>
        <n v="6670"/>
        <n v="6600"/>
        <n v="6598.7"/>
        <n v="6540.67"/>
        <n v="6510.27"/>
        <n v="6508"/>
        <n v="6500"/>
        <n v="6478.75"/>
        <n v="6472.5"/>
        <n v="6434.24"/>
        <n v="6407.09"/>
        <n v="6401.07"/>
        <n v="6397.56"/>
        <n v="6380"/>
        <n v="6374.79"/>
        <n v="6367.76"/>
        <n v="6364.97"/>
        <n v="6340"/>
        <n v="6314"/>
        <n v="6288.15"/>
        <n v="6206"/>
        <n v="6200"/>
        <n v="6143.76"/>
        <n v="6139"/>
        <n v="6096.64"/>
        <n v="6080.32"/>
        <n v="6075"/>
        <n v="6071.14"/>
        <n v="6067"/>
        <n v="6063.2"/>
        <n v="6044.37"/>
        <n v="6025.93"/>
        <n v="6024.1"/>
        <n v="6021.29"/>
        <n v="6016.64"/>
        <n v="6000"/>
        <n v="5980.54"/>
        <n v="5976.01"/>
        <n v="5975.52"/>
        <n v="5974.54"/>
        <n v="5958.09"/>
        <n v="5950"/>
        <n v="5946.89"/>
        <n v="5941.94"/>
        <n v="5916.74"/>
        <n v="5896.96"/>
        <n v="5895"/>
        <n v="5893.59"/>
        <n v="5879"/>
        <n v="5836.53"/>
        <n v="5831"/>
        <n v="5830.01"/>
        <n v="5830"/>
        <n v="5819.12"/>
        <n v="5816.31"/>
        <n v="5800"/>
        <n v="5772.27"/>
        <n v="5759.54"/>
        <n v="5724.92"/>
        <n v="5678.49"/>
        <n v="5675"/>
        <n v="5655"/>
        <n v="5648"/>
        <n v="5600"/>
        <n v="5591.55"/>
        <n v="5586.68"/>
        <n v="5581"/>
        <n v="5570"/>
        <n v="5561.03"/>
        <n v="5547.5"/>
        <n v="5507.44"/>
        <n v="5450"/>
        <n v="5446.39"/>
        <n v="5433.95"/>
        <n v="5419.04"/>
        <n v="5415.88"/>
        <n v="5412.96"/>
        <n v="5400.41"/>
        <n v="5400"/>
        <n v="5376.76"/>
        <n v="5363.89"/>
        <n v="5356.7"/>
        <n v="5331.25"/>
        <n v="5246.14"/>
        <n v="5219.78"/>
        <n v="5200"/>
        <n v="5185.1899999999996"/>
        <n v="5152.91"/>
        <n v="5150"/>
        <n v="5148"/>
        <n v="5143.1099999999997"/>
        <n v="5135.16"/>
        <n v="5049.33"/>
        <n v="5030.0600000000004"/>
        <n v="5024.84"/>
        <n v="5020"/>
        <n v="5000"/>
        <n v="4995"/>
        <n v="4991.4799999999996"/>
        <n v="4987.8599999999997"/>
        <n v="4981.8999999999996"/>
        <n v="4970"/>
        <n v="4968.71"/>
        <n v="4954.57"/>
        <n v="4940.2299999999996"/>
        <n v="4925"/>
        <n v="4924.28"/>
        <n v="4910"/>
        <n v="4900"/>
        <n v="4880.71"/>
        <n v="4878"/>
        <n v="4837.9799999999996"/>
        <n v="4807"/>
        <n v="4800"/>
        <n v="4796"/>
        <n v="4786.3"/>
        <n v="4771"/>
        <n v="4769.88"/>
        <n v="4759.92"/>
        <n v="4743.12"/>
        <n v="4728.3599999999997"/>
        <n v="4726.8999999999996"/>
        <n v="4725.33"/>
        <n v="4717.1000000000004"/>
        <n v="4707"/>
        <n v="4693.6400000000003"/>
        <n v="4665"/>
        <n v="4660"/>
        <n v="4659.5200000000004"/>
        <n v="4631.25"/>
        <n v="4621.04"/>
        <n v="4612.87"/>
        <n v="4597.59"/>
        <n v="4568.84"/>
        <n v="4538"/>
        <n v="4536"/>
        <n v="4533.75"/>
        <n v="4532.96"/>
        <n v="4528.79"/>
        <n v="4512.1400000000003"/>
        <n v="4502.99"/>
        <n v="4500"/>
        <n v="4489.71"/>
        <n v="4488.4399999999996"/>
        <n v="4483.41"/>
        <n v="4465.92"/>
        <n v="4448.99"/>
        <n v="4438.92"/>
        <n v="4436.74"/>
        <n v="4365.95"/>
        <n v="4353.75"/>
        <n v="4330"/>
        <n v="4307"/>
        <n v="4250"/>
        <n v="4246.1499999999996"/>
        <n v="4240.96"/>
        <n v="4231.3999999999996"/>
        <n v="4230"/>
        <n v="4220.24"/>
        <n v="4200"/>
        <n v="4199.46"/>
        <n v="4174.1099999999997"/>
        <n v="4156.78"/>
        <n v="4150"/>
        <n v="4130.45"/>
        <n v="4125"/>
        <n v="4119.13"/>
        <n v="4117.4799999999996"/>
        <n v="4093.44"/>
        <n v="4086.61"/>
        <n v="4068.75"/>
        <n v="4060.23"/>
        <n v="4037.97"/>
        <n v="4025.09"/>
        <n v="4021.88"/>
        <n v="4019.17"/>
        <n v="4019"/>
        <n v="4013.46"/>
        <n v="4005.25"/>
        <n v="4000"/>
        <n v="3991.98"/>
        <n v="3975.12"/>
        <n v="3965"/>
        <n v="3960"/>
        <n v="3936.91"/>
        <n v="3926"/>
        <n v="3925"/>
        <n v="3918.83"/>
        <n v="3911.17"/>
        <n v="3901.68"/>
        <n v="3900"/>
        <n v="3861.18"/>
        <n v="3858.61"/>
        <n v="3857.22"/>
        <n v="3843.58"/>
        <n v="3825"/>
        <n v="3824.07"/>
        <n v="3788.23"/>
        <n v="3784.78"/>
        <n v="3775"/>
        <n v="3769.98"/>
        <n v="3752.51"/>
        <n v="3750"/>
        <n v="3741"/>
        <n v="3725"/>
        <n v="3721.4"/>
        <n v="3720"/>
        <n v="3714.76"/>
        <n v="3710"/>
        <n v="3705"/>
        <n v="3692.52"/>
        <n v="3673.75"/>
        <n v="3648"/>
        <n v="3641.03"/>
        <n v="3618"/>
        <n v="3617.7"/>
        <n v="3613.39"/>
        <n v="3600"/>
        <n v="3590"/>
        <n v="3588"/>
        <n v="3539.03"/>
        <n v="3520.06"/>
        <n v="3500"/>
        <n v="3487.82"/>
        <n v="3486.69"/>
        <n v="3484.57"/>
        <n v="3468.65"/>
        <n v="3457.22"/>
        <n v="3450"/>
        <n v="3448.55"/>
        <n v="3429.6"/>
        <n v="3424.54"/>
        <n v="3400"/>
        <n v="3383"/>
        <n v="3378"/>
        <n v="3377"/>
        <n v="3365.71"/>
        <n v="3362"/>
        <n v="3354"/>
        <n v="3347.63"/>
        <n v="3340.26"/>
        <n v="3330.25"/>
        <n v="3325"/>
        <n v="3315"/>
        <n v="3312.5"/>
        <n v="3310.35"/>
        <n v="3308.46"/>
        <n v="3302.19"/>
        <n v="3300"/>
        <n v="3282.79"/>
        <n v="3270"/>
        <n v="3269.03"/>
        <n v="3243"/>
        <n v="3224.04"/>
        <n v="3215.5"/>
        <n v="3210"/>
        <n v="3200"/>
        <n v="3191.37"/>
        <n v="3168"/>
        <n v="3159.31"/>
        <n v="3156.85"/>
        <n v="3139.5"/>
        <n v="3115"/>
        <n v="3110"/>
        <n v="3100"/>
        <n v="3081.54"/>
        <n v="3075"/>
        <n v="3072.45"/>
        <n v="3069.25"/>
        <n v="3065.75"/>
        <n v="3055"/>
        <n v="3050.06"/>
        <n v="3049.8"/>
        <n v="3039.82"/>
        <n v="3036"/>
        <n v="3025"/>
        <n v="3020"/>
        <n v="3004.53"/>
        <n v="3002.25"/>
        <n v="3000"/>
        <n v="2983.6"/>
        <n v="2975"/>
        <n v="2956.25"/>
        <n v="2940"/>
        <n v="2933.33"/>
        <n v="2928.23"/>
        <n v="2923.1"/>
        <n v="2909"/>
        <n v="2895.4"/>
        <n v="2881.51"/>
        <n v="2881.5"/>
        <n v="2870"/>
        <n v="2850"/>
        <n v="2835"/>
        <n v="2833.86"/>
        <n v="2822.25"/>
        <n v="2814.9"/>
        <n v="2800"/>
        <n v="2792.25"/>
        <n v="2773.35"/>
        <n v="2771.94"/>
        <n v="2761.62"/>
        <n v="2760"/>
        <n v="2756.15"/>
        <n v="2755"/>
        <n v="2750"/>
        <n v="2744.46"/>
        <n v="2734.98"/>
        <n v="2730.02"/>
        <n v="2725"/>
        <n v="2724.28"/>
        <n v="2718.63"/>
        <n v="2716.62"/>
        <n v="2712.5"/>
        <n v="2704.77"/>
        <n v="2703"/>
        <n v="2700"/>
        <n v="2696.38"/>
        <n v="2694.25"/>
        <n v="2678"/>
        <n v="2675"/>
        <n v="2654.82"/>
        <n v="2650"/>
        <n v="2630"/>
        <n v="2625"/>
        <n v="2617"/>
        <n v="2575"/>
        <n v="2564.04"/>
        <n v="2550"/>
        <n v="2533.73"/>
        <n v="2529.88"/>
        <n v="2527.75"/>
        <n v="2511.96"/>
        <n v="2500"/>
        <n v="2481.69"/>
        <n v="2475.7800000000002"/>
        <n v="2462.48"/>
        <n v="2455"/>
        <n v="2452.1"/>
        <n v="2441.9"/>
        <n v="2425.87"/>
        <n v="2425"/>
        <n v="2423.4"/>
        <n v="2412.8200000000002"/>
        <n v="2401"/>
        <n v="2400"/>
        <n v="2395"/>
        <n v="2387.5"/>
        <n v="2383"/>
        <n v="2380"/>
        <n v="2355"/>
        <n v="2352.08"/>
        <n v="2350"/>
        <n v="2339.6999999999998"/>
        <n v="2338.1999999999998"/>
        <n v="2331.31"/>
        <n v="2327.7800000000002"/>
        <n v="2326.86"/>
        <n v="2314.46"/>
        <n v="2310"/>
        <n v="2309.2800000000002"/>
        <n v="2308.2199999999998"/>
        <n v="2306.87"/>
        <n v="2295"/>
        <n v="2267.61"/>
        <n v="2264.29"/>
        <n v="2254"/>
        <n v="2250"/>
        <n v="2243"/>
        <n v="2222.5"/>
        <n v="2219"/>
        <n v="2216.85"/>
        <n v="2177.7399999999998"/>
        <n v="2176"/>
        <n v="2175"/>
        <n v="2167.92"/>
        <n v="2156.89"/>
        <n v="2151"/>
        <n v="2124.4"/>
        <n v="2100"/>
        <n v="2083.0300000000002"/>
        <n v="2075.5"/>
        <n v="2064.1799999999998"/>
        <n v="2050"/>
        <n v="2044"/>
        <n v="2041"/>
        <n v="2040"/>
        <n v="2036.68"/>
        <n v="2034.5"/>
        <n v="2023.6"/>
        <n v="2005"/>
        <n v="2000.1"/>
        <n v="2000"/>
        <n v="1975.03"/>
        <n v="1975"/>
        <n v="1959.94"/>
        <n v="1939.69"/>
        <n v="1939.37"/>
        <n v="1938"/>
        <n v="1936"/>
        <n v="1933"/>
        <n v="1920.25"/>
        <n v="1913"/>
        <n v="1908.42"/>
        <n v="1902.49"/>
        <n v="1883.6"/>
        <n v="1881.36"/>
        <n v="1870"/>
        <n v="1868.49"/>
        <n v="1848.29"/>
        <n v="1845"/>
        <n v="1843.69"/>
        <n v="1839.96"/>
        <n v="1837.5"/>
        <n v="1830"/>
        <n v="1827.04"/>
        <n v="1825"/>
        <n v="1824.93"/>
        <n v="1820.82"/>
        <n v="1818.05"/>
        <n v="1810.86"/>
        <n v="1810"/>
        <n v="1787.17"/>
        <n v="1777"/>
        <n v="1775"/>
        <n v="1753"/>
        <n v="1752.1"/>
        <n v="1750"/>
        <n v="1746.42"/>
        <n v="1734.55"/>
        <n v="1726.6"/>
        <n v="1714"/>
        <n v="1713.35"/>
        <n v="1703.12"/>
        <n v="1702.3"/>
        <n v="1698.38"/>
        <n v="1694.22"/>
        <n v="1676"/>
        <n v="1660.52"/>
        <n v="1658.88"/>
        <n v="1658.4"/>
        <n v="1657.5"/>
        <n v="1634.62"/>
        <n v="1628.28"/>
        <n v="1626.66"/>
        <n v="1626.5"/>
        <n v="1623.9"/>
        <n v="1623.36"/>
        <n v="1617"/>
        <n v="1616.37"/>
        <n v="1600"/>
        <n v="1599.38"/>
        <n v="1593.86"/>
        <n v="1590.37"/>
        <n v="1585.05"/>
        <n v="1579.38"/>
        <n v="1556.95"/>
        <n v="1548"/>
        <n v="1544.74"/>
        <n v="1543.58"/>
        <n v="1541.38"/>
        <n v="1536.8"/>
        <n v="1536.16"/>
        <n v="1525.86"/>
        <n v="1522.5"/>
        <n v="1522.11"/>
        <n v="1520.93"/>
        <n v="1520.34"/>
        <n v="1513.25"/>
        <n v="1500"/>
        <n v="1495.61"/>
        <n v="1483.37"/>
        <n v="1479.6"/>
        <n v="1470.75"/>
        <n v="1470.54"/>
        <n v="1458"/>
        <n v="1450"/>
        <n v="1442.59"/>
        <n v="1440"/>
        <n v="1439.57"/>
        <n v="1438.99"/>
        <n v="1419.95"/>
        <n v="1405.61"/>
        <n v="1400"/>
        <n v="1396.42"/>
        <n v="1389.31"/>
        <n v="1380"/>
        <n v="1369.92"/>
        <n v="1367.2"/>
        <n v="1361.59"/>
        <n v="1360.85"/>
        <n v="1356.8"/>
        <n v="1344.13"/>
        <n v="1330.51"/>
        <n v="1327.91"/>
        <n v="1326.8"/>
        <n v="1325.33"/>
        <n v="1322.53"/>
        <n v="1320"/>
        <n v="1304.08"/>
        <n v="1300"/>
        <n v="1282.1600000000001"/>
        <n v="1280"/>
        <n v="1278.4100000000001"/>
        <n v="1272.08"/>
        <n v="1268.75"/>
        <n v="1263.18"/>
        <n v="1254.52"/>
        <n v="1252.8499999999999"/>
        <n v="1250.17"/>
        <n v="1250"/>
        <n v="1243.45"/>
        <n v="1231.73"/>
        <n v="1229.2"/>
        <n v="1200.96"/>
        <n v="1200"/>
        <n v="1196.1199999999999"/>
        <n v="1192.5"/>
        <n v="1185"/>
        <n v="1182.3499999999999"/>
        <n v="1172.27"/>
        <n v="1170"/>
        <n v="1169.76"/>
        <n v="1168.6300000000001"/>
        <n v="1166.32"/>
        <n v="1158.21"/>
        <n v="1156.75"/>
        <n v="1152.75"/>
        <n v="1150"/>
        <n v="1147.83"/>
        <n v="1140"/>
        <n v="1127.5"/>
        <n v="1125"/>
        <n v="1120"/>
        <n v="1116"/>
        <n v="1115"/>
        <n v="1103.5"/>
        <n v="1093.6600000000001"/>
        <n v="1091.07"/>
        <n v="1079"/>
        <n v="1078.98"/>
        <n v="1052.8"/>
        <n v="1050"/>
        <n v="1042.81"/>
        <n v="1039.98"/>
        <n v="1038.97"/>
        <n v="1029.51"/>
        <n v="1021.16"/>
        <n v="1019.21"/>
        <n v="1018"/>
        <n v="1008.64"/>
        <n v="1000.51"/>
        <n v="1000"/>
        <n v="990"/>
        <n v="988.64"/>
        <n v="987.97"/>
        <n v="978.47"/>
        <n v="976.09"/>
        <n v="976.03"/>
        <n v="975"/>
        <n v="974.25"/>
        <n v="974"/>
        <n v="971.5"/>
        <n v="965.95"/>
        <n v="955.5"/>
        <n v="948.74"/>
        <n v="945.4"/>
        <n v="937.5"/>
        <n v="931.74"/>
        <n v="917.16"/>
        <n v="915.15"/>
        <n v="915"/>
        <n v="910.92"/>
        <n v="909.3"/>
        <n v="907.25"/>
        <n v="905.13"/>
        <n v="904.18"/>
        <n v="903.02"/>
        <n v="897.87"/>
        <n v="896.31"/>
        <n v="882.79"/>
        <n v="866"/>
        <n v="861.27"/>
        <n v="860.59"/>
        <n v="860"/>
        <n v="856.88"/>
        <n v="850"/>
        <n v="847.28"/>
        <n v="845"/>
        <n v="843.98"/>
        <n v="834.88"/>
        <n v="832.95"/>
        <n v="830.08"/>
        <n v="830"/>
        <n v="815.28"/>
        <n v="814.99"/>
        <n v="800.44"/>
        <n v="800.05"/>
        <n v="800"/>
        <n v="795"/>
        <n v="787.53"/>
        <n v="785"/>
        <n v="776.55"/>
        <n v="774.47"/>
        <n v="773.57"/>
        <n v="768"/>
        <n v="760.78"/>
        <n v="759.7"/>
        <n v="753"/>
        <n v="750.83"/>
        <n v="750"/>
        <n v="748.91"/>
        <n v="745"/>
        <n v="741.25"/>
        <n v="735.79"/>
        <n v="730"/>
        <n v="725.28"/>
        <n v="725.12"/>
        <n v="724.78"/>
        <n v="723.8"/>
        <n v="722.4"/>
        <n v="720"/>
        <n v="719.73"/>
        <n v="719"/>
        <n v="715.59"/>
        <n v="714.51"/>
        <n v="713.11"/>
        <n v="712.8"/>
        <n v="707"/>
        <n v="700"/>
        <n v="693"/>
        <n v="689.55"/>
        <n v="689.27"/>
        <n v="686.7"/>
        <n v="679.68"/>
        <n v="677.34"/>
        <n v="676.49"/>
        <n v="675"/>
        <n v="674.9"/>
        <n v="672.93"/>
        <n v="672.87"/>
        <n v="659.2"/>
        <n v="658.47"/>
        <n v="654.84"/>
        <n v="650"/>
        <n v="648.84"/>
        <n v="648"/>
        <n v="640.74"/>
        <n v="640"/>
        <n v="639.80999999999995"/>
        <n v="639.25"/>
        <n v="637.82000000000005"/>
        <n v="634.37"/>
        <n v="633.91"/>
        <n v="633.54999999999995"/>
        <n v="628.21"/>
        <n v="625"/>
        <n v="624.58000000000004"/>
        <n v="618.89"/>
        <n v="600"/>
        <n v="597.32000000000005"/>
        <n v="593.15"/>
        <n v="584"/>
        <n v="583"/>
        <n v="578.80999999999995"/>
        <n v="575"/>
        <n v="570"/>
        <n v="565"/>
        <n v="560.85"/>
        <n v="557.09"/>
        <n v="553.21"/>
        <n v="551.4"/>
        <n v="550"/>
        <n v="540"/>
        <n v="533.13"/>
        <n v="527.28"/>
        <n v="525.83000000000004"/>
        <n v="525.42999999999995"/>
        <n v="525"/>
        <n v="522.59"/>
        <n v="520"/>
        <n v="519.92999999999995"/>
        <n v="518.76"/>
        <n v="518.21"/>
        <n v="516"/>
        <n v="513.6"/>
        <n v="513.20000000000005"/>
        <n v="510.72"/>
        <n v="508.5"/>
        <n v="503.07"/>
        <n v="500"/>
        <n v="495.91"/>
        <n v="487.73"/>
        <n v="487.12"/>
        <n v="479.85"/>
        <n v="479"/>
        <n v="476.85"/>
        <n v="472.14"/>
        <n v="469.78"/>
        <n v="469.3"/>
        <n v="466"/>
        <n v="462"/>
        <n v="457.92"/>
        <n v="456.88"/>
        <n v="456.75"/>
        <n v="455"/>
        <n v="453.8"/>
        <n v="445.8"/>
        <n v="444.62"/>
        <n v="444.2"/>
        <n v="442.75"/>
        <n v="441"/>
        <n v="438.09"/>
        <n v="438"/>
        <n v="430.14"/>
        <n v="421.82"/>
        <n v="421.79"/>
        <n v="420"/>
        <n v="419.4"/>
        <n v="415"/>
        <n v="411.7"/>
        <n v="410.33"/>
        <n v="400.51"/>
        <n v="400.24"/>
        <n v="400"/>
        <n v="399.99"/>
        <n v="396.85"/>
        <n v="391.19"/>
        <n v="388.95"/>
        <n v="388.45"/>
        <n v="385"/>
        <n v="384.1"/>
        <n v="382.32"/>
        <n v="381.41"/>
        <n v="378.88"/>
        <n v="376.73"/>
        <n v="375"/>
        <n v="371"/>
        <n v="368"/>
        <n v="365.87"/>
        <n v="357.73"/>
        <n v="356.61"/>
        <n v="354.97"/>
        <n v="352.79"/>
        <n v="350.18"/>
        <n v="348"/>
        <n v="345.57"/>
        <n v="343.07"/>
        <n v="337.2"/>
        <n v="335.52"/>
        <n v="335"/>
        <n v="334.88"/>
        <n v="334.4"/>
        <n v="327.24"/>
        <n v="326.35000000000002"/>
        <n v="325.66000000000003"/>
        <n v="324"/>
        <n v="320.64"/>
        <n v="319.88"/>
        <n v="316.08999999999997"/>
        <n v="315.27"/>
        <n v="314"/>
        <n v="309.68"/>
        <n v="303.5"/>
        <n v="300"/>
        <n v="297.72000000000003"/>
        <n v="295.87"/>
        <n v="292.89"/>
        <n v="290"/>
        <n v="287.89"/>
        <n v="275"/>
        <n v="273.45"/>
        <n v="269.38"/>
        <n v="267.62"/>
        <n v="262.5"/>
        <n v="259.68"/>
        <n v="256.5"/>
        <n v="251"/>
        <n v="250"/>
        <n v="247.5"/>
        <n v="245.25"/>
        <n v="244.5"/>
        <n v="243.99"/>
        <n v="242.44"/>
        <n v="237.8"/>
        <n v="237.07"/>
        <n v="232.18"/>
        <n v="230.92"/>
        <n v="229.18"/>
        <n v="226.47"/>
        <n v="225"/>
        <n v="218.79"/>
        <n v="211.28"/>
        <n v="210.8"/>
        <n v="209.46"/>
        <n v="206.08"/>
        <n v="205.29"/>
        <n v="201.65"/>
        <n v="200.32"/>
        <n v="200"/>
        <n v="199.11"/>
        <n v="195.62"/>
        <n v="190.95"/>
        <n v="190.9"/>
        <n v="190"/>
        <n v="189"/>
        <n v="184.61"/>
        <n v="178.87"/>
        <n v="175"/>
        <n v="174.58"/>
        <n v="169.83"/>
        <n v="167.38"/>
        <n v="165.33"/>
        <n v="160"/>
        <n v="159.47999999999999"/>
        <n v="159.33000000000001"/>
        <n v="159"/>
        <n v="158.13"/>
        <n v="157.13"/>
        <n v="153.44"/>
        <n v="150.47"/>
        <n v="150"/>
        <n v="134.38999999999999"/>
        <n v="134"/>
        <n v="132.22"/>
        <n v="131"/>
        <n v="129.5"/>
        <n v="126.79"/>
        <n v="125"/>
        <n v="110"/>
        <n v="105.67"/>
        <n v="105"/>
        <n v="100"/>
        <m/>
      </sharedItems>
    </cacheField>
    <cacheField name="Generalized Category" numFmtId="0">
      <sharedItems containsBlank="1" count="41">
        <s v="Financial &amp; Accounting Services"/>
        <s v="Marketing &amp; Advertising"/>
        <s v="Freight &amp; Transportation"/>
        <s v="Fleet, Vehicle &amp; Auto Services"/>
        <s v="General Services"/>
        <s v="Insurance &amp; Risk Management"/>
        <s v="Technology &amp; Software"/>
        <s v="Consulting &amp; Professional Services"/>
        <s v="Rent Space"/>
        <s v="Real Estate &amp; Property"/>
        <s v="Construction &amp; Contracting"/>
        <s v="Industrial Equipment &amp; Supply"/>
        <s v="Legal Services"/>
        <s v="Moving Services"/>
        <s v="Government &amp; Military"/>
        <s v="HR, Staffing &amp; Employee Services"/>
        <s v="HVAC, Plumbing &amp; Mechanical"/>
        <s v="Rent Misc"/>
        <s v="Telecommunications"/>
        <s v="Energy &amp; Utilities"/>
        <s v="Facility Services &amp; Maintenance"/>
        <s v="Property Management"/>
        <s v="Entertainment &amp; Hospitality"/>
        <m/>
        <s v="Landscaping &amp; Grounds Maintenance"/>
        <s v="Environmental Services"/>
        <s v="Security &amp; Fire Protection"/>
        <s v="General Supplies &amp; Services"/>
        <s v="Office Supplies &amp; Printing"/>
        <s v="Rent Vehicle"/>
        <s v="Door &amp; Dock Services"/>
        <s v="Healthcare Services"/>
        <s v="Electrical Services"/>
        <s v="Architecture &amp; Engineering"/>
        <s v="Rent Equipment"/>
        <s v="Education &amp; Training"/>
        <s v="Moving &amp; Relocation" u="1"/>
        <s v="Pest Control &amp; Environmental Testing" u="1"/>
        <s v="Waste Management &amp; Recycling" u="1"/>
        <s v="Utilities &amp; Energy" u="1"/>
        <s v="Nonprofits &amp; Associations" u="1"/>
      </sharedItems>
    </cacheField>
    <cacheField name="Category" numFmtId="0">
      <sharedItems containsBlank="1" count="1070">
        <s v="Investment Banking &amp; Financial Services"/>
        <s v="Full-Service Advertising Agency"/>
        <s v="Freight &amp; Transportation"/>
        <s v="Insurance &amp; Financial Services"/>
        <s v="Truck Leasing &amp; Fleet Management"/>
        <s v="Freight &amp; Trucking Services"/>
        <s v="Truckload &amp; Logistics Services"/>
        <s v="LTL &amp; Truckload Freight"/>
        <s v="Business Process Outsourcing (BPO)"/>
        <s v="Third-Party Logistics (3PL)"/>
        <s v="Fleet Payment Solutions"/>
        <s v="Retirement Plan Administration"/>
        <s v="Insurance Brokerage &amp; Risk Management"/>
        <s v="Auto Repair Services"/>
        <s v="Property &amp; Casualty Insurance"/>
        <s v="Cloud CRM &amp; Business Software Platform"/>
        <s v="Pharmacy Benefit Management (PBM)"/>
        <s v="Professional Services &amp; Consulting (Big Four)"/>
        <s v="Software Licensing &amp; Cloud Computing"/>
        <s v="Freight Brokerage &amp; Logistics"/>
        <s v="Dedicated Trucking &amp; Freight"/>
        <s v="Transportation &amp; Logistics Management"/>
        <s v="Industrial Real Estate Investment"/>
        <s v="Container &amp; Modular Storage Solutions"/>
        <s v="Freight &amp; Logistics"/>
        <s v="General Contracting &amp; Maintenance"/>
        <s v="Claims Management &amp; TPA"/>
        <s v="Insurance Premium Financing"/>
        <s v="Commercial Property Lease"/>
        <s v="Payroll &amp; HR Services"/>
        <s v="Truck Rental Services"/>
        <s v="Public Employee Retirement System"/>
        <s v="Lift Truck Financing"/>
        <s v="Industrial Real Estate Investment (REIT)"/>
        <s v="Life Insurance Services"/>
        <s v="Real Estate Investment Trust (REIT)"/>
        <s v="Financial Services"/>
        <s v="Material Handling Equipment"/>
        <s v="Cloud Contact Center (CCaaS)"/>
        <s v="Freight Brokerage"/>
        <s v="Truck Rental &amp; Leasing"/>
        <s v="IT Services &amp; Consulting"/>
        <s v="Salesforce Marketing Cloud Consulting"/>
        <s v="Corporate Card &amp; Payment Services"/>
        <s v="General Contracting"/>
        <s v="Freight Brokerage &amp; Trucking"/>
        <s v="Fleet Toll Management"/>
        <s v="Commercial Real Estate Development"/>
        <s v="Full-Service Law Firm"/>
        <s v="Fleet Leasing &amp; Management"/>
        <s v="Pricing &amp; Growth Strategy Consulting"/>
        <s v="Group Insurance &amp; Employee Benefits"/>
        <s v="Cybersecurity Consulting &amp; Solutions"/>
        <s v="Health Insurance &amp; Benefits"/>
        <s v="Business Consulting"/>
        <s v="Relocation &amp; Moving Services"/>
        <s v="Motion Control &amp; Fluid Power Solutions"/>
        <s v="Specialty Metal Manufacturing"/>
        <s v="Workforce Management / HCM Platform"/>
        <s v="Custom Software Development &amp; AI Consulting"/>
        <s v="Military Retail Services"/>
        <s v="Staffing &amp; Workforce Solutions"/>
        <s v="Software Testing &amp; QA Services"/>
        <s v="Portable Storage Services"/>
        <s v="AI-Powered Price Optimization"/>
        <s v="CPQ &amp; Commerce Configuration Platform"/>
        <s v="Commercial Real Estate Services"/>
        <s v="Business Procurement Platform"/>
        <s v="HVAC Parts &amp; Equipment Distribution"/>
        <s v="Individual Contractor/Consultant"/>
        <s v="Wireless Telecommunications"/>
        <s v="IT &amp; Technology Services"/>
        <s v="IT Consulting &amp; Staffing"/>
        <s v="Paint &amp; Coatings Retail"/>
        <s v="Fuel Supply &amp; Energy Solutions"/>
        <s v="IT Staffing &amp; Digital Transformation"/>
        <s v="Voluntary Employee Benefits"/>
        <s v="Audit, Tax &amp; Consulting (Top 10 Accounting)"/>
        <s v="Propane Delivery Services"/>
        <s v="Warehouse &amp; Storage Facility"/>
        <s v="Workforce Solutions &amp; Staffing"/>
        <s v="Digital Transformation &amp; Software Development"/>
        <s v="IT Solutions &amp; Cloud Consulting"/>
        <s v="Industrial Distribution &amp; Supply"/>
        <s v="Freight Forwarding &amp; Customs Brokerage"/>
        <s v="HVAC &amp; Building Systems"/>
        <s v="Auto Dealership"/>
        <s v="General Contracting Services"/>
        <s v="Professional Staffing &amp; Solutions"/>
        <s v="Professional Services &amp; Consulting"/>
        <s v="Commercial Truck Sales &amp; Service"/>
        <s v="Building Material Distribution"/>
        <s v="Sign &amp; Graphics Manufacturing"/>
        <s v="Digital Transformation Consulting"/>
        <s v="IoT Fleet Management &amp; Connected Operations Platform"/>
        <s v="Data Center Colocation &amp; Cloud Services"/>
        <s v="Tire Manufacturing &amp; Distribution"/>
        <s v="IT Managed Services Provider"/>
        <s v="Mobile Fleet Maintenance"/>
        <s v="Integrated Communications &amp; PR Agency"/>
        <s v="Direct Mail Marketing &amp; Advertising"/>
        <s v="Commercial Truck &amp; Parts"/>
        <s v="Data Analytics &amp; AI Consulting"/>
        <s v="Executive Search &amp; Recruitment (Spencer Stuart)"/>
        <s v="Commercial Refrigeration Services"/>
        <s v="Building Products Manufacturing"/>
        <s v="Property Management"/>
        <s v="Theme Park Entertainment"/>
        <s v="Supply Chain &amp; Warehouse Management Software"/>
        <s v="Self-Storage Facility"/>
        <s v="IT Solutions Integrator"/>
        <s v="Freight &amp; Logistics Services"/>
        <s v="Food Distribution &amp; Services"/>
        <s v="IT Solutions &amp; Technology Provider"/>
        <s v="Transportation Management Software"/>
        <s v="Landscaping Services"/>
        <s v="Waste Management Services"/>
        <s v="Cloud Data Platform &amp; Analytics"/>
        <s v="Freight &amp; Shipping Services"/>
        <s v="UX Design &amp; Research Agency"/>
        <s v="Management and Technical Assistance"/>
        <s v="IT Infrastructure &amp; Managed Services"/>
        <s v="Heavy Equipment Sales &amp; Service"/>
        <s v="Auto Repair &amp; Sales"/>
        <s v="Military Retail Services (Navy Exchange)"/>
        <s v="Export Management Services"/>
        <s v="Fleet Management Software (ELD/GPS)"/>
        <s v="Business Solutions Provider"/>
        <s v="Property Restoration Services"/>
        <s v="Transportation &amp; Logistics"/>
        <s v="Cybersecurity Services"/>
        <s v="Commercial Security Systems"/>
        <s v="Staffing &amp; Recruitment Agency"/>
        <s v="Intermodal Container Solutions"/>
        <s v="Third-Party Logistics &amp; Freight Brokerage"/>
        <s v="Digital Experience Platform (DXP/CMS)"/>
        <s v="Warehousing &amp; Distribution"/>
        <s v="Database &amp; IT Managed Services"/>
        <s v="Cloud IT Service Management (ITSM)"/>
        <s v="IT Consulting &amp; Software Solutions"/>
        <s v="Technical Staffing"/>
        <s v="Global Law Firm"/>
        <s v="Trucking &amp; Logistics Software"/>
        <s v="Pension Fund &amp; Investment Management"/>
        <s v="Industrial Contracting Services"/>
        <s v="Cloud Monitoring &amp; Observability"/>
        <s v="Management Consulting &amp; Restructuring"/>
        <s v="Wholesale Retail &amp; Membership"/>
        <s v="Financial Services &amp; Insurance"/>
        <s v="Pest Control Services"/>
        <s v="Office Supplies &amp; Business Products"/>
        <s v="IT Research &amp; Advisory"/>
        <s v="Telecommunications Services"/>
        <s v="Printing &amp; Direct Mail Services"/>
        <s v="Workplace Performance &amp; Safety"/>
        <s v="Staffing &amp; Employment Services"/>
        <s v="Media &amp; Marketing Services"/>
        <s v="Benefits Administration (HSA/FSA/COBRA)"/>
        <s v="IT Hardware &amp; Technology Solutions"/>
        <s v="Tire Chain &amp; Traction Products"/>
        <s v="IT Networking &amp; Logistics"/>
        <s v="Temporary Staffing &amp; Labor Solutions"/>
        <s v="Fuel Delivery Services"/>
        <s v="Truck &amp; Vehicle Leasing"/>
        <s v="IT Consulting &amp; Endpoint Security"/>
        <s v="Adhesive Tape &amp; Packaging Products"/>
        <s v="Office Supplies &amp; Equipment"/>
        <s v="Staffing &amp; Recruiting Services"/>
        <s v="Cloud Computing &amp; Digital Advertising"/>
        <s v="Aftermarket Auto Parts Distribution"/>
        <s v="Management Consulting"/>
        <s v="B2B Sales Intelligence Platform"/>
        <s v="LTL Freight Carrier"/>
        <s v="Financial Consulting Services"/>
        <s v="Tax &amp; Accounting Software"/>
        <s v="Staffing &amp; Recruiting Agency"/>
        <s v="Shipping &amp; Industrial Supply Distribution"/>
        <s v="Shipping &amp; Maritime Services"/>
        <s v="Uniform &amp; Facility Services"/>
        <s v="Staffing Services"/>
        <s v="Traffic Safety Products"/>
        <s v="Industrial Parts Distribution"/>
        <s v="Electronic Toll Highway Services"/>
        <s v="Legal Services &amp; Consulting"/>
        <s v="General Contracting &amp; Construction"/>
        <s v="Lift Truck Leasing &amp; Sales"/>
        <s v="Property Management Services"/>
        <s v="Automated Data Integration (ELT)"/>
        <s v="Overhead Door Services"/>
        <s v="Digital Marketing &amp; Growth Agency"/>
        <s v="Agricultural Seed Supply"/>
        <s v="Fleet Inspection &amp; Maintenance Software"/>
        <s v="Parking Services &amp; Management"/>
        <s v="Digital Marketing &amp; Analytics"/>
        <s v="Healthcare Distribution &amp; Services"/>
        <s v="Safety Footwear &amp; Workwear"/>
        <s v="Professional Networking &amp; Talent Solutions"/>
        <s v="Employee Benefits &amp; Incentive Platform"/>
        <s v="Hydraulic Components Distribution"/>
        <s v="Market Research &amp; Data Analytics"/>
        <s v="Business Consulting Services"/>
        <s v="Hydraulic Hose &amp; Fittings Services"/>
        <s v="Enterprise Marketplace Platform"/>
        <s v="Health &amp; Dental Insurance"/>
        <s v="Metal Fabrication Services"/>
        <s v="Coast Guard Support Services"/>
        <s v="Automotive Parts Distribution"/>
        <s v="Business Management Software (EOS)"/>
        <s v="Environmental &amp; Parts Cleaning Services"/>
        <s v="Mobile Fuel Delivery"/>
        <s v="AI Simulation Training Platform"/>
        <s v="Industrial Property Lease"/>
        <s v="Self-Storage Facilities"/>
        <s v="Security Guard Services"/>
        <s v="IT Staffing &amp; Recruiting"/>
        <s v="Recruitment Advertising Services"/>
        <s v="Entertainment Data Analytics"/>
        <s v="Digital Certificate Authority (PKI)"/>
        <s v="Professional Services"/>
        <s v="Credit Rating &amp; Risk Analytics"/>
        <s v="Custom Screen Printing &amp; Embroidery"/>
        <s v="IT Solutions &amp; Managed Services"/>
        <s v="Mailing, Shipping &amp; Financial Services"/>
        <s v="Industrial Cleaning Services"/>
        <s v="Insurance Software Solutions"/>
        <s v="Digital Marketing &amp; SEO Agency"/>
        <s v="Vehicle Rental &amp; Fleet Management"/>
        <s v="Marine Corps Community Services"/>
        <s v="IT Consulting &amp; Software Development"/>
        <s v="Commercial Security Services"/>
        <s v="Consulting Services"/>
        <s v="Truck Sales &amp; Service (Kenworth)"/>
        <s v="Digital Coupon &amp; Deals Platform"/>
        <s v="Project &amp; Portfolio Management Software"/>
        <s v="Marketing Science &amp; Analytics Platform"/>
        <s v="Supply Chain Design &amp; Optimization"/>
        <s v="Vehicle Wraps &amp; Graphics"/>
        <s v="Credit Ratings &amp; Financial Analytics"/>
        <s v="Driver Recruiting &amp; Onboarding Software"/>
        <s v="B2B Procurement &amp; AP Automation"/>
        <s v="Hydraulic Seal &amp; Cylinder Parts"/>
        <s v="Material Handling &amp; Construction Equipment"/>
        <s v="Global Freight Forwarding &amp; Logistics"/>
        <s v="Scale &amp; Measurement Equipment"/>
        <s v="Industrial Construction &amp; Maintenance"/>
        <s v="Law Firm - Employment &amp; Labor"/>
        <s v="Health Insurance Services"/>
        <s v="Individual Contractor"/>
        <s v="Freight &amp; Transportation Services"/>
        <s v="Commercial Truck Financing"/>
        <s v="Mechanical Contracting"/>
        <s v="Wastewater Services"/>
        <s v="Advertising &amp; Media Services"/>
        <s v="AP Automation &amp; Spend Management Software"/>
        <s v="AI-Powered Precision Manufacturing"/>
        <s v="Equipment Rental Services"/>
        <s v="Business Development Consulting"/>
        <s v="Software Delivery &amp; DevOps Platform"/>
        <s v="Electrical Contracting"/>
        <s v="Digital Experience Analytics"/>
        <s v="Law Firm"/>
        <s v="Lifting &amp; Rigging Equipment"/>
        <s v="Industrial Equipment &amp; Services"/>
        <s v="Diesel Repair Services"/>
        <s v="Background Screening &amp; Verification"/>
        <s v="Modular Buildings &amp; Storage"/>
        <s v="Enterprise SEO Platform"/>
        <s v="Digital Marketing &amp; Sales Platform"/>
        <s v="Petroleum &amp; Oil Distribution"/>
        <s v="Industrial Supply &amp; MRO Distribution"/>
        <s v="Towing &amp; Recovery Services"/>
        <s v="Automotive Services"/>
        <s v="Trucking &amp; Freight Services"/>
        <s v="Talent Assessment &amp; Development"/>
        <s v="Law Firm - Political &amp; Government"/>
        <s v="Customer &amp; Employee Experience Platform"/>
        <s v="Government Contractor Registration Services"/>
        <s v="On-Site Fuel Delivery Services"/>
        <s v="Concrete &amp; Construction Services"/>
        <s v="IT Staffing &amp; Consulting"/>
        <s v="Consumer Spending Analytics"/>
        <s v="HVAC Services"/>
        <s v="Industrial Equipment Sales"/>
        <s v="Independent Contractor/Consultant"/>
        <s v="Labor Union Services"/>
        <s v="Vehicle Auction Services"/>
        <s v="Forklift Sales &amp; Service"/>
        <s v="Online Business Directory &amp; Advertising"/>
        <s v="Lighting Design &amp; Installation"/>
        <s v="Online Review Management"/>
        <s v="Utility Bill Auditing &amp; Management"/>
        <s v="Digital Marketing Agency"/>
        <s v="Fire Protection Services"/>
        <s v="Recruitment Marketing Platform"/>
        <s v="Professional Driver Staffing Services"/>
        <s v="Telecommunications &amp; Cable Services"/>
        <s v="Trucking &amp; Transport Services"/>
        <s v="Digital Advertising Agency"/>
        <s v="Restraint &amp; Safety Equipment Sales"/>
        <s v="Propane Gas Distribution"/>
        <s v="Third-Party Enterprise Software Support"/>
        <s v="Industrial Products &amp; Supply"/>
        <s v="Independent Contractor/Trade Services"/>
        <s v="Consumer Services Platform"/>
        <s v="Lease Management Software"/>
        <s v="Heavy-Duty Truck Parts Distribution"/>
        <s v="Legal Services (Trust Accounts)"/>
        <s v="Customs Brokerage &amp; Trade Services"/>
        <s v="Community Association Management"/>
        <s v="Commercial Cleaning Services"/>
        <s v="AI-Powered Talent Experience Management Platform"/>
        <s v="Propane Gas Supply"/>
        <s v="Loading Dock &amp; Door Services"/>
        <s v="Employee Screening &amp; Compliance"/>
        <s v="Risk &amp; Business Consulting"/>
        <s v="Driver Staffing &amp; Services"/>
        <s v="Commercial Cleaning Franchise"/>
        <s v="Business Services &amp; Consulting"/>
        <s v="Property Maintenance &amp; Repair"/>
        <s v="Engineering Services"/>
        <s v="Fire Sprinkler Systems"/>
        <s v="Truck Repair &amp; Service"/>
        <s v="Corporate Relocation Management"/>
        <s v="Workers' Compensation Insurance"/>
        <s v="Lumber &amp; Building Materials"/>
        <s v="Benefits Administration (TPA)"/>
        <s v="Employee Benefits Consulting"/>
        <s v="Legal Services"/>
        <s v="Roadside Assistance &amp; Membership"/>
        <s v="Electronic Signature &amp; CLM Platform"/>
        <s v="Cleaning &amp; Maintenance Services"/>
        <s v="Landscaping &amp; Snow Removal"/>
        <s v="Employee Benefits &amp; Perks Platform"/>
        <s v="Industrial Supply &amp; Distribution"/>
        <s v="Life Insurance &amp; Annuities"/>
        <s v="Unified Customer Experience Management (CXM)"/>
        <s v="Printing &amp; Publishing Services"/>
        <s v="Facility Operations &amp; Maintenance"/>
        <s v="Industrial Coatings &amp; Painting"/>
        <s v="Tax Compliance &amp; Certification"/>
        <s v="Industrial &amp; Specialty Gases"/>
        <s v="IT Hardware Maintenance &amp; Support"/>
        <s v="Software Consulting &amp; Development"/>
        <s v="Emergency Mass Notification"/>
        <s v="Facility Management Services"/>
        <s v="Equipment Financing &amp; Leasing"/>
        <s v="Commercial Door Services"/>
        <s v="Trucking &amp; Transportation"/>
        <s v="Contract Lifecycle Management (CLM)"/>
        <s v="Cleaning Services"/>
        <s v="Mobile Technology Services"/>
        <s v="Property Restoration Services (SERVPRO)"/>
        <s v="Environmental Consulting &amp; Remediation"/>
        <s v="Digital Consulting &amp; IT Staffing"/>
        <s v="Roadside Assistance &amp; Tire Service"/>
        <s v="Automotive Repair &amp; Tire Services"/>
        <s v="E-Commerce UX Research Platform"/>
        <s v="Community College Education"/>
        <s v="Insurance Services"/>
        <s v="Sales Consulting &amp; Training"/>
        <s v="Plastic Products Manufacturing"/>
        <s v="Governance, Risk &amp; Compliance (GRC) Software"/>
        <s v="IT Monitoring &amp; Observability Software"/>
        <s v="Intermodal Freight &amp; Drayage"/>
        <s v="Identity Verification Platform"/>
        <s v="Modular &amp; Portable Structures"/>
        <s v="Fleet Maintenance &amp; Repair"/>
        <s v="Executive Search &amp; Recruiting"/>
        <s v="Commercial Tire Sales &amp; Service"/>
        <s v="Corporate Relocation Services"/>
        <s v="Property Maintenance Services"/>
        <s v="Identity Theft Protection"/>
        <s v="Auto Glass Claims Administration"/>
        <s v="Industrial Fastener Distribution"/>
        <s v="Office Furniture Sales &amp; Service"/>
        <s v="Real-Time Email Personalization"/>
        <s v="Heavy Equipment Services"/>
        <s v="Industrial Welding &amp; Fabrication"/>
        <s v="Tire Sales &amp; Service"/>
        <s v="Group Life Insurance Services"/>
        <s v="Real Estate Brokerage Services"/>
        <s v="Cloud Computing Platform"/>
        <s v="Cybersecurity Software &amp; Services"/>
        <s v="Petroleum &amp; Fuel Distribution"/>
        <s v="Online Technology Learning Platform"/>
        <s v="Commercial Landscaping Services"/>
        <s v="Email Deliverability Platform"/>
        <s v="Truck Body Manufacturing"/>
        <s v="Truck Leasing &amp; Fleet Services"/>
        <s v="Awning &amp; Canopy Services"/>
        <s v="Fleet Fuel Card Services"/>
        <s v="Print Management Services"/>
        <s v="Courier &amp; Delivery Services"/>
        <s v="Consumer Products Distribution"/>
        <s v="Commercial Real Estate Investment"/>
        <s v="Employee Discount Platform"/>
        <s v="Plumbing Services"/>
        <s v="Cloud Communications (UCaaS)"/>
        <s v="Truck Leasing &amp; Rental"/>
        <s v="Government Services"/>
        <s v="Automotive Parts &amp; Supplies"/>
        <s v="Commercial Truck Dealer"/>
        <s v="Legal Research &amp; Information Services"/>
        <s v="Industrial Controls &amp; Automation"/>
        <s v="Uniform &amp; Linen Services"/>
        <s v="Cloud Communications Platform (UCaaS/CCaaS)"/>
        <s v="Industrial Door &amp; Gate Services"/>
        <s v="Water Delivery &amp; Purification"/>
        <s v="GRC &amp; Board Management Software"/>
        <s v="Import/Export Services"/>
        <s v="Printer &amp; Copier Supplies"/>
        <s v="Industrial Fastener Supply"/>
        <s v="Paint &amp; Coatings Supply"/>
        <s v="Chamber of Commerce"/>
        <s v="Legal &amp; Professional Services"/>
        <s v="Vacuum Truck &amp; Industrial Cleaning Services"/>
        <s v="Industrial Gas Supply"/>
        <s v="Natural Gas &amp; Electric Utility"/>
        <s v="Auto Body &amp; Collision Repair"/>
        <s v="Electronic Security Integration"/>
        <s v="IT Compliance &amp; Cybersecurity Assessment"/>
        <s v="Fire Protection &amp; Safety Services"/>
        <s v="Executive Recruiting &amp; Staffing"/>
        <s v="Industrial &amp; Commercial Services"/>
        <s v="Facility Maintenance &amp; Management"/>
        <s v="Custom Embroidered Patches"/>
        <s v="Industrial Services"/>
        <s v="Healthcare &amp; Disability Management"/>
        <s v="Personal Injury Law Firm"/>
        <s v="Electrical Contractor"/>
        <s v="Truck &amp; Trailer Repair"/>
        <s v="Forestry Products"/>
        <s v="IT Solutions &amp; Digital Transformation"/>
        <s v="Real Estate Brokerage &amp; Franchise"/>
        <s v="Commercial Truck &amp; Equipment Dealer"/>
        <s v="Lawn Care Services"/>
        <s v="Water &amp; Beverage Delivery Services"/>
        <s v="Door Installation &amp; Service"/>
        <s v="Corporate Real Estate Consulting"/>
        <s v="Unemployment Cost Management"/>
        <s v="Industrial Staffing &amp; Services"/>
        <s v="Collaborative Work Management Software"/>
        <s v="Industrial Real Estate &amp; Logistics"/>
        <s v="Records &amp; Information Management"/>
        <s v="Commercial Tire Services"/>
        <s v="Gift Card Services"/>
        <s v="Moving Industry Marketplace"/>
        <s v="Truck &amp; Vehicle Storage"/>
        <s v="Hotel &amp; Hospitality Services"/>
        <s v="Lubricant Distribution &amp; Solutions"/>
        <s v="Marketing &amp; Advertising Association"/>
        <s v="Forklift &amp; Lift Truck Sales/Service"/>
        <s v="Hydraulic Hose &amp; Fittings Distribution"/>
        <s v="Industrial &amp; Automotive Parts Distribution"/>
        <s v="Fire &amp; Security Systems"/>
        <s v="Electronic Security &amp; Loss Prevention"/>
        <s v="Trailer Sales &amp; Service"/>
        <s v="Landscaping &amp; Lawn Care"/>
        <s v="Commercial Banking Services"/>
        <s v="Flooring Installation &amp; Services"/>
        <s v="Consumer Cybersecurity Software"/>
        <s v="Painting Contractor"/>
        <s v="Recycling &amp; Waste Management"/>
        <s v="Collaboration Software Platform"/>
        <s v="Water Filtration &amp; Dispensing Solutions"/>
        <s v="Equipment Repair Services"/>
        <s v="Safety &amp; Compliance Software Platform"/>
        <s v="Corporate Perks &amp; Discount Platform"/>
        <s v="Event Planning &amp; Rental"/>
        <s v="Online Collaborative Whiteboard Platform"/>
        <s v="Tire &amp; Tread Services"/>
        <s v="Financial Technology &amp; SaaS"/>
        <s v="Marketing &amp; Communications"/>
        <s v="Towing &amp; Wrecker Services"/>
        <s v="Event Production &amp; Staging"/>
        <s v="Utility Services"/>
        <s v="Software Testing Platform"/>
        <s v="Paving Products Manufacturing"/>
        <s v="Fencing Services"/>
        <s v="Oil &amp; Gas Consulting"/>
        <s v="Overhead Door &amp; Dock Equipment"/>
        <s v="Talent &amp; Modeling Agency"/>
        <s v="Packaging Solutions Provider"/>
        <s v="Document Destruction Services"/>
        <s v="IT &amp; Navigation Solutions"/>
        <s v="Talent &amp; Entertainment Agency"/>
        <s v="Commercial Garage Door Services"/>
        <s v="Painting Services"/>
        <s v="IT Infrastructure &amp; Power Solutions"/>
        <s v="Employee Perks &amp; Discount Platform"/>
        <s v="Bottled Water Delivery"/>
        <s v="Door &amp; Dock Equipment Services"/>
        <s v="Email Marketing Platform"/>
        <s v="Project Management Software"/>
        <s v="Secure Parking &amp; Trailer Repair"/>
        <s v="Printing &amp; Marketing Services"/>
        <s v="Landscaping &amp; Lawn Maintenance"/>
        <s v="Facility Management &amp; Construction"/>
        <s v="Industrial Gas &amp; Equipment"/>
        <s v="Industrial Supply"/>
        <s v="Pressure Washer Sales &amp; Service"/>
        <s v="Sign Manufacturing &amp; Franchising"/>
        <s v="Industrial Manufacturing"/>
        <s v="Fuel &amp; Energy Services"/>
        <s v="Heavy Equipment Repair &amp; Service"/>
        <s v="Port Authority &amp; Marina Services"/>
        <s v="Commercial Banking"/>
        <s v="Water Treatment Services"/>
        <s v="Legal Services - Corporate Law"/>
        <s v="Pallet Manufacturing &amp; Supply"/>
        <s v="Employment &amp; Labor Law Firm"/>
        <s v="Truck Repair &amp; Maintenance"/>
        <s v="HVAC &amp; Oil Services"/>
        <s v="Equipment Leasing &amp; Financing"/>
        <s v="Towing &amp; Transport Services"/>
        <s v="Concrete &amp; Landscaping Services"/>
        <s v="Portable Sanitation Services"/>
        <s v="Fleet Washing &amp; Facility Cleaning"/>
        <s v="Auto Repair &amp; Service"/>
        <s v="Homebuilding &amp; Real Estate Development"/>
        <s v="Lift Equipment Services"/>
        <s v="Market Research &amp; Consumer Insights"/>
        <s v="HVAC &amp; Home Services"/>
        <s v="Tire &amp; Auto Repair Services"/>
        <s v="Software Development Tools"/>
        <s v="Collaborative Design Software"/>
        <s v="Commercial Cleaning &amp; Detailing"/>
        <s v="Electric Motor Repair &amp; Sales"/>
        <s v="Individual Consultant/Contractor"/>
        <s v="Billing &amp; Revenue Services"/>
        <s v="Airport &amp; Spaceport Operations"/>
        <s v="Hydraulic Equipment &amp; Repair"/>
        <s v="Waste Removal &amp; Carting"/>
        <s v="Self-Storage Services"/>
        <s v="Landscaping &amp; Bark Supply"/>
        <s v="Self-Storage Technology Solutions"/>
        <s v="Metal Fabrication &amp; Repair"/>
        <s v="Hydraulic Hose &amp; Fittings"/>
        <s v="Security Systems"/>
        <s v="Moving &amp; Relocation Services"/>
        <s v="Insurance Brokerage &amp; Benefits Consulting"/>
        <s v="Gate &amp; Fence Installation"/>
        <s v="Law Firm - Full Service"/>
        <s v="Architecture &amp; Design"/>
        <s v="Security Guard &amp; Patrol Services"/>
        <s v="Industrial Sales &amp; Distribution"/>
        <s v="Insurance Brokerage &amp; Fintech"/>
        <s v="Advertising Operations Platform"/>
        <s v="Educational Publishing &amp; Technology"/>
        <s v="Fleet Repair &amp; Maintenance"/>
        <s v="Talent Management/Entertainment"/>
        <s v="HVAC Distribution &amp; Services"/>
        <s v="AI Text Analytics &amp; Consumer Insights"/>
        <s v="Truck Parts &amp; Service"/>
        <s v="Commercial Equipment &amp; Supplies"/>
        <s v="Audio, Video &amp; Security Systems"/>
        <s v="Electrical Services"/>
        <s v="Talent Management &amp; Learning Platform"/>
        <s v="Telecommunications Systems"/>
        <s v="Weather Intelligence Services"/>
        <s v="Tax Compliance &amp; Regulatory Software"/>
        <s v="Real Estate Sales"/>
        <s v="Facility Services &amp; Maintenance"/>
        <s v="Industrial Fabrication &amp; Welding"/>
        <s v="Paint &amp; Hardware Supply"/>
        <s v="Brand Protection &amp; Compliance Software"/>
        <s v="Masonry Contracting"/>
        <s v="Industrial Cleaning &amp; Inspection Services"/>
        <s v="Roofing &amp; Sheet Metal Services"/>
        <s v="Facility Maintenance &amp; Cleaning"/>
        <s v="Vehicle Transport &amp; Logistics"/>
        <s v="Landscaping &amp; Ground Maintenance"/>
        <s v="Business Improvement District (BID)"/>
        <s v="Investment &amp; Holding Company"/>
        <s v="Janitorial &amp; Cleaning Services"/>
        <s v="Military/Government Services"/>
        <s v="API Development &amp; Collaboration Platform"/>
        <s v="Hydraulic Hose Repair Services"/>
        <s v="Hydraulic Hose &amp; Cylinder Repair"/>
        <s v="Welding Services"/>
        <s v="Aerospace Parts Manufacturing"/>
        <s v="Talent Management &amp; Recruiting"/>
        <s v="Auto Parts Retail"/>
        <s v="Fire Protection Systems"/>
        <s v="Membrane Technology &amp; Manufacturing"/>
        <s v="Agricultural Services"/>
        <s v="Presentation Design Software"/>
        <s v="Plumbing &amp; Heating Services"/>
        <s v="Commercial Overhead Door Services"/>
        <s v="Beverage Bottling &amp; Distribution"/>
        <s v="Digital Marketing &amp; Creative Agency"/>
        <s v="Lawn Care &amp; Landscaping Services"/>
        <s v="Commercial HVAC Services"/>
        <s v="Petroleum Distribution"/>
        <s v="General Maintenance Services"/>
        <s v="IT Services &amp; Technology Solutions"/>
        <s v="Masonry &amp; Stonework"/>
        <s v="Fleet Maintenance Services"/>
        <s v="Commercial Door &amp; Dock Services"/>
        <s v="Transportation Services"/>
        <s v="Industrial Fasteners &amp; Supply"/>
        <s v="Overhead Door Sales &amp; Service"/>
        <s v="Industrial Saw &amp; Tool Sales"/>
        <s v="Fuel &amp; Energy Distribution"/>
        <s v="Concrete Contracting"/>
        <s v="Military News Publication"/>
        <s v="Water Sports &amp; Recreation Products"/>
        <s v="Online Review Platform"/>
        <s v="Fire Protection Systems Contractor"/>
        <s v="Accounting &amp; Business Advisory"/>
        <s v="CDL Training School"/>
        <s v="Commercial Printing Services"/>
        <s v="International Law Firm"/>
        <s v="Environmental Remediation Services"/>
        <s v="Fuel &amp; Oil Distribution"/>
        <s v="Metal Construction &amp; Consulting"/>
        <s v="Welding &amp; Industrial Supply"/>
        <s v="Third-Party Administration"/>
        <s v="Online Survey &amp; Research Platform"/>
        <s v="EHS &amp; Compliance Software"/>
        <s v="Event Production &amp; Decor"/>
        <s v="Water Services"/>
        <s v="Industrial Scale &amp; Weighing Equipment"/>
        <s v="Compensation Data &amp; Analytics Platform"/>
        <s v="Moving &amp; Packing Services"/>
        <s v="Fastener &amp; Industrial Supply Distribution"/>
        <s v="Banking &amp; Financial Services"/>
        <s v="Residential Cleaning Services"/>
        <s v="Trucking &amp; Hauling Services"/>
        <s v="Commercial Cleaning Services (MaidPro)"/>
        <s v="Data Mapping &amp; Visualization Software"/>
        <s v="Auto Parts &amp; Tools Retail"/>
        <s v="Corporate Legal Services &amp; Compliance"/>
        <s v="Mortgage Services &amp; VA Lending"/>
        <s v="Barcode &amp; Data Capture Technology"/>
        <s v="Landscaping &amp; Property Management"/>
        <s v="Garage Door Sales &amp; Service"/>
        <s v="Vehicle Conversions &amp; Upfitting"/>
        <s v="Lawn Care &amp; Landscaping"/>
        <s v="Metal Building Construction"/>
        <s v="Commercial Pressure Washing Services"/>
        <s v="Truck Dealership &amp; Parts"/>
        <s v="Restoration Supplies &amp; Equipment"/>
        <s v="Commercial Overhead Door &amp; Loading Dock Systems"/>
        <s v="Restaurant &amp; Catering"/>
        <s v="Content Licensing &amp; Reprints"/>
        <s v="Fencing Installation &amp; Sales"/>
        <s v="Commercial Cleaning &amp; Disinfecting"/>
        <s v="Janitorial Services"/>
        <s v="Electrical &amp; Plumbing Services"/>
        <s v="Tree Service &amp; Removal"/>
        <s v="Industrial Products &amp; Services"/>
        <s v="Utility - Water Services"/>
        <s v="Ferry Transportation Services"/>
        <s v="Industrial Services &amp; Construction"/>
        <s v="HVAC Equipment &amp; Supply"/>
        <s v="Professional Cleaning Services"/>
        <s v="Real Estate Franchise Services"/>
        <s v="IT Services &amp; Digital Solutions"/>
        <s v="Dining Cruise &amp; Event Entertainment"/>
        <s v="Commercial Services"/>
        <s v="Lean Six Sigma Training &amp; Software"/>
        <s v="Business Accreditation Services"/>
        <s v="Welding &amp; Repair Services"/>
        <s v="Energy &amp; HVAC Services"/>
        <s v="Nonprofit Charitable Organization"/>
        <s v="Government Agency - Finance"/>
        <s v="Fire Protection &amp; Life Safety"/>
        <s v="Packaging Services"/>
        <s v="Shelving &amp; Storage Solutions"/>
        <s v="Waste &amp; Recycling Services"/>
        <s v="Signage &amp; Printing Services"/>
        <s v="Fire Protection Equipment &amp; Service"/>
        <s v="Plumbing &amp; HVAC Services"/>
        <s v="Interior Design &amp; Decor"/>
        <s v="Pump &amp; Controls Services"/>
        <s v="Shipping &amp; Business Services Franchise"/>
        <s v="Power Systems &amp; Equipment"/>
        <s v="Auto Salvage &amp; Parts"/>
        <s v="Auto Detailing Services"/>
        <s v="Landscaping &amp; Snow Management"/>
        <s v="Hotshot Trucking &amp; Delivery"/>
        <s v="Energy Services"/>
        <s v="Fire Protection &amp; Sprinkler Systems"/>
        <s v="Stock Photography &amp; Visual Media"/>
        <s v="Forklift Parts Distribution"/>
        <s v="Home Improvement &amp; Renovation"/>
        <s v="Veterans Organization"/>
        <s v="Trailer Rental &amp; Leasing"/>
        <s v="Moving Concierge Platform"/>
        <s v="Business Consulting &amp; Strategy"/>
        <s v="Security Systems &amp; Services"/>
        <s v="Hauling &amp; Concrete Services"/>
        <s v="Security Alarm &amp; Monitoring"/>
        <s v="Lawn Care &amp; Maintenance"/>
        <s v="Game-Based Learning Platform"/>
        <s v="Group Purchasing Organization (GPO)"/>
        <s v="Online Job Advertising Platform"/>
        <s v="Military Real Estate Advertising"/>
        <s v="LGBTQ+ Community Organization &amp; Events"/>
        <s v="Commercial Painting Services"/>
        <s v="Fleet Management Services"/>
        <s v="Military Advocacy Organization"/>
        <s v="Defense Transportation Association"/>
        <s v="Utility - Electric &amp; Gas"/>
        <s v="Government Regulatory Agency"/>
        <s v="Commercial Cleaning &amp; Janitorial Services"/>
        <s v="Welding &amp; Fabrication Services"/>
        <s v="Fleet Washing &amp; Cleaning Services"/>
        <s v="Industrial Cleaning Equipment"/>
        <s v="Security Alarm Systems"/>
        <s v="Erosion Control Services"/>
        <s v="Exterior Cleaning Services"/>
        <s v="Debt Collection &amp; Receivables Management"/>
        <s v="Electrical Cable &amp; Connector Products"/>
        <s v="Fire Protection &amp; Security"/>
        <s v="Registered Agent &amp; Business Filing"/>
        <s v="Garage Door Services"/>
        <s v="Employment Law Services"/>
        <s v="Landscaping &amp; Property Maintenance"/>
        <s v="Timber &amp; Logging Services"/>
        <s v="Industrial Equipment Manufacturing"/>
        <s v="Commercial Truck Leasing &amp; Rental"/>
        <s v="Welding &amp; Steel Fabrication"/>
        <s v="Transportation Law Firm"/>
        <s v="Document Management &amp; Leasing"/>
        <s v="Equipment &amp; Property Rental"/>
        <s v="Social Media Management Platform"/>
        <s v="Roadside Assistance &amp; Towing"/>
        <s v="Background Screening Services"/>
        <s v="Petroleum Products Distribution"/>
        <s v="Mechanical &amp; Electrical Contracting"/>
        <s v="Military &amp; Government Discount Marketplace"/>
        <s v="Fuel &amp; Auto Service"/>
        <s v="Scrap Metal Recycling &amp; Management"/>
        <s v="Database Development Tools &amp; Software"/>
        <s v="Commercial Cleaning &amp; Maintenance"/>
        <s v="Scale &amp; Weighing Equipment"/>
        <s v="Mechanical Contracting Services"/>
        <s v="Fire Protection &amp; Security Services"/>
        <s v="Fire Protection Equipment &amp; Services"/>
        <s v="Commercial Real Estate Brokerage"/>
        <s v="Commercial HVAC &amp; Refrigeration"/>
        <s v="Security Systems &amp; Installation"/>
        <s v="Plumbing &amp; Drainage Services"/>
        <s v="Low Voltage Cabling Services"/>
        <s v="Environmental Equipment Supply"/>
        <s v="Financial Advisory Services"/>
        <s v="Towing Services"/>
        <s v="Dock &amp; Door Equipment Service"/>
        <s v="Mechanical &amp; Electrical Engineering"/>
        <s v="Contractor Licensing Services"/>
        <s v="Auto Salvage &amp; Recycling"/>
        <s v="Government Environmental Agency"/>
        <s v="Pre-Employment Assessment Platform"/>
        <s v="Heavy Equipment Transport"/>
        <s v="Sewer &amp; Drain Services"/>
        <s v="Truck &amp; Trailer Repair Services"/>
        <s v="Fencing &amp; Security Products"/>
        <s v="Propane &amp; Gas Services"/>
        <s v="Fencing Installation &amp; Repair"/>
        <s v="Vocational Education &amp; Training"/>
        <s v="Industrial Compressor Sales &amp; Service"/>
        <s v="Janitorial &amp; Facility Services"/>
        <s v="Fleet Parts &amp; Supply"/>
        <s v="Specialty Labeling &amp; Packaging"/>
        <s v="Global Tax Services &amp; Software"/>
        <s v="Janitorial &amp; Maintenance Services"/>
        <s v="Printing &amp; Document Solutions"/>
        <s v="Accounting &amp; Advisory Services"/>
        <s v="Ethics &amp; Compliance Training"/>
        <s v="Custom Closets &amp; Home Organization"/>
        <s v="Water Delivery &amp; Cooler Service"/>
        <s v="Insurance Defense Law Firm"/>
        <s v="Towing &amp; Roadside Assistance"/>
        <s v="Fire Protection &amp; Security Systems"/>
        <s v="Mechanical &amp; Plumbing Services"/>
        <s v="Industrial Instrumentation &amp; Controls"/>
        <s v="Building Maintenance &amp; Cleaning"/>
        <s v="Customs Brokerage &amp; Freight Services"/>
        <s v="Facility Maintenance &amp; Repair"/>
        <s v="HR Professional Association"/>
        <s v="Fluid Power &amp; Hydraulic Solutions"/>
        <s v="Real Estate Services"/>
        <s v="Electrical Supply Distribution"/>
        <s v="Real Estate Franchise &amp; Brokerage"/>
        <s v="Ferry Transportation"/>
        <s v="Pressure Washing &amp; Cleaning"/>
        <s v="Facility HVAC Services"/>
        <s v="Military Association"/>
        <s v="Packaging &amp; Display Solutions"/>
        <s v="Metal Fabrication &amp; Supply"/>
        <s v="Hydraulic Sales &amp; Service"/>
        <s v="Promotional Products &amp; Signs"/>
        <s v="Portable Storage Solutions"/>
        <s v="Beverage &amp; Product Distribution"/>
        <s v="Financial Advisory &amp; Consulting"/>
        <s v="Door &amp; Access Systems Manufacturer"/>
        <s v="Commercial Refrigeration &amp; HVAC"/>
        <s v="Debt Collection Agency"/>
        <s v="Fencing &amp; Building Materials"/>
        <s v="Door &amp; Entrance Systems"/>
        <s v="Industrial HVLS Fans &amp; Cooling"/>
        <s v="Charitable Organization"/>
        <s v="Truck Tire Sales &amp; Service"/>
        <s v="Door &amp; Dock Equipment"/>
        <s v="Pressure Washing Equipment"/>
        <s v="Caster &amp; Wheel Manufacturing"/>
        <s v="Landscaping &amp; Design Services"/>
        <s v="Military Nonprofit Organization"/>
        <s v="Cargo Control Equipment Manufacturing"/>
        <s v="Hydraulic Repair &amp; Service"/>
        <s v="Hauling &amp; Waste Services"/>
        <s v="Welding &amp; Fabrication"/>
        <s v="Third-Party Claims Administration"/>
        <s v="Cloud Content Management Platform"/>
        <s v="Fitness Equipment &amp; Facility Lease"/>
        <s v="Vehicle Cleaning &amp; Detailing"/>
        <s v="Property Management &amp; Maintenance"/>
        <s v="Lift Truck Sales &amp; Service"/>
        <s v="Engineering &amp; Construction Services"/>
        <s v="Printing &amp; Copy Services"/>
        <s v="Pressure Washing Services"/>
        <s v="Corporate &amp; Trust Services"/>
        <s v="Landscaping &amp; Fencing Services"/>
        <s v="Civil Engineering &amp; Site Development"/>
        <s v="Waste Management &amp; Environmental Services"/>
        <s v="Equipment Repair &amp; Maintenance"/>
        <s v="Equipment Service &amp; Repair"/>
        <s v="Logistics &amp; Freight Forwarding"/>
        <s v="Logistics Brokerage"/>
        <s v="Transportation Management &amp; Logistics"/>
        <s v="Freight Rate Bureau Services"/>
        <s v="Building Management Systems &amp; HVAC Services"/>
        <s v="Food Delivery &amp; Marketplace Platform"/>
        <s v="Hydraulic Hose &amp; Fittings Distributor"/>
        <s v="Security Systems &amp; Monitoring"/>
        <s v="Custom Packaging &amp; Boxes"/>
        <s v="Regional Law Firm"/>
        <s v="Auto Glass Services"/>
        <s v="Truck Wash Services"/>
        <s v="Pest Control &amp; Fumigation"/>
        <s v="Towing &amp; Roadside Services"/>
        <s v="Mobile Device Management &amp; Repair"/>
        <s v="Plumbing &amp; Sewer Services"/>
        <s v="Petroleum &amp; Lubricant Distribution"/>
        <s v="Facility Maintenance &amp; Services"/>
        <s v="Wholesale Packaging Distribution"/>
        <s v="Plastics Recycling &amp; Waste Management"/>
        <s v="Industrial Mechanical Services"/>
        <s v="Window &amp; Door Screen Services"/>
        <s v="Fuel Distribution"/>
        <s v="Fire Safety Equipment &amp; Services"/>
        <s v="Electrical &amp; Wiring Supply"/>
        <s v="Industrial Flooring &amp; Concrete"/>
        <s v="Mobile Fleet Washing"/>
        <s v="Waste Hauling &amp; Demolition"/>
        <s v="Industrial Maintenance &amp; Repair"/>
        <s v="Locksmith Services"/>
        <s v="Mobile Pressure Washing"/>
        <s v="Commercial HVAC &amp; Plumbing Services"/>
        <s v="Audio Visual Solutions"/>
        <s v="Waste Collection &amp; Disposal"/>
        <s v="Welding &amp; Machine Shop Services"/>
        <s v="Indoor Air Quality Testing"/>
        <s v="Mold Inspection &amp; Environmental Testing"/>
        <s v="HVAC &amp; Plumbing Services"/>
        <s v="General Labor Services"/>
        <s v="Digital Signage Software"/>
        <s v="Commodity Trading &amp; Energy"/>
        <s v="Military Advocacy &amp; Membership Organization"/>
        <s v="Alaska Freight &amp; Trucking"/>
        <s v="Professional Hockey Players Association"/>
        <s v="Industrial Air Conditioning Services"/>
        <s v="Water Utility Services"/>
        <s v="Environmental Testing Laboratory"/>
        <s v="Electrical &amp; Communication Solutions"/>
        <s v="eCommerce Marketing Platform"/>
        <s v="Facility Services &amp; Supply"/>
        <s v="Relocation Incentive Platform"/>
        <s v="Mechanical &amp; Piping Contracting"/>
        <s v="Dust Control &amp; Mat Services"/>
        <s v="Dock &amp; Door Services"/>
        <s v="Aviation Appearance Services"/>
        <s v="Hardware &amp; Equipment Rental"/>
        <s v="Municipal Government"/>
        <s v="Vehicle Reimbursement Platform"/>
        <s v="Precision Instruments &amp; Weighing"/>
        <s v="Government Revenue Services"/>
        <s v="Window Cleaning Services"/>
        <s v="Fleet Consulting &amp; Support"/>
        <s v="Industrial Scale Services"/>
        <s v="HVAC &amp; Mechanical Services"/>
        <s v="Employee Engagement &amp; Recognition Platform"/>
        <s v="Fire Protection Equipment"/>
        <s v="Low Voltage Electrical Contractor"/>
        <s v="Truck Equipment &amp; Upfitting"/>
        <s v="Electrical Contracting Services"/>
        <s v="Auto Parts &amp; Salvage"/>
        <s v="Garage Door Repair Services"/>
        <s v="Fire Protection Equipment &amp; Safety"/>
        <s v="Employee Perks Platform"/>
        <s v="Architectural Hardware Distribution"/>
        <s v="Remote Access &amp; IT Support Software"/>
        <s v="Industrial Equipment"/>
        <s v="Fleet Fuel Delivery Services"/>
        <s v="Home &amp; Building Services"/>
        <s v="Truck Sales &amp; Service (Peterbilt)"/>
        <s v="Office Equipment &amp; Managed IT Services"/>
        <s v="Security Systems &amp; Automation"/>
        <s v="Moving Equipment &amp; Supplies"/>
        <s v="Water Treatment &amp; Delivery"/>
        <s v="Global Mobility &amp; Relocation Technology"/>
        <s v="IT &amp; Cleaning Services"/>
        <s v="Fire Suppression Systems"/>
        <s v="Water Treatment &amp; Filtration"/>
        <s v="Security Systems Integration"/>
        <s v="Wastewater Management"/>
        <s v="Consulting / Individual Contractor"/>
        <s v="Customs &amp; Border Services Software"/>
        <s v="Auto Glass Repair &amp; Replacement"/>
        <s v="IT Solutions &amp; Services"/>
        <s v="Consumer Protection Law Firm"/>
        <s v="Structural Engineering &amp; Inspection"/>
        <s v="Hydraulic Equipment &amp; Services"/>
        <s v="Water Delivery &amp; Filtration"/>
        <s v="Welding Supply &amp; Industrial Gas"/>
        <s v="Business Solutions &amp; IT Services"/>
        <s v="Relocation Services"/>
        <s v="Laboratory Testing Services"/>
        <s v="Mobile Repair Services"/>
        <s v="Fire Safety Equipment &amp; Supply"/>
        <s v="Low Voltage Installation"/>
        <s v="Industrial Battery &amp; Charger Services"/>
        <s v="Employee Benefits Administration"/>
        <s v="Office Technology Solutions"/>
        <s v="Fire Protection Consulting"/>
        <s v="Engineering &amp; Technology Consulting"/>
        <s v="Mobile Repair &amp; Field Services"/>
        <s v="Freight Billing Services"/>
        <s v="Corporate Housing &amp; Relocation"/>
        <s v="Chemical Distribution &amp; Supply"/>
        <s v="Fastener &amp; Hardware Distribution"/>
        <s v="Fire Safety Equipment"/>
        <s v="Home &amp; Property Services"/>
        <s v="Marine Supply &amp; Equipment"/>
        <s v="Cybersecurity &amp; SSH Key Management"/>
        <s v="HVAC Design &amp; Installation"/>
        <s v="Fire Protection Systems &amp; Services"/>
        <s v="Construction &amp; Restoration Services"/>
        <s v="Facility Maintenance &amp; Solutions"/>
        <s v="Security &amp; Communication Systems"/>
        <s v="Security Monitoring Services"/>
        <s v="Industrial Equipment Supply"/>
        <s v="Industrial Services &amp; Maintenance"/>
        <s v="Branded Merchandise Platform"/>
        <s v="Industrial Steel &amp; Materials Distribution"/>
        <s v="Security Alarm &amp; Telephone Systems"/>
        <s v="Third-Party Billing Services"/>
        <s v="Commercial Lighting Services"/>
        <s v="Graphic Design &amp; Signage"/>
        <s v="Auto Finance &amp; Lending"/>
        <s v="Welding &amp; Chassis Fabrication"/>
        <s v="Wholesale Sign &amp; Printing Services"/>
        <s v="HVAC &amp; Refrigeration Services"/>
        <s v="Battery Distribution"/>
        <s v="Claims Management &amp; TPA Services"/>
        <s v="Marine Construction &amp; Maintenance"/>
        <s v="Municipal Utility Services"/>
        <s v="Mobile Hydraulic Hose Repair"/>
        <s v="Safety Signs &amp; Systems"/>
        <s v="IT &amp; Telecommunications"/>
        <s v="Water Treatment &amp; Air Quality"/>
        <s v="Industrial Scale Sales &amp; Service"/>
        <s v="Insulation &amp; Building Products"/>
        <s v="Vending Machine Services"/>
        <s v="Bottled Water &amp; Beverage Distribution"/>
        <s v="Postal &amp; Mailing Services"/>
        <s v="Industrial Rubber &amp; Gasket Products"/>
        <s v="Municipal Government Services"/>
        <s v="Self-Storage Marketplace Platform"/>
        <s v="Contractor Connection &amp; Claims"/>
        <s v="Material Handling &amp; Distribution"/>
        <s v="Law Enforcement"/>
        <s v="Janitorial Supply Distribution"/>
        <s v="Healthcare Group Purchasing Organization"/>
        <s v="Outdoor Power Equipment Sales &amp; Service"/>
        <s v="Lighting Supply &amp; Distribution"/>
        <s v="Environmental Laboratory Services"/>
        <s v="Industrial Supply &amp; Equipment"/>
        <s v="Fire Protection &amp; Building Automation"/>
        <s v="Electric &amp; Gas Utility"/>
        <s v="School Bus Safety Programs"/>
        <s v="Hardware Retail Cooperative"/>
        <s v="Employee Benefits Platform (Inactive)"/>
        <s v="Internet Registry Services"/>
        <s v="Toll Violations &amp; Collection"/>
        <s v="Court Services"/>
        <s v="Real Estate Appraisal Services"/>
        <s v="Natural Gas Utility"/>
        <s v="Pet Screening &amp; Policy Management Software"/>
        <s v="Recycling &amp; Salvage Services"/>
        <s v="Industrial Floor Cleaning Equipment"/>
        <s v="Toll Road Authority"/>
        <s v="Telecommunications &amp; Internet Services"/>
        <s v="Returns &amp; Reverse Logistics"/>
        <s v="Property Management &amp; Administrative Services"/>
        <s v="Industrial Storage Tank Construction"/>
        <s v="Relocation Technology Platform"/>
        <s v="Automotive Dealership Software"/>
        <s v="Hydraulic &amp; Fluid Power"/>
        <s v="Language Proficiency Testing"/>
        <s v="Business Services"/>
        <s v="Discount Coupon &amp; Savings Platform"/>
        <s v="Law Enforcement Programs"/>
        <s v="Vending &amp; Breakroom Services"/>
        <s v="Industrial &amp; Welding Gas Supply"/>
        <s v="Home Inspection Software"/>
        <s v="Occupational Health Services"/>
        <s v="Electric Utility Services"/>
        <s v="Customer Perk Management Platform"/>
        <s v="Cross-Connection Control &amp; Backflow Testing"/>
        <s v="Telecommunications &amp; IT Solutions"/>
        <s v="Healthcare Management Services"/>
        <m/>
        <s v="IT Support &amp; Managed Services" u="1"/>
        <s v="Financial Services (Fidelity)" u="1"/>
        <s v="Fleet Card &amp; Payment Solutions" u="1"/>
        <s v="Management Consulting &amp; Advisory" u="1"/>
        <s v="Hydraulic Equipment Services" u="1"/>
        <s v="Nonprofit/Charitable Organization" u="1"/>
        <s v="Propane Distribution" u="1"/>
        <s v="Propane &amp; Gas Distribution" u="1"/>
        <s v="Facility Maintenance Services" u="1"/>
        <s v="Industrial Staffing Services" u="1"/>
        <s v="Building Materials Distribution" u="1"/>
        <s v="General Contracting / Services" u="1"/>
        <s v="Security &amp; Alarm Systems" u="1"/>
        <s v="Automotive Repair &amp; Service" u="1"/>
        <s v="Vehicle Wrap &amp; Graphics" u="1"/>
        <s v="Commercial Property Development" u="1"/>
        <s v="Other" u="1"/>
        <s v="Professional &amp; Admin Services" u="1"/>
        <s v="Security &amp; Alarm" u="1"/>
        <s v="Utility - Gas/Fuel" u="1"/>
        <s v="Property Lease / Rent" u="1"/>
        <s v="Vehicle Maintenance &amp; Towing" u="1"/>
        <s v="Moving &amp; Relocation" u="1"/>
        <s v="IT &amp; Software Services" u="1"/>
        <s v="Utilities" u="1"/>
        <s v="Relocation Tech Platform" u="1"/>
        <s v="Plumbing &amp; HVAC" u="1"/>
        <s v="Marketing &amp; Advertising" u="1"/>
        <s v="Insurance / Risk Management" u="1"/>
        <s v="Insurance - Workers Comp" u="1"/>
        <s v="Doors &amp; Gates" u="1"/>
        <s v="Fire Protection &amp; Safety" u="1"/>
        <s v="Pest Control" u="1"/>
        <s v="Material Handling Solutions" u="1"/>
        <s v="Employee Benefits/HR Services" u="1"/>
        <s v="Utility - Electricity" u="1"/>
        <s v="Utility - Telecom/Internet" u="1"/>
        <s v="Motion Control &amp; Fluid Power" u="1"/>
        <s v="IT Services &amp; Managed Solutions" u="1"/>
        <s v="Workforce Management / HRIS" u="1"/>
        <s v="Salesforce Marketing Cloud" u="1"/>
        <s v="Customer Perk Management" u="1"/>
        <s v="Toll Management Solutions" u="1"/>
        <s v="Data &amp; Technology Consulting" u="1"/>
        <s v="CPQ (Configure, Price, Quote)" u="1"/>
      </sharedItems>
    </cacheField>
    <cacheField name="Additional Servic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5">
  <r>
    <n v="113081"/>
    <x v="0"/>
    <x v="0"/>
    <s v="TRAD"/>
    <s v="1 New York Plz;41st floor;New York NY 10004-1901;USA"/>
    <s v="USD"/>
    <x v="0"/>
    <x v="0"/>
    <x v="0"/>
    <s v="Wealth Management, Investment Banking, Trading, Research, Asset Management"/>
  </r>
  <r>
    <n v="141936"/>
    <x v="0"/>
    <x v="1"/>
    <s v="MARKETING"/>
    <s v="PO Box 896838;Charlotte NC 28289;USA"/>
    <s v="USD"/>
    <x v="1"/>
    <x v="1"/>
    <x v="1"/>
    <s v="Brand Strategy, Media Planning, Digital Marketing, Creative Services, Data Analytics, Social Media"/>
  </r>
  <r>
    <n v="102840"/>
    <x v="0"/>
    <x v="2"/>
    <s v="FRGT"/>
    <s v="PO Box 667;Racine WI 53401-0667;USA"/>
    <s v="USD"/>
    <x v="2"/>
    <x v="2"/>
    <x v="2"/>
    <s v="Trucking, Logistics, Freight Services"/>
  </r>
  <r>
    <n v="100222"/>
    <x v="0"/>
    <x v="3"/>
    <s v="INSURANCE"/>
    <s v="USA"/>
    <s v="USD"/>
    <x v="3"/>
    <x v="0"/>
    <x v="3"/>
    <s v="Insurance Services, Financial Products, Risk Management"/>
  </r>
  <r>
    <n v="105511"/>
    <x v="0"/>
    <x v="4"/>
    <s v="TRAD"/>
    <s v="PO Box 96723;Chicago IL 60693 6723;USA"/>
    <s v="USD"/>
    <x v="4"/>
    <x v="3"/>
    <x v="4"/>
    <s v="Truck Leasing, Fleet Maintenance, Dedicated Transportation, Used Truck Sales"/>
  </r>
  <r>
    <n v="101168"/>
    <x v="0"/>
    <x v="5"/>
    <s v="FRGT"/>
    <s v="PO Box 952407;Saint Louis MO 63195 2407;USA"/>
    <s v="USD"/>
    <x v="5"/>
    <x v="3"/>
    <x v="5"/>
    <s v="Refrigerated Transport, Truckload Shipping, Logistics"/>
  </r>
  <r>
    <n v="128810"/>
    <x v="0"/>
    <x v="6"/>
    <s v="FRGT"/>
    <s v="PO Box 2545;Green Bay WI 54306-2545;USA"/>
    <s v="USD"/>
    <x v="6"/>
    <x v="3"/>
    <x v="6"/>
    <s v="Truckload, Intermodal, Logistics, Dedicated Trucking, Freight Brokerage, Supply Chain"/>
  </r>
  <r>
    <n v="103141"/>
    <x v="0"/>
    <x v="7"/>
    <s v="FRGT"/>
    <s v="PO Box 102197;Atlanta GA 30368 2197;USA"/>
    <s v="USD"/>
    <x v="7"/>
    <x v="3"/>
    <x v="7"/>
    <s v="Less-Than-Truckload Shipping, Full Truckload, Expedited Freight, Supply Chain Solutions"/>
  </r>
  <r>
    <n v="147062"/>
    <x v="0"/>
    <x v="8"/>
    <s v="FRGT"/>
    <s v="3200 INDUSTRIAL PARK RD;VAN BUREN AR 72956-6110;USA"/>
    <s v="USD"/>
    <x v="8"/>
    <x v="2"/>
    <x v="2"/>
    <s v="Truckload, Dedicated, Intermodal, Logistics, Brokerage, Freight Services"/>
  </r>
  <r>
    <n v="131589"/>
    <x v="0"/>
    <x v="9"/>
    <s v="TRAD"/>
    <s v="44111 Nobel Dr;Fremont CA 94538-3173;USA"/>
    <s v="USD"/>
    <x v="9"/>
    <x v="4"/>
    <x v="8"/>
    <s v="Customer Experience, Technical Support, Digital Engineering, AI Solutions"/>
  </r>
  <r>
    <n v="103271"/>
    <x v="0"/>
    <x v="10"/>
    <s v="FRGT"/>
    <s v="PO Box 417727;Boston MA 02241-7727;USA"/>
    <s v="USD"/>
    <x v="10"/>
    <x v="2"/>
    <x v="9"/>
    <s v="Warehousing, Transportation, Dedicated Fleet, Supply Chain Solutions, Drayage"/>
  </r>
  <r>
    <n v="147102"/>
    <x v="0"/>
    <x v="11"/>
    <s v="TRAD"/>
    <s v="PO Box 6293;Carol Stream IL 60197;USA"/>
    <s v="USD"/>
    <x v="11"/>
    <x v="4"/>
    <x v="10"/>
    <s v="Fleet Cards, Fuel Cards, Payment Processing, Expense Management, Corporate Payments"/>
  </r>
  <r>
    <n v="109796"/>
    <x v="0"/>
    <x v="12"/>
    <s v="TRAD"/>
    <s v="USA"/>
    <s v="USD"/>
    <x v="12"/>
    <x v="0"/>
    <x v="11"/>
    <s v="401(k) Plans, Investment Management, Retirement Planning, Benefits Administration"/>
  </r>
  <r>
    <n v="100365"/>
    <x v="0"/>
    <x v="13"/>
    <s v="INSURANCE"/>
    <s v="PO Box 846015;Dallas TX 75284-6015;USA"/>
    <s v="USD"/>
    <x v="13"/>
    <x v="5"/>
    <x v="12"/>
    <s v="Commercial Insurance, Risk Advisory, Employee Benefits, Claims Management, Cyber Insurance"/>
  </r>
  <r>
    <n v="128599"/>
    <x v="0"/>
    <x v="14"/>
    <s v="TRAD"/>
    <s v="PO Box 17617;Saint Louis MO 63178-7617;USA"/>
    <s v="USD"/>
    <x v="14"/>
    <x v="3"/>
    <x v="13"/>
    <s v="Vehicle Maintenance, Auto Repair, Fleet Services"/>
  </r>
  <r>
    <n v="118025"/>
    <x v="0"/>
    <x v="15"/>
    <s v="INSURANCE"/>
    <s v="PO Box 1449;New York NY 10116-1449;USA"/>
    <s v="USD"/>
    <x v="15"/>
    <x v="5"/>
    <x v="14"/>
    <s v="Auto Insurance, Home Insurance, Life Insurance, Business Insurance, Workers' Comp"/>
  </r>
  <r>
    <n v="117578"/>
    <x v="0"/>
    <x v="16"/>
    <s v="TRAD"/>
    <s v="PO Box 203141;Dallas TX 75320-3141;USA"/>
    <s v="USD"/>
    <x v="16"/>
    <x v="6"/>
    <x v="15"/>
    <s v="Sales Cloud, Service Cloud, Marketing Cloud, Commerce Cloud, AI (Einstein), Analytics, AppExchange"/>
  </r>
  <r>
    <n v="123730"/>
    <x v="0"/>
    <x v="17"/>
    <s v="BENEFITS"/>
    <s v="21653 Network Place;Chicago IL 60673;USA"/>
    <s v="USD"/>
    <x v="17"/>
    <x v="5"/>
    <x v="16"/>
    <s v="Prescription Management, Mail-Order Pharmacy, Specialty Pharmacy, Drug Cost Management"/>
  </r>
  <r>
    <n v="100118"/>
    <x v="0"/>
    <x v="18"/>
    <s v="TRAD"/>
    <s v="PO BOX 933514;Atlanta GA 31193-3514;USA"/>
    <s v="USD"/>
    <x v="18"/>
    <x v="7"/>
    <x v="17"/>
    <s v="Audit, Tax Advisory, Consulting, Strategy &amp; Transactions, Digital Transformation"/>
  </r>
  <r>
    <n v="101126"/>
    <x v="0"/>
    <x v="19"/>
    <s v="FRGT"/>
    <s v="1619 W Luthy Dr;Peoria IL 61615 1602;USA"/>
    <s v="USD"/>
    <x v="19"/>
    <x v="3"/>
    <x v="5"/>
    <s v="Flatbed Hauling, Heavy Equipment Transport, Logistics"/>
  </r>
  <r>
    <n v="100614"/>
    <x v="0"/>
    <x v="20"/>
    <s v="TRAD"/>
    <s v="1950 N STEMMONS FWY;STE 5010 LB #842467;Dallas TX 75207;USA"/>
    <s v="USD"/>
    <x v="20"/>
    <x v="6"/>
    <x v="18"/>
    <s v="Microsoft 365, Azure, Windows, Office Suite, Enterprise Software Licensing"/>
  </r>
  <r>
    <n v="116232"/>
    <x v="0"/>
    <x v="21"/>
    <s v="FRGT"/>
    <s v="PO Box 735227;Dallas TX 75373-5227;USA"/>
    <s v="USD"/>
    <x v="21"/>
    <x v="2"/>
    <x v="19"/>
    <s v="Truckload Shipping, LTL, Intermodal, Carrier Network"/>
  </r>
  <r>
    <n v="130600"/>
    <x v="0"/>
    <x v="22"/>
    <s v="FRGT"/>
    <s v="2150 Schuetz Rd;Suite 210;Saint Louis MO 63146-3504;USA"/>
    <s v="USD"/>
    <x v="22"/>
    <x v="3"/>
    <x v="20"/>
    <s v="Temperature-Controlled Transport, Live-Animal Hauling, Tanker Operations, Expedited Delivery, Fleet Management"/>
  </r>
  <r>
    <n v="131613"/>
    <x v="0"/>
    <x v="23"/>
    <s v="FRGT"/>
    <s v="PO Box 933813;Atlanta GA 31193-3813;USA"/>
    <s v="USD"/>
    <x v="23"/>
    <x v="2"/>
    <x v="2"/>
    <s v="Truckload, Flatbed, Dedicated Trucking, Logistics, Intermodal"/>
  </r>
  <r>
    <n v="119131"/>
    <x v="0"/>
    <x v="24"/>
    <s v="FRGT"/>
    <s v="PO Box 16173;Little Rock AR 72231-6173;USA"/>
    <s v="USD"/>
    <x v="24"/>
    <x v="3"/>
    <x v="5"/>
    <s v="Truckload, LTL, Intermodal, Dedicated Fleet, Logistics"/>
  </r>
  <r>
    <n v="100072"/>
    <x v="0"/>
    <x v="25"/>
    <s v="FRGT"/>
    <s v="PO Box 741142;Los Angeles CA 90074-1142;USA"/>
    <s v="USD"/>
    <x v="25"/>
    <x v="2"/>
    <x v="21"/>
    <s v="Auto Shipping, Ocean Transport, Warehousing, Drayage, Supply Chain Solutions, Port Operations"/>
  </r>
  <r>
    <n v="122255"/>
    <x v="0"/>
    <x v="26"/>
    <s v="RENT"/>
    <s v="1800 Wazee St;Suite 500;Denver CO 80202-1577;USA"/>
    <s v="USD"/>
    <x v="26"/>
    <x v="8"/>
    <x v="22"/>
    <s v="Industrial Real Estate, Warehouse, Distribution, REIT Operations"/>
  </r>
  <r>
    <n v="110033"/>
    <x v="0"/>
    <x v="27"/>
    <s v="TRAD"/>
    <s v="1 Sea Box Dr.;Cinnaminson NJ 08077;USA"/>
    <s v="USD"/>
    <x v="27"/>
    <x v="9"/>
    <x v="23"/>
    <s v="Shipping Containers, Modular Buildings, ISO Containers, Custom Modifications"/>
  </r>
  <r>
    <n v="142232"/>
    <x v="0"/>
    <x v="28"/>
    <s v="FRGT"/>
    <s v="125 Woodstream Blvd;Suite 301;Stafford VA 22556;USA"/>
    <s v="USD"/>
    <x v="28"/>
    <x v="2"/>
    <x v="24"/>
    <s v="Trucking, Supply Chain Management, Freight Forwarding, Government Logistics"/>
  </r>
  <r>
    <n v="149333"/>
    <x v="0"/>
    <x v="29"/>
    <s v="TRAD"/>
    <s v="666 GARLAND PL;DES PLAINES IL 60016-4725;USA"/>
    <s v="USD"/>
    <x v="29"/>
    <x v="10"/>
    <x v="25"/>
    <s v="Building Maintenance, General Contracting, Facility Services, Renovation"/>
  </r>
  <r>
    <n v="146402"/>
    <x v="0"/>
    <x v="30"/>
    <s v="INSURANCE"/>
    <s v="15763 COLLECTIONS CENTER DRIVE;CHICAGO IL 60693-0001;USA"/>
    <s v="USD"/>
    <x v="30"/>
    <x v="5"/>
    <x v="26"/>
    <s v="Workers' Comp Claims, Liability Claims, Risk Management, Medical Cost Containment"/>
  </r>
  <r>
    <n v="150421"/>
    <x v="0"/>
    <x v="31"/>
    <s v="FRGT"/>
    <s v="680 E. North Ave;Carol Stream IL 60188;USA"/>
    <s v="USD"/>
    <x v="31"/>
    <x v="2"/>
    <x v="2"/>
    <s v="Trucking, Logistics, Expedited Freight"/>
  </r>
  <r>
    <n v="148380"/>
    <x v="0"/>
    <x v="32"/>
    <s v="TRAD"/>
    <s v="150 N Field Drive;Suite 190;Lake Forest IL 60045;USA"/>
    <s v="USD"/>
    <x v="32"/>
    <x v="0"/>
    <x v="27"/>
    <s v="Payment Processing, Premium Billing, Agent/Broker Tools"/>
  </r>
  <r>
    <n v="148616"/>
    <x v="0"/>
    <x v="33"/>
    <s v="RENT"/>
    <s v="1717 McKinney Ave;Ste 1900;Dallas TX 75202;USA"/>
    <s v="USD"/>
    <x v="33"/>
    <x v="8"/>
    <x v="28"/>
    <s v="Industrial Real Estate, Property Management"/>
  </r>
  <r>
    <n v="100224"/>
    <x v="0"/>
    <x v="34"/>
    <s v="TRAD"/>
    <s v="P.O. BOX 827380;Philadelphia PA 19182;USA"/>
    <s v="USD"/>
    <x v="34"/>
    <x v="3"/>
    <x v="4"/>
    <s v="Full-Service Truck Leasing, Fleet Maintenance, Truck Rental, Used Truck Sales, 24/7 Roadside Assistance"/>
  </r>
  <r>
    <n v="131406"/>
    <x v="0"/>
    <x v="35"/>
    <s v="TRAD"/>
    <s v="601 Texas Central Parkway;Waco TX 76712;USA"/>
    <s v="USD"/>
    <x v="35"/>
    <x v="7"/>
    <x v="29"/>
    <s v="Technical Support, Help Desk, IT Infrastructure, Network Management"/>
  </r>
  <r>
    <s v="000526"/>
    <x v="0"/>
    <x v="36"/>
    <s v="TRAD"/>
    <s v="PO BOX 9464 STN A;TORONTO ON M5W 4E1;CAN"/>
    <s v="CAD"/>
    <x v="36"/>
    <x v="3"/>
    <x v="30"/>
    <s v="Truck Rental, Commercial Vehicles, Fleet Solutions"/>
  </r>
  <r>
    <n v="147475"/>
    <x v="0"/>
    <x v="37"/>
    <s v="FRGT"/>
    <s v="701 Seneca St ;Suite 140F;Buffalo NY 14210;USA"/>
    <s v="USD"/>
    <x v="37"/>
    <x v="2"/>
    <x v="19"/>
    <s v="LTL Shipping, Truckload, Intermodal, Supply Chain Management"/>
  </r>
  <r>
    <n v="125966"/>
    <x v="0"/>
    <x v="38"/>
    <s v="RENT"/>
    <s v="300 N LAKE AVE;Ste. 850;PASADENA CA 91101-4109;USA"/>
    <s v="USD"/>
    <x v="38"/>
    <x v="8"/>
    <x v="31"/>
    <s v="Pension Administration, Retirement Benefits, Investment Management"/>
  </r>
  <r>
    <n v="101238"/>
    <x v="0"/>
    <x v="39"/>
    <s v="RENT"/>
    <s v="LOCKBOX #15693;15693 COLLECTIONS CENTER DR;Chicago IL 60693;USA"/>
    <s v="USD"/>
    <x v="39"/>
    <x v="8"/>
    <x v="28"/>
    <s v="Real Estate, Property Management"/>
  </r>
  <r>
    <n v="103294"/>
    <x v="0"/>
    <x v="40"/>
    <s v="TRAD"/>
    <s v="PO Box 77102;Minneapolis MN 55480;USA"/>
    <s v="USD"/>
    <x v="40"/>
    <x v="3"/>
    <x v="32"/>
    <s v="Forklift Leasing, Equipment Loans, Fleet Financing, Asset Remarketing"/>
  </r>
  <r>
    <n v="130400"/>
    <x v="0"/>
    <x v="41"/>
    <s v="RENT"/>
    <s v="900 WILSHIRE BLVD;STE 2400;LOS ANGELES CA 90017-4701;USA"/>
    <s v="USD"/>
    <x v="41"/>
    <x v="8"/>
    <x v="28"/>
    <s v="Real Estate Investment, Property Management"/>
  </r>
  <r>
    <n v="120598"/>
    <x v="0"/>
    <x v="42"/>
    <s v="RENT"/>
    <s v="3010 Old Ranch Pkwy;Suite 470;Seal Beach CA 90740-2764;USA"/>
    <s v="USD"/>
    <x v="42"/>
    <x v="8"/>
    <x v="28"/>
    <s v="Real Estate, Property Management"/>
  </r>
  <r>
    <n v="128100"/>
    <x v="0"/>
    <x v="43"/>
    <s v="FRGT"/>
    <s v="4250 Creek Rd;Cincinnati OH 45241-2956;USA"/>
    <s v="USD"/>
    <x v="43"/>
    <x v="2"/>
    <x v="24"/>
    <s v="Trucking, Supply Chain, Warehousing, Freight Brokerage"/>
  </r>
  <r>
    <n v="141947"/>
    <x v="0"/>
    <x v="44"/>
    <s v="RENT"/>
    <s v="101 MONTGOMERY ST;STE 200;SAN FRANCISCO CA 94104-4151;USA"/>
    <s v="USD"/>
    <x v="44"/>
    <x v="8"/>
    <x v="33"/>
    <s v="Industrial Property, Warehouse, Distribution, Logistics Real Estate, Net Lease"/>
  </r>
  <r>
    <n v="144898"/>
    <x v="0"/>
    <x v="45"/>
    <s v="RENT"/>
    <s v="PO Box 209233;Austin TX 78720;USA"/>
    <s v="USD"/>
    <x v="45"/>
    <x v="8"/>
    <x v="28"/>
    <s v="Real Estate, Property Management"/>
  </r>
  <r>
    <n v="143344"/>
    <x v="0"/>
    <x v="26"/>
    <s v="RENT"/>
    <s v="1800 Wazee Street;Suite 500;Denver CO 80202;USA"/>
    <s v="USD"/>
    <x v="46"/>
    <x v="8"/>
    <x v="22"/>
    <s v="Industrial Real Estate, Warehouse, Distribution, REIT Operations"/>
  </r>
  <r>
    <n v="129672"/>
    <x v="0"/>
    <x v="46"/>
    <s v="RENT"/>
    <s v="130 Vantis Dr;Ste 200;Aliso Viejo CA 92656-2691;USA"/>
    <s v="USD"/>
    <x v="47"/>
    <x v="8"/>
    <x v="28"/>
    <s v="Real Estate, Business Park, Property Management"/>
  </r>
  <r>
    <n v="100035"/>
    <x v="0"/>
    <x v="47"/>
    <s v="MARKETING"/>
    <s v="15351 Roosevelt Blvd;Clearwater FL 33760 3534;USA"/>
    <s v="USD"/>
    <x v="48"/>
    <x v="1"/>
    <x v="1"/>
    <s v="Advertising, Branding, Media Planning, Digital Marketing, Creative Services"/>
  </r>
  <r>
    <n v="114680"/>
    <x v="0"/>
    <x v="48"/>
    <s v="RENT"/>
    <s v="11620 Wilshire Blvd;Suite 1000;Los Angeles CA 90025-1706;USA"/>
    <s v="USD"/>
    <x v="49"/>
    <x v="8"/>
    <x v="22"/>
    <s v="Industrial Property Acquisition, Warehouse Development, REIT Operations, Leasing"/>
  </r>
  <r>
    <n v="102740"/>
    <x v="0"/>
    <x v="49"/>
    <s v="FRGT"/>
    <s v="PO BOX 405828;Atlanta GA 30384-5828;USA"/>
    <s v="USD"/>
    <x v="50"/>
    <x v="2"/>
    <x v="2"/>
    <s v="Flatbed Trucking, Specialized Freight, Heavy Haul, Logistics"/>
  </r>
  <r>
    <n v="121727"/>
    <x v="0"/>
    <x v="50"/>
    <s v="FRGT"/>
    <s v="301 W Indiana Ave;Bonifay FL 32425-1952;USA"/>
    <s v="USD"/>
    <x v="51"/>
    <x v="2"/>
    <x v="2"/>
    <s v="Trucking, Hotshot Delivery, Flatbed Hauling"/>
  </r>
  <r>
    <n v="143065"/>
    <x v="0"/>
    <x v="51"/>
    <s v="FRGT"/>
    <s v="PO Box 675297;Detroit MI 48267;USA"/>
    <s v="USD"/>
    <x v="52"/>
    <x v="2"/>
    <x v="19"/>
    <s v="Truckload Shipping, LTL, Intermodal, Third-Party Logistics (3PL)"/>
  </r>
  <r>
    <n v="111473"/>
    <x v="0"/>
    <x v="52"/>
    <s v="TRAD"/>
    <s v="3702 Paysphere Circle;Chicago IL 60674;USA"/>
    <s v="USD"/>
    <x v="53"/>
    <x v="5"/>
    <x v="34"/>
    <s v="Life Insurance, Annuities, Employee Benefits, Retirement Plans"/>
  </r>
  <r>
    <n v="149799"/>
    <x v="0"/>
    <x v="53"/>
    <s v="RENT"/>
    <s v="277 Park Avenue, 9th Floor;New York NY 10172;USA"/>
    <s v="USD"/>
    <x v="54"/>
    <x v="8"/>
    <x v="35"/>
    <s v="Commercial Real Estate, Property Investment, Asset Management"/>
  </r>
  <r>
    <n v="150482"/>
    <x v="0"/>
    <x v="54"/>
    <s v="TRAD"/>
    <s v="245 SUMMER ST;BOSTON MA 02210-1133;USA"/>
    <s v="USD"/>
    <x v="55"/>
    <x v="0"/>
    <x v="36"/>
    <s v="Brokerage Clearing, Custody, Execution Services, Investment Platform"/>
  </r>
  <r>
    <n v="104076"/>
    <x v="0"/>
    <x v="55"/>
    <s v="TRAD"/>
    <s v="PO Box 74008435;Chicago IL 60674-8435;USA"/>
    <s v="USD"/>
    <x v="56"/>
    <x v="11"/>
    <x v="37"/>
    <s v="Forklifts, Reach Trucks, Pallet Jacks, Parts, Service, Material Handling"/>
  </r>
  <r>
    <n v="103333"/>
    <x v="0"/>
    <x v="56"/>
    <s v="TRAD"/>
    <s v="PO Box 639990;Cincinnati OH 45263-9990;USA"/>
    <s v="USD"/>
    <x v="57"/>
    <x v="8"/>
    <x v="28"/>
    <s v="Real Estate, Property Management, Asset Management"/>
  </r>
  <r>
    <n v="116356"/>
    <x v="0"/>
    <x v="57"/>
    <s v="RENT"/>
    <s v="2101 Woodside Rd;Woodside CA 94062-1110;USA"/>
    <s v="USD"/>
    <x v="58"/>
    <x v="8"/>
    <x v="28"/>
    <s v="Real Estate, Business Park, Property Management"/>
  </r>
  <r>
    <n v="129283"/>
    <x v="0"/>
    <x v="58"/>
    <s v="TRAD"/>
    <s v="FILE 2361;1801 W Olympic Blvd;Pasadena CA 91199-0001;USA"/>
    <s v="USD"/>
    <x v="59"/>
    <x v="6"/>
    <x v="38"/>
    <s v="Intelligent Virtual Agent, Workforce Optimization, Omnichannel Engagement, AI Analytics"/>
  </r>
  <r>
    <n v="128082"/>
    <x v="0"/>
    <x v="59"/>
    <s v="BROKER"/>
    <s v="PO Box 511423;Los Angeles CA 90051-7978;USA"/>
    <s v="USD"/>
    <x v="60"/>
    <x v="2"/>
    <x v="39"/>
    <s v="Freight Brokerage, Logistics Coordination, Carrier Management"/>
  </r>
  <r>
    <n v="144405"/>
    <x v="0"/>
    <x v="60"/>
    <s v="RENT"/>
    <s v="233 S WACKER DR;STE 4700;CHICAGO IL 60606-7147;USA"/>
    <s v="USD"/>
    <x v="61"/>
    <x v="8"/>
    <x v="28"/>
    <s v="Industrial Parks, Office Space, Flex Space, Property Management"/>
  </r>
  <r>
    <n v="102979"/>
    <x v="0"/>
    <x v="61"/>
    <s v="TRAD"/>
    <s v="6000 WINDWARD PKWY;ALPHARETTA GA 30005-4181;USA"/>
    <s v="USD"/>
    <x v="62"/>
    <x v="3"/>
    <x v="40"/>
    <s v="Truck Rental, Leasing, Fleet Maintenance, Used Trucks"/>
  </r>
  <r>
    <n v="131910"/>
    <x v="0"/>
    <x v="62"/>
    <s v="TRAD"/>
    <s v="379 Thornall St;Edison NJ 08837-2225;USA"/>
    <s v="USD"/>
    <x v="63"/>
    <x v="7"/>
    <x v="41"/>
    <s v="IT Consulting, Cloud Migration, Digital Transformation, Software Development, AI/ML, Cybersecurity"/>
  </r>
  <r>
    <n v="127114"/>
    <x v="0"/>
    <x v="63"/>
    <s v="RENT"/>
    <s v="PO Box 735124;PPF Industrial 1300 SW 32nd Court LLC;735124 Network Place;Chicago IL 60673-5124;USA"/>
    <s v="USD"/>
    <x v="64"/>
    <x v="8"/>
    <x v="28"/>
    <s v="Real Estate, Property Management"/>
  </r>
  <r>
    <n v="141140"/>
    <x v="0"/>
    <x v="64"/>
    <s v="RENT"/>
    <s v="3347 Michelson Drive;Suite 200;Irvine CA 92612;USA"/>
    <s v="USD"/>
    <x v="65"/>
    <x v="8"/>
    <x v="28"/>
    <s v="Real Estate, Property Management"/>
  </r>
  <r>
    <n v="142746"/>
    <x v="0"/>
    <x v="65"/>
    <s v="TRAD"/>
    <s v="5 Edgell Road;Suite 20;Framingham MA 01701;USA"/>
    <s v="USD"/>
    <x v="66"/>
    <x v="7"/>
    <x v="42"/>
    <s v="Digital Strategy, CRM Consulting, Email Marketing, Marketing Automation"/>
  </r>
  <r>
    <n v="148130"/>
    <x v="0"/>
    <x v="66"/>
    <s v="FRGT"/>
    <s v="12620 BEACH BLVD;Ste 3-280;JACKSONVILLE FL 32246-7131;USA"/>
    <s v="USD"/>
    <x v="67"/>
    <x v="2"/>
    <x v="24"/>
    <s v="Freight Brokerage, Global Shipping, Supply Chain Management"/>
  </r>
  <r>
    <n v="150239"/>
    <x v="0"/>
    <x v="67"/>
    <s v="RENT"/>
    <s v="3347 Michelson Drive,;Suite 200;Irvine CA 92612;USA"/>
    <s v="USD"/>
    <x v="68"/>
    <x v="8"/>
    <x v="28"/>
    <s v="Real Estate Investment, Property Management"/>
  </r>
  <r>
    <n v="150700"/>
    <x v="0"/>
    <x v="68"/>
    <s v="FRGT"/>
    <s v="4557 MONTGOMERY RD;RM 200;CINCINNATI OH 45212-3100;USA"/>
    <s v="USD"/>
    <x v="69"/>
    <x v="2"/>
    <x v="2"/>
    <s v="Truckload, LTL, Logistics, Freight Brokerage, Supply Chain"/>
  </r>
  <r>
    <n v="102968"/>
    <x v="0"/>
    <x v="69"/>
    <s v="TRAD"/>
    <s v="TRAVEL MANAGEMENT SERVICES;PO BOX 360001;Ft Lauderdale FL 33336;USA"/>
    <s v="USD"/>
    <x v="70"/>
    <x v="4"/>
    <x v="43"/>
    <s v="Expense Management, Travel Rewards, Business Credit Cards, Membership Rewards"/>
  </r>
  <r>
    <n v="130567"/>
    <x v="0"/>
    <x v="70"/>
    <s v="RENT"/>
    <s v="3348 Paradise Dr;Belvedere Tiburon CA 94920-1213;USA"/>
    <s v="USD"/>
    <x v="71"/>
    <x v="8"/>
    <x v="28"/>
    <s v="Real Estate, Property Management"/>
  </r>
  <r>
    <n v="129286"/>
    <x v="0"/>
    <x v="71"/>
    <s v="TRAD"/>
    <s v="5456 NW 44th Way;Coconut Creek FL 33073-5025;USA"/>
    <s v="USD"/>
    <x v="72"/>
    <x v="10"/>
    <x v="44"/>
    <s v="Construction, Maintenance, Building Services"/>
  </r>
  <r>
    <n v="140525"/>
    <x v="0"/>
    <x v="72"/>
    <s v="FRGT"/>
    <s v="201 N Elizabeth St;Lima OH 45050;USA"/>
    <s v="USD"/>
    <x v="73"/>
    <x v="3"/>
    <x v="45"/>
    <s v="Truckload Shipping, LTL, Freight Brokerage, Logistics"/>
  </r>
  <r>
    <n v="140829"/>
    <x v="0"/>
    <x v="73"/>
    <s v="RENT"/>
    <s v="Po Box 95534;Grapevine TX 76099;USA"/>
    <s v="USD"/>
    <x v="74"/>
    <x v="8"/>
    <x v="28"/>
    <s v="Real Estate, Property Management"/>
  </r>
  <r>
    <n v="122010"/>
    <x v="0"/>
    <x v="74"/>
    <s v="RENT"/>
    <s v="687 Old Willets Path;Hauppauge NY 11788-4118;USA"/>
    <s v="USD"/>
    <x v="75"/>
    <x v="8"/>
    <x v="28"/>
    <s v="Real Estate, Property Management"/>
  </r>
  <r>
    <n v="146049"/>
    <x v="0"/>
    <x v="75"/>
    <s v="RENT"/>
    <s v="733 Turnpike Street;Route 114;North Andover MA 01845;USA"/>
    <s v="USD"/>
    <x v="76"/>
    <x v="8"/>
    <x v="28"/>
    <s v="Real Estate, Industrial Property, Property Management"/>
  </r>
  <r>
    <n v="108815"/>
    <x v="0"/>
    <x v="76"/>
    <s v="FRGT"/>
    <s v="1017 N Riverside Ave;Ste 107;Medford OR 97501 4692;USA"/>
    <s v="USD"/>
    <x v="77"/>
    <x v="2"/>
    <x v="39"/>
    <s v="Load Scheduling, Trucking, LTL Shipping"/>
  </r>
  <r>
    <n v="144944"/>
    <x v="0"/>
    <x v="77"/>
    <s v="TRAD"/>
    <s v="500 New Karner Road;Albany NY 12205;USA"/>
    <s v="USD"/>
    <x v="78"/>
    <x v="3"/>
    <x v="46"/>
    <s v="Toll Consolidation, Transponder Services, Fleet Analytics, Violation Management"/>
  </r>
  <r>
    <n v="112710"/>
    <x v="0"/>
    <x v="78"/>
    <s v="RENT"/>
    <s v="Attn: Tim Studer;300 W Pratt St ;Ste 520;Baltimore MD 21201-6500;USA"/>
    <s v="USD"/>
    <x v="79"/>
    <x v="8"/>
    <x v="28"/>
    <s v="Real Estate Investment, Property Management, Commercial Leasing"/>
  </r>
  <r>
    <n v="141473"/>
    <x v="0"/>
    <x v="79"/>
    <s v="FRGT"/>
    <s v="1824 Route 38;Lumberton NJ 08048;USA"/>
    <s v="USD"/>
    <x v="80"/>
    <x v="3"/>
    <x v="20"/>
    <s v="Dedicated Fleet, Truckload Shipping, Logistics, Transportation"/>
  </r>
  <r>
    <n v="150263"/>
    <x v="0"/>
    <x v="80"/>
    <s v="RENT"/>
    <s v="2300 N. Field Street, Suite 1200;Dallas TX 75201;USA"/>
    <s v="USD"/>
    <x v="81"/>
    <x v="8"/>
    <x v="28"/>
    <s v="Real Estate Investment, Property Management, Office/Commercial Space"/>
  </r>
  <r>
    <n v="132292"/>
    <x v="0"/>
    <x v="81"/>
    <s v="RENT"/>
    <s v="280 Daines St;Ste 300;Birmingham MI 48009-6243;USA"/>
    <s v="USD"/>
    <x v="82"/>
    <x v="8"/>
    <x v="28"/>
    <s v="Real Estate, Property Management"/>
  </r>
  <r>
    <n v="108900"/>
    <x v="0"/>
    <x v="82"/>
    <s v="RENT"/>
    <s v="13191 Crossroads Pkwy N;Fl 6;La Puente CA 91746 3421;USA"/>
    <s v="USD"/>
    <x v="83"/>
    <x v="8"/>
    <x v="47"/>
    <s v="Industrial Properties, Office Space, Retail Space, Property Management"/>
  </r>
  <r>
    <n v="142206"/>
    <x v="0"/>
    <x v="83"/>
    <s v="RENT"/>
    <s v="c/o Mandlebaum &amp; Mandlebaum;354 Eisenhower Parkway;Suite 1900;Livingston NJ 07039;USA"/>
    <s v="USD"/>
    <x v="84"/>
    <x v="8"/>
    <x v="28"/>
    <s v="Industrial Real Estate, Business Park Space"/>
  </r>
  <r>
    <s v="000558"/>
    <x v="0"/>
    <x v="84"/>
    <s v="RENT"/>
    <s v="6205-B Airport Rd 5th Floor;Mississauga ON L4V 1E3;CAN"/>
    <s v="CAD"/>
    <x v="85"/>
    <x v="8"/>
    <x v="28"/>
    <s v="Industrial Real Estate, Office Space, Property Development"/>
  </r>
  <r>
    <n v="146218"/>
    <x v="0"/>
    <x v="85"/>
    <s v="RENT"/>
    <s v="405 E Marsh Lane;Suite 1;Newport DE 19804;USA"/>
    <s v="USD"/>
    <x v="86"/>
    <x v="8"/>
    <x v="28"/>
    <s v="Real Estate, Property Management"/>
  </r>
  <r>
    <n v="140041"/>
    <x v="0"/>
    <x v="86"/>
    <s v="RENT"/>
    <s v="101 W ELM ST;Suite 600;CONSHOHOCKEN PA 19428-2075;USA"/>
    <s v="USD"/>
    <x v="87"/>
    <x v="8"/>
    <x v="28"/>
    <s v="Real Estate Investment, Property Management"/>
  </r>
  <r>
    <n v="113911"/>
    <x v="0"/>
    <x v="87"/>
    <s v="LEGAL"/>
    <s v="Attn: Treaury Dept/Rm 2021;125 Broad Street;New York NY 10004;USA"/>
    <s v="USD"/>
    <x v="88"/>
    <x v="12"/>
    <x v="48"/>
    <s v="M&amp;A, Capital Markets, Securities, Litigation, Financial Restructuring, Tax, IP, Real Estate"/>
  </r>
  <r>
    <n v="150422"/>
    <x v="0"/>
    <x v="88"/>
    <s v="TRAD"/>
    <s v="6733 Mississauga Rd, Suite 310 ;Mississauga ON L5N 6J5;CAN"/>
    <s v="CAD"/>
    <x v="89"/>
    <x v="3"/>
    <x v="49"/>
    <s v="Fleet Leasing, Fleet Management, Driver Solutions, Vehicle Remarketing, Fleet Analytics"/>
  </r>
  <r>
    <n v="150283"/>
    <x v="0"/>
    <x v="89"/>
    <s v="TRAD"/>
    <s v="201 Washington St,;One Boston Pl, Suite 3301;BOSTON MA 02108-4407;USA"/>
    <s v="USD"/>
    <x v="90"/>
    <x v="7"/>
    <x v="50"/>
    <s v="Revenue Growth, Commercial Strategy, Pricing Optimization, M&amp;A Advisory, Market Entry Strategy"/>
  </r>
  <r>
    <n v="106343"/>
    <x v="0"/>
    <x v="90"/>
    <s v="RENT"/>
    <s v="PO Box 75917;Baltimore MD 21275-5917;USA"/>
    <s v="USD"/>
    <x v="91"/>
    <x v="8"/>
    <x v="28"/>
    <s v="Real Estate, Property Management"/>
  </r>
  <r>
    <n v="144855"/>
    <x v="0"/>
    <x v="91"/>
    <s v="TRAD"/>
    <s v="PO Box 3789;Portland OR 97208;USA"/>
    <s v="USD"/>
    <x v="92"/>
    <x v="5"/>
    <x v="51"/>
    <s v="Life Insurance, Disability Insurance, Dental, Vision, Retirement Plans, Absence Management"/>
  </r>
  <r>
    <n v="130035"/>
    <x v="0"/>
    <x v="92"/>
    <s v="TRAD"/>
    <s v="1900 RESTON METRO PLZ; Suite 701;RESTON VA 20190-5218;USA"/>
    <s v="USD"/>
    <x v="93"/>
    <x v="7"/>
    <x v="52"/>
    <s v="Cloud Security, Identity &amp; Access Management, Endpoint Security, Incident Response, Network Security, Managed Security"/>
  </r>
  <r>
    <n v="118550"/>
    <x v="0"/>
    <x v="93"/>
    <s v="RENT"/>
    <s v="687 Old Willets Path;Suite C;Hauppauge NY 11788-4118;USA"/>
    <s v="USD"/>
    <x v="94"/>
    <x v="8"/>
    <x v="28"/>
    <s v="Industrial Real Estate, Distribution Facilities"/>
  </r>
  <r>
    <n v="150449"/>
    <x v="0"/>
    <x v="94"/>
    <s v="BENEFITS"/>
    <s v="151 FARMINGTON AVE;HARTFORD CT 06156-0001;USA"/>
    <s v="USD"/>
    <x v="95"/>
    <x v="5"/>
    <x v="53"/>
    <s v="Medical Plans, Dental, Vision, Wellness Programs"/>
  </r>
  <r>
    <n v="123744"/>
    <x v="0"/>
    <x v="95"/>
    <s v="FRGT"/>
    <s v="PO Box 654371;Dallas TX 75265;USA"/>
    <s v="USD"/>
    <x v="96"/>
    <x v="2"/>
    <x v="19"/>
    <s v="LTL, Truckload, Intermodal, Temperature-Controlled, Supply Chain Solutions"/>
  </r>
  <r>
    <n v="142551"/>
    <x v="0"/>
    <x v="96"/>
    <s v="RENT"/>
    <s v="1250 Kapiolani Blvd.;Honolulu HI 96814;USA"/>
    <s v="USD"/>
    <x v="97"/>
    <x v="8"/>
    <x v="28"/>
    <s v="Industrial Real Estate, Logistics Facilities, Warehouse Space"/>
  </r>
  <r>
    <n v="145905"/>
    <x v="0"/>
    <x v="97"/>
    <s v="TRAD"/>
    <s v="PO Box 74007043;Chicago IL 60674;USA"/>
    <s v="USD"/>
    <x v="98"/>
    <x v="7"/>
    <x v="54"/>
    <s v="Management Consulting, Advisory Services, CFO"/>
  </r>
  <r>
    <n v="146212"/>
    <x v="0"/>
    <x v="98"/>
    <s v="RENT"/>
    <s v="7315 Wisconsin Ave;Suite 350W;Bethesda MD 20814;USA"/>
    <s v="USD"/>
    <x v="99"/>
    <x v="8"/>
    <x v="28"/>
    <s v="Real Estate Investment, Property Management"/>
  </r>
  <r>
    <n v="128162"/>
    <x v="0"/>
    <x v="99"/>
    <s v="TRAD"/>
    <s v="411 1ST AVE S;STE 501;SEATTLE WA 98104-2860;USA"/>
    <s v="USD"/>
    <x v="100"/>
    <x v="13"/>
    <x v="55"/>
    <s v="Corporate Relocation, Household Goods Moving, Destination Services"/>
  </r>
  <r>
    <n v="130479"/>
    <x v="0"/>
    <x v="100"/>
    <s v="TRAD"/>
    <s v="650 N State St;York PA 17403-1032;USA"/>
    <s v="USD"/>
    <x v="101"/>
    <x v="4"/>
    <x v="56"/>
    <s v="Hydraulic &amp; Pneumatic Systems, Automation, Robotics, Electromechanical Solutions"/>
  </r>
  <r>
    <n v="145332"/>
    <x v="0"/>
    <x v="101"/>
    <s v="FRGT"/>
    <s v="119 Fairfield Avenue;Suite 410;Bellevue KY 41073;USA"/>
    <s v="USD"/>
    <x v="102"/>
    <x v="2"/>
    <x v="19"/>
    <s v="Truckload, LTL, Expedited Freight, Supply Chain Solutions"/>
  </r>
  <r>
    <n v="121707"/>
    <x v="0"/>
    <x v="102"/>
    <s v="FRGT"/>
    <s v="5000-18 Hwy 17 S ;#263;Fleming Island FL 32003;USA"/>
    <s v="USD"/>
    <x v="103"/>
    <x v="2"/>
    <x v="24"/>
    <s v="Freight Brokerage, Trucking, Transportation, Expedited Delivery"/>
  </r>
  <r>
    <n v="115525"/>
    <x v="0"/>
    <x v="103"/>
    <s v="RENT"/>
    <s v="PO Box 1296;Jacksonville IL 62651-1296;USA"/>
    <s v="USD"/>
    <x v="104"/>
    <x v="8"/>
    <x v="28"/>
    <s v="Real Estate Investment, Property Management"/>
  </r>
  <r>
    <n v="109756"/>
    <x v="0"/>
    <x v="104"/>
    <s v="TRAD"/>
    <s v="No. 19 Cheng Xi Ave;Jingjiang City;Jiangsu Province;Peoples Republic of China 214500;USA"/>
    <s v="USD"/>
    <x v="105"/>
    <x v="4"/>
    <x v="57"/>
    <s v="Precision Metal Parts, Forging, Machining, Industrial Components"/>
  </r>
  <r>
    <s v="000936"/>
    <x v="0"/>
    <x v="105"/>
    <s v="RENT"/>
    <s v="1030, 355-4th Avenue SW Calgary Place;Calgary AB T2P 0J1;CAN"/>
    <s v="CAD"/>
    <x v="106"/>
    <x v="8"/>
    <x v="28"/>
    <s v="Real Estate, Property Management"/>
  </r>
  <r>
    <n v="125754"/>
    <x v="0"/>
    <x v="106"/>
    <s v="RENT"/>
    <s v="C/O WS Development Assoc.;33 Boylston ST. Ste. 3000;Chestnut Hill MA 02467;USA"/>
    <s v="USD"/>
    <x v="107"/>
    <x v="8"/>
    <x v="28"/>
    <s v="Retail Real Estate, Mixed-Use Development, Property Management"/>
  </r>
  <r>
    <n v="144981"/>
    <x v="0"/>
    <x v="107"/>
    <s v="RENT"/>
    <s v="555 Capitol Mall;Suite 900;Sacramento CA 95814;USA"/>
    <s v="USD"/>
    <x v="108"/>
    <x v="8"/>
    <x v="28"/>
    <s v="Real Estate Investment, Property Management"/>
  </r>
  <r>
    <n v="132018"/>
    <x v="0"/>
    <x v="108"/>
    <s v="TRAD"/>
    <s v="PO Box 930953;Atlanta GA 31193-0953;USA"/>
    <s v="USD"/>
    <x v="109"/>
    <x v="6"/>
    <x v="58"/>
    <s v="Payroll, HR, Talent Management, Workforce Analytics, Time &amp; Attendance, Benefits Admin"/>
  </r>
  <r>
    <n v="131381"/>
    <x v="0"/>
    <x v="109"/>
    <s v="RENT"/>
    <s v="PO Box 743130;Los Angeles CA 90074-3130;USA"/>
    <s v="USD"/>
    <x v="110"/>
    <x v="8"/>
    <x v="28"/>
    <s v="Real Estate, Property Management"/>
  </r>
  <r>
    <n v="147720"/>
    <x v="0"/>
    <x v="110"/>
    <s v="RENT"/>
    <s v="11044 Research Blvd;Ste D-110;Austin TX 78759;USA"/>
    <s v="USD"/>
    <x v="111"/>
    <x v="8"/>
    <x v="28"/>
    <s v="Real Estate Investment, Property Management"/>
  </r>
  <r>
    <n v="102720"/>
    <x v="0"/>
    <x v="111"/>
    <s v="FRGT"/>
    <s v="14507 Frontier Rd;Omaha NE 68138-3808;USA"/>
    <s v="USD"/>
    <x v="112"/>
    <x v="2"/>
    <x v="2"/>
    <s v="Truckload, Dedicated, Intermodal, Logistics, Freight Management, Fleet Services"/>
  </r>
  <r>
    <n v="129788"/>
    <x v="0"/>
    <x v="112"/>
    <s v="RENT"/>
    <s v="11980 NE 24th St;Suite 200;Bellevue WA 98005-1516;USA"/>
    <s v="USD"/>
    <x v="113"/>
    <x v="8"/>
    <x v="28"/>
    <s v="Real Estate, Property Management"/>
  </r>
  <r>
    <n v="132155"/>
    <x v="0"/>
    <x v="113"/>
    <s v="TRAD"/>
    <s v="433 W Van Buren St;STE 1100-B;Chicago IL 60607;USA"/>
    <s v="USD"/>
    <x v="114"/>
    <x v="7"/>
    <x v="59"/>
    <s v="AI Agent Development, Cloud Migration, Platform Deployment, LangChain, Software Consulting"/>
  </r>
  <r>
    <n v="123317"/>
    <x v="0"/>
    <x v="114"/>
    <s v="RENT"/>
    <s v="205 Mill Rd;Edison NJ 08837-3801;USA"/>
    <s v="USD"/>
    <x v="115"/>
    <x v="8"/>
    <x v="28"/>
    <s v="Real Estate, Property Management"/>
  </r>
  <r>
    <n v="150149"/>
    <x v="0"/>
    <x v="115"/>
    <s v="RENT"/>
    <s v="1600 S Airport Dr Ste 100;Mc Kinney TX 75069;USA"/>
    <s v="USD"/>
    <x v="116"/>
    <x v="8"/>
    <x v="28"/>
    <s v="Real Estate, Property Management"/>
  </r>
  <r>
    <n v="104039"/>
    <x v="0"/>
    <x v="116"/>
    <s v="TRAD"/>
    <s v="Attn: Tiffany Thompson;FA-C-AR/CONCESSION UNIT;3911 S WALTON WALKER BLVD;Dallas TX 75236-1598;USA"/>
    <s v="USD"/>
    <x v="117"/>
    <x v="14"/>
    <x v="60"/>
    <s v="Tax-Free Shopping, E-Commerce, Military Family Support"/>
  </r>
  <r>
    <n v="140845"/>
    <x v="0"/>
    <x v="117"/>
    <s v="RENT"/>
    <s v="730 Arcady Rd;Santa Barbara CA 93108;USA"/>
    <s v="USD"/>
    <x v="118"/>
    <x v="8"/>
    <x v="28"/>
    <s v="Real Estate, Property Management"/>
  </r>
  <r>
    <n v="105364"/>
    <x v="0"/>
    <x v="118"/>
    <s v="RENT"/>
    <s v="PO Box 932251;Cleveland OH 44193-0010;USA"/>
    <s v="USD"/>
    <x v="119"/>
    <x v="8"/>
    <x v="28"/>
    <s v="Industrial Real Estate, Distribution/Warehouse Facilities"/>
  </r>
  <r>
    <n v="132291"/>
    <x v="0"/>
    <x v="119"/>
    <s v="RENT"/>
    <s v="280 Daines St;Ste 300;Birmingham MI 48009-6243;USA"/>
    <s v="USD"/>
    <x v="120"/>
    <x v="8"/>
    <x v="28"/>
    <s v="Warehouse Space, Industrial Real Estate"/>
  </r>
  <r>
    <n v="103741"/>
    <x v="0"/>
    <x v="120"/>
    <s v="TRAD"/>
    <s v="PO BOX 198531;Atlanta GA 30384-8531;USA"/>
    <s v="USD"/>
    <x v="121"/>
    <x v="15"/>
    <x v="61"/>
    <s v="Manufacturing Staffing, Construction, Engineering, Logistics"/>
  </r>
  <r>
    <n v="147333"/>
    <x v="0"/>
    <x v="121"/>
    <s v="RENT"/>
    <s v="101 Ygnacio Valley Rd;Walnut Creek CA 94596;USA"/>
    <s v="USD"/>
    <x v="122"/>
    <x v="8"/>
    <x v="28"/>
    <s v="Real Estate, Property Management"/>
  </r>
  <r>
    <n v="150291"/>
    <x v="0"/>
    <x v="122"/>
    <s v="TRAD"/>
    <s v="International Tech Park,;7th Floor, Vega Block, ; Software Units Layout, Madhapur;Plot No. 17,;Madhapur, Hyderabad - 500081;IND"/>
    <s v="USD"/>
    <x v="123"/>
    <x v="6"/>
    <x v="62"/>
    <s v="Digital Assurance, Quality Engineering, Test Automation, Performance Testing, AI-Driven Testing"/>
  </r>
  <r>
    <n v="142146"/>
    <x v="1"/>
    <x v="123"/>
    <s v="RENT"/>
    <s v="c/o The Becker Organization;24 Church Street;Montclair NJ 07042;USA"/>
    <s v="USD"/>
    <x v="124"/>
    <x v="8"/>
    <x v="28"/>
    <s v="Self-Storage, Real Estate Investment, Property Management"/>
  </r>
  <r>
    <n v="105339"/>
    <x v="1"/>
    <x v="124"/>
    <s v="RENT"/>
    <s v="4706 18th Ave;Brooklyn NY 11204-1356;USA"/>
    <s v="USD"/>
    <x v="125"/>
    <x v="8"/>
    <x v="28"/>
    <s v="Real Estate, Property Management, Commercial Leasing"/>
  </r>
  <r>
    <n v="111755"/>
    <x v="1"/>
    <x v="125"/>
    <s v="FRGT"/>
    <s v="7800 NE 65th St;Vancouver WA 98662 4220;USA"/>
    <s v="USD"/>
    <x v="126"/>
    <x v="2"/>
    <x v="2"/>
    <s v="Trucking, LTL Shipping, Freight Hauling"/>
  </r>
  <r>
    <n v="115312"/>
    <x v="1"/>
    <x v="126"/>
    <s v="FRGT"/>
    <s v="ATS Logistics Services Inc;LBX 7130 PO Box 1450;Minneapolis MN 55485;USA"/>
    <s v="USD"/>
    <x v="127"/>
    <x v="2"/>
    <x v="2"/>
    <s v="Truckload, LTL, Dedicated Trucking, Logistics, Fleet Services"/>
  </r>
  <r>
    <n v="130042"/>
    <x v="1"/>
    <x v="127"/>
    <s v="FRGT"/>
    <s v="111 E. Wacker Drive, Ste 2500;Chicago IL 60601;USA"/>
    <s v="USD"/>
    <x v="128"/>
    <x v="2"/>
    <x v="2"/>
    <s v="Cross-Border Freight, Truckload, LTL, Intermodal, Logistics, Supply Chain"/>
  </r>
  <r>
    <n v="104423"/>
    <x v="1"/>
    <x v="128"/>
    <s v="FRGT"/>
    <s v="PO Box 68847;Indianapolis IN 46268 0847;USA"/>
    <s v="USD"/>
    <x v="129"/>
    <x v="2"/>
    <x v="19"/>
    <s v="Freight Brokerage, Truckload Shipping, LTL, Supply Chain Management"/>
  </r>
  <r>
    <n v="113592"/>
    <x v="1"/>
    <x v="129"/>
    <s v="RENT"/>
    <s v="3140 Peacekeeper Way;McClellan CA 95652-2508;USA"/>
    <s v="USD"/>
    <x v="130"/>
    <x v="8"/>
    <x v="28"/>
    <s v="Business Park, Industrial Real Estate, Property Management"/>
  </r>
  <r>
    <s v="000847"/>
    <x v="1"/>
    <x v="130"/>
    <s v="TRAD"/>
    <s v="CAN"/>
    <s v="CAD"/>
    <x v="131"/>
    <x v="8"/>
    <x v="63"/>
    <s v="Container Rental, Moving Storage, On-Site Storage"/>
  </r>
  <r>
    <n v="145411"/>
    <x v="1"/>
    <x v="131"/>
    <s v="TRAD"/>
    <s v="3200 Kirby Drive;Suite 600;Houston TX 77098;USA"/>
    <s v="USD"/>
    <x v="132"/>
    <x v="6"/>
    <x v="64"/>
    <s v="Revenue Management, Dynamic Pricing, Sales Effectiveness, CPQ, eCommerce"/>
  </r>
  <r>
    <n v="147416"/>
    <x v="1"/>
    <x v="132"/>
    <s v="TRAD"/>
    <s v="570 Lake Cook Rd ;Suite 406;Deerfield IL 60015;USA"/>
    <s v="USD"/>
    <x v="133"/>
    <x v="6"/>
    <x v="65"/>
    <s v="Product Configuration, Guided Selling, Commerce Engines, Quote Automation"/>
  </r>
  <r>
    <n v="103229"/>
    <x v="1"/>
    <x v="133"/>
    <s v="RENT"/>
    <s v="1722 Routh Street Ste 770;Dallas TX 75201-2535;USA"/>
    <s v="USD"/>
    <x v="134"/>
    <x v="8"/>
    <x v="28"/>
    <s v="Real Estate, Property Management"/>
  </r>
  <r>
    <n v="108895"/>
    <x v="1"/>
    <x v="134"/>
    <s v="RENT"/>
    <s v="Cushman &amp; Wakefield of CA Dept #tx6260;Rcci Inc. PO Box 511335;Los Angeles CA 90051;USA"/>
    <s v="USD"/>
    <x v="135"/>
    <x v="8"/>
    <x v="66"/>
    <s v="Property Management, Facility Services, Commercial Real Estate"/>
  </r>
  <r>
    <n v="118662"/>
    <x v="1"/>
    <x v="135"/>
    <s v="RENT"/>
    <s v="1505 S Redwood Rd;Salt Lake City UT 84104-5106;USA"/>
    <s v="USD"/>
    <x v="136"/>
    <x v="8"/>
    <x v="28"/>
    <s v="Real Estate, Property Management"/>
  </r>
  <r>
    <n v="131582"/>
    <x v="1"/>
    <x v="136"/>
    <s v="TRAD"/>
    <s v="po box 035184;Seattle WA 98124;USA"/>
    <s v="USD"/>
    <x v="137"/>
    <x v="4"/>
    <x v="67"/>
    <s v="Office Supplies, IT Equipment, Breakroom Supplies, Janitorial Supplies"/>
  </r>
  <r>
    <n v="107576"/>
    <x v="1"/>
    <x v="137"/>
    <s v="RENT"/>
    <s v="9810 S Dorchester Ave;Chicago IL 60628 1727;USA"/>
    <s v="USD"/>
    <x v="138"/>
    <x v="8"/>
    <x v="28"/>
    <s v="Real Estate, Property Management"/>
  </r>
  <r>
    <n v="113877"/>
    <x v="1"/>
    <x v="138"/>
    <s v="RENT"/>
    <s v="1717 McKinney Ave;STE 1900;Dallas TX 75202;USA"/>
    <s v="USD"/>
    <x v="139"/>
    <x v="8"/>
    <x v="28"/>
    <s v="Industrial Real Estate, Logistics Facilities, Warehouse Space"/>
  </r>
  <r>
    <n v="126593"/>
    <x v="1"/>
    <x v="139"/>
    <s v="TRAD"/>
    <s v="MSC 7573;PO Box 415000;Nashville TN 37241;USA"/>
    <s v="USD"/>
    <x v="140"/>
    <x v="16"/>
    <x v="68"/>
    <s v="HVAC Supplies, Refrigeration Parts, Equipment Wholesale"/>
  </r>
  <r>
    <n v="103418"/>
    <x v="1"/>
    <x v="140"/>
    <s v="RENT"/>
    <s v="C/O ONLINE DISTRIBUTING;14093 BALBOA BLVD UNIT A;Sylmar CA 91342;USA"/>
    <s v="USD"/>
    <x v="141"/>
    <x v="17"/>
    <x v="69"/>
    <s v="Professional Services"/>
  </r>
  <r>
    <n v="141739"/>
    <x v="1"/>
    <x v="141"/>
    <s v="RENT"/>
    <s v="687 Old Willets Path;Suite C;Hauppauge NY 11788;USA"/>
    <s v="USD"/>
    <x v="142"/>
    <x v="8"/>
    <x v="28"/>
    <s v="Real Estate, Property Management, Commercial Leasing"/>
  </r>
  <r>
    <n v="147153"/>
    <x v="1"/>
    <x v="142"/>
    <s v="RENT"/>
    <s v="3657 Briarpark Drive;Ste 300;Houston TX 77042;USA"/>
    <s v="USD"/>
    <x v="143"/>
    <x v="8"/>
    <x v="28"/>
    <s v="Real Estate, Property Management, Commercial Leasing"/>
  </r>
  <r>
    <n v="103047"/>
    <x v="1"/>
    <x v="143"/>
    <s v="UTIL"/>
    <s v="PO Box 660108;Dallas TX 75266 0108;USA"/>
    <s v="USD"/>
    <x v="144"/>
    <x v="18"/>
    <x v="70"/>
    <s v="Wireless Service, Mobile Plans, Data Plans, Business Wireless, IoT Connectivity"/>
  </r>
  <r>
    <n v="150425"/>
    <x v="1"/>
    <x v="144"/>
    <s v="TRAD"/>
    <s v="1 Hancock Street;Portland ME 04101;USA"/>
    <s v="CAD"/>
    <x v="145"/>
    <x v="4"/>
    <x v="10"/>
    <s v="Fleet Cards, Fuel Cards, Expense Management, Cross-Border Fueling"/>
  </r>
  <r>
    <n v="124988"/>
    <x v="1"/>
    <x v="145"/>
    <s v="TRAD"/>
    <s v="2909 Trudy Ln;Tampa FL 33611-4038;USA"/>
    <s v="USD"/>
    <x v="146"/>
    <x v="6"/>
    <x v="71"/>
    <s v="IT Consulting, Technology Solutions, Software Development"/>
  </r>
  <r>
    <n v="129929"/>
    <x v="1"/>
    <x v="146"/>
    <s v="RENT"/>
    <s v="600 University St;Suite 2305;Seattle WA 98101-1176;USA"/>
    <s v="USD"/>
    <x v="147"/>
    <x v="8"/>
    <x v="28"/>
    <s v="Real Estate, Property Management, Commercial Leasing"/>
  </r>
  <r>
    <n v="126759"/>
    <x v="1"/>
    <x v="147"/>
    <s v="RENT"/>
    <s v="687 Old Willets Path;Suite C;Hauppauge NY 11788-4118;USA"/>
    <s v="USD"/>
    <x v="148"/>
    <x v="8"/>
    <x v="28"/>
    <s v="Real Estate, Property Management"/>
  </r>
  <r>
    <n v="147932"/>
    <x v="1"/>
    <x v="148"/>
    <s v="RENT"/>
    <s v="8665 W Emerald Street;Suite 200;Boise ID 83704;USA"/>
    <s v="USD"/>
    <x v="149"/>
    <x v="8"/>
    <x v="28"/>
    <s v="Class A Industrial Properties, Build-to-Suit, Property Management"/>
  </r>
  <r>
    <n v="150385"/>
    <x v="1"/>
    <x v="149"/>
    <s v="FRGT"/>
    <s v="1085 SUMMER ST;CINCINNATI OH 45204-2037;USA"/>
    <s v="USD"/>
    <x v="150"/>
    <x v="2"/>
    <x v="24"/>
    <s v="Freight Brokerage, LTL Shipping, Truckload, Transportation Management"/>
  </r>
  <r>
    <n v="145091"/>
    <x v="1"/>
    <x v="150"/>
    <s v="RENT"/>
    <s v="c/o High Street Logistics;600 Unicorn Park Drive;Suite 208;Woburn MA 01801;USA"/>
    <s v="USD"/>
    <x v="151"/>
    <x v="8"/>
    <x v="28"/>
    <s v="Real Estate Investment, Property Management"/>
  </r>
  <r>
    <n v="115253"/>
    <x v="1"/>
    <x v="151"/>
    <s v="RENT"/>
    <s v="90 W Industry Ct;Deer Park NY 11729-4610;USA"/>
    <s v="USD"/>
    <x v="152"/>
    <x v="8"/>
    <x v="28"/>
    <s v="Real Estate, Property Management"/>
  </r>
  <r>
    <n v="102342"/>
    <x v="1"/>
    <x v="152"/>
    <s v="FRGT"/>
    <s v="PO Box 1015;Chesterton IN 46304 0015;USA"/>
    <s v="USD"/>
    <x v="153"/>
    <x v="2"/>
    <x v="24"/>
    <s v="Truckload, LTL, Logistics, Warehousing, Cross-Border Shipping"/>
  </r>
  <r>
    <n v="128947"/>
    <x v="1"/>
    <x v="153"/>
    <s v="TRAD"/>
    <s v="12020 Sunrise Valley Dr.;Suite 100;Reston VA 20191;USA"/>
    <s v="USD"/>
    <x v="154"/>
    <x v="15"/>
    <x v="72"/>
    <s v="IT Staff Augmentation, Software Development, Project Management"/>
  </r>
  <r>
    <n v="151098"/>
    <x v="1"/>
    <x v="154"/>
    <s v="RENT"/>
    <s v="c/o Alpha Industrial Properties,;19 North Green Street;Chicago IL 60607;USA"/>
    <s v="USD"/>
    <x v="155"/>
    <x v="8"/>
    <x v="28"/>
    <s v="Industrial Real Estate, Property Development"/>
  </r>
  <r>
    <n v="100538"/>
    <x v="1"/>
    <x v="155"/>
    <s v="TRAD"/>
    <s v="1740 E Powell Blvd;Gresham OR 97030 8044;USA"/>
    <s v="USD"/>
    <x v="156"/>
    <x v="4"/>
    <x v="73"/>
    <s v="Paints, Stains, Coatings, Color Matching, Painting Supplies"/>
  </r>
  <r>
    <n v="124778"/>
    <x v="1"/>
    <x v="156"/>
    <s v="TRAD"/>
    <s v="PO Box 733706;Dallas TX 75373-3706;USA"/>
    <s v="USD"/>
    <x v="157"/>
    <x v="19"/>
    <x v="74"/>
    <s v="Bulk Fuel Delivery, Fleet Fueling, Fuel Management, Renewable Energy"/>
  </r>
  <r>
    <n v="147355"/>
    <x v="1"/>
    <x v="157"/>
    <s v="RENT"/>
    <s v="1700 S MacDill Ave ;Suite 220;Tampa FL 33629;USA"/>
    <s v="USD"/>
    <x v="158"/>
    <x v="8"/>
    <x v="28"/>
    <s v="Real Estate, Property Management"/>
  </r>
  <r>
    <n v="143970"/>
    <x v="1"/>
    <x v="158"/>
    <s v="RENT"/>
    <s v="Exchange Tower, ;130 King Street West;Suite 1710, Po Box 486;Toronto ON M5X 1E5;CAN"/>
    <s v="CAD"/>
    <x v="159"/>
    <x v="8"/>
    <x v="66"/>
    <s v="Property Management, Brokerage, Appraisal, Investment Management"/>
  </r>
  <r>
    <n v="142693"/>
    <x v="1"/>
    <x v="159"/>
    <s v="RENT"/>
    <s v="3200 Gracie Kitz Lane;Suite 500;Austin TX 78758;USA"/>
    <s v="USD"/>
    <x v="160"/>
    <x v="8"/>
    <x v="28"/>
    <s v="Real Estate, Property Management"/>
  </r>
  <r>
    <s v="000640"/>
    <x v="1"/>
    <x v="160"/>
    <s v="RENT"/>
    <s v="2000 – 595 Burrard Street;Vancouver BC V6C 0E4;CAN"/>
    <s v="CAD"/>
    <x v="161"/>
    <x v="8"/>
    <x v="47"/>
    <s v="Commercial Real Estate, Industrial, Retail, Mixed-Use Development, Property Management"/>
  </r>
  <r>
    <s v="001348"/>
    <x v="1"/>
    <x v="161"/>
    <s v="RENT"/>
    <s v="50 Dufflaw Rd;Toronto ON M6A 2W1;CAN"/>
    <s v="CAD"/>
    <x v="162"/>
    <x v="8"/>
    <x v="28"/>
    <s v="Retail Real Estate, Fashion Retail Space"/>
  </r>
  <r>
    <n v="115419"/>
    <x v="1"/>
    <x v="162"/>
    <s v="TRAD"/>
    <s v="PO Box 642915;Pittsburgh PA 15264-2915;USA"/>
    <s v="USD"/>
    <x v="163"/>
    <x v="15"/>
    <x v="75"/>
    <s v="IT Staff Augmentation, Data Analytics, Cloud Services, AI/ML, Digital Learning"/>
  </r>
  <r>
    <n v="125166"/>
    <x v="1"/>
    <x v="163"/>
    <s v="BENEFITS"/>
    <s v="151 Farmington Ave;Hartford CT 06156;USA"/>
    <s v="USD"/>
    <x v="164"/>
    <x v="5"/>
    <x v="76"/>
    <s v="Life Insurance, Disability, Supplemental Coverage"/>
  </r>
  <r>
    <n v="127357"/>
    <x v="1"/>
    <x v="164"/>
    <s v="TRAD"/>
    <s v="5155 Paysphere Circle;Chicago IL 60674;USA"/>
    <s v="USD"/>
    <x v="165"/>
    <x v="0"/>
    <x v="77"/>
    <s v="Audit &amp; Assurance, Tax Advisory, Management Consulting, Risk Advisory, Financial Advisory, Technology Consulting"/>
  </r>
  <r>
    <n v="132077"/>
    <x v="1"/>
    <x v="165"/>
    <s v="RENT"/>
    <s v="17304 Preston Rd ;Suite 550;Dallas TX 75252;USA"/>
    <s v="USD"/>
    <x v="166"/>
    <x v="8"/>
    <x v="28"/>
    <s v="Industrial Real Estate, Logistics Center"/>
  </r>
  <r>
    <n v="132293"/>
    <x v="1"/>
    <x v="166"/>
    <s v="RENT"/>
    <s v="280 Daines St;Ste 300;Birmingham MI 48009-6243;USA"/>
    <s v="USD"/>
    <x v="167"/>
    <x v="8"/>
    <x v="28"/>
    <s v="Real Estate, Property Management"/>
  </r>
  <r>
    <n v="105934"/>
    <x v="1"/>
    <x v="167"/>
    <s v="UTIL"/>
    <s v="PO Box 371473;Pittsburgh PA 15250-7473;USA"/>
    <s v="USD"/>
    <x v="168"/>
    <x v="2"/>
    <x v="78"/>
    <s v="Tank Installation, Propane Delivery, Grill Tank Exchange, Commercial &amp; Residential"/>
  </r>
  <r>
    <n v="142157"/>
    <x v="1"/>
    <x v="168"/>
    <s v="RENT"/>
    <s v="600 Northlake Drive;Suite 130;Altamonte Springs FL 32701;USA"/>
    <s v="USD"/>
    <x v="169"/>
    <x v="8"/>
    <x v="28"/>
    <s v="Real Estate, Property Management"/>
  </r>
  <r>
    <n v="120299"/>
    <x v="1"/>
    <x v="169"/>
    <s v="RENT"/>
    <s v="687 Old Willets Path;Suite C;Hauppauge NY 11788-4118;USA"/>
    <s v="USD"/>
    <x v="170"/>
    <x v="8"/>
    <x v="28"/>
    <s v="Real Estate, Property Management"/>
  </r>
  <r>
    <n v="113342"/>
    <x v="1"/>
    <x v="170"/>
    <s v="RENT"/>
    <s v="PO Box 848138-66;Dallas TX 75284;USA"/>
    <s v="USD"/>
    <x v="171"/>
    <x v="8"/>
    <x v="28"/>
    <s v="Industrial Real Estate, Property Management"/>
  </r>
  <r>
    <n v="123090"/>
    <x v="1"/>
    <x v="171"/>
    <s v="RENT"/>
    <s v="280 Daines St;Suite 300;Birmingham MI 48009-6243;USA"/>
    <s v="USD"/>
    <x v="172"/>
    <x v="8"/>
    <x v="79"/>
    <s v="Warehousing, Distribution, Storage, Logistics, Inventory Management"/>
  </r>
  <r>
    <n v="120381"/>
    <x v="1"/>
    <x v="172"/>
    <s v="RENT"/>
    <s v="9402 150th St;Jamaica NY 11435-4525;USA"/>
    <s v="USD"/>
    <x v="173"/>
    <x v="8"/>
    <x v="28"/>
    <s v="Real Estate, Property Management"/>
  </r>
  <r>
    <n v="111430"/>
    <x v="1"/>
    <x v="173"/>
    <s v="TRAD"/>
    <s v="PO Box 69250;Baltimore MD 21264-9250;USA"/>
    <s v="USD"/>
    <x v="174"/>
    <x v="15"/>
    <x v="80"/>
    <s v="Driver Staffing, Temporary Staffing, Logistics, Workforce Management"/>
  </r>
  <r>
    <n v="129897"/>
    <x v="1"/>
    <x v="174"/>
    <s v="RENT"/>
    <s v="687 Old Willets Path;Suite C;Hauppauge NY 11788-4118;USA"/>
    <s v="USD"/>
    <x v="175"/>
    <x v="8"/>
    <x v="28"/>
    <s v="Real Estate, Property Management"/>
  </r>
  <r>
    <n v="141193"/>
    <x v="1"/>
    <x v="175"/>
    <s v="TRAD"/>
    <s v="211 Perimeter Center Parkway;Suite 275;Atlanta GA 30346;USA"/>
    <s v="USD"/>
    <x v="176"/>
    <x v="6"/>
    <x v="81"/>
    <s v="Cloud Software, AI/ML, API Integration, Web &amp; Mobile App Development, UX Design, Low-Code Solutions"/>
  </r>
  <r>
    <n v="145335"/>
    <x v="1"/>
    <x v="176"/>
    <s v="TRAD"/>
    <s v="PO Box 847467;Los Angeles CA 90084;USA"/>
    <s v="USD"/>
    <x v="177"/>
    <x v="7"/>
    <x v="82"/>
    <s v="Cloud Solutions, Data Center, Cybersecurity, AI/ML, Automation, Managed Services"/>
  </r>
  <r>
    <n v="126153"/>
    <x v="1"/>
    <x v="177"/>
    <s v="RENT"/>
    <s v="518 17th St;Ste 1700;Denver CO 80202-4130;USA"/>
    <s v="USD"/>
    <x v="178"/>
    <x v="8"/>
    <x v="28"/>
    <s v="Real Estate Investment, Property Management"/>
  </r>
  <r>
    <n v="127448"/>
    <x v="1"/>
    <x v="178"/>
    <s v="RENT"/>
    <s v="301 S College St;Suite 2800;Charlotte NC 28202-6000;USA"/>
    <s v="USD"/>
    <x v="179"/>
    <x v="8"/>
    <x v="28"/>
    <s v="Real Estate, Property Management"/>
  </r>
  <r>
    <s v="001355"/>
    <x v="1"/>
    <x v="179"/>
    <s v="RENT"/>
    <s v="20 MacDonald Ave;Dartmouth NS B3B 1C5;CAN"/>
    <s v="CAD"/>
    <x v="180"/>
    <x v="8"/>
    <x v="28"/>
    <s v="Real Estate, Property Management"/>
  </r>
  <r>
    <n v="100133"/>
    <x v="1"/>
    <x v="180"/>
    <s v="TRAD"/>
    <s v="PO Box 1286;Winona MN 55987 7286;USA"/>
    <s v="USD"/>
    <x v="181"/>
    <x v="11"/>
    <x v="83"/>
    <s v="Fasteners, Safety Products, Cutting Tools, Industrial Vending, Custom Manufacturing"/>
  </r>
  <r>
    <n v="116022"/>
    <x v="1"/>
    <x v="181"/>
    <s v="RENT"/>
    <s v="2066 Lord Baltimore Dr;Windsor Mill MD 21244-2501;USA"/>
    <s v="USD"/>
    <x v="182"/>
    <x v="8"/>
    <x v="28"/>
    <s v="Industrial Real Estate, Office Space, Property Management"/>
  </r>
  <r>
    <n v="116096"/>
    <x v="1"/>
    <x v="182"/>
    <s v="FRGT"/>
    <s v="503-7700 Hurontario Street Suite #10;Brampton ON L6Y 4M3;CAN"/>
    <s v="USD"/>
    <x v="183"/>
    <x v="2"/>
    <x v="84"/>
    <s v="International Freight, Customs Brokerage, Warehousing, Cross-Border Shipping, Supply Chain"/>
  </r>
  <r>
    <n v="131242"/>
    <x v="1"/>
    <x v="183"/>
    <s v="RENT"/>
    <s v="1101 SE Tech Center Dr;sTE 160;Vancouver WA 98683-5504;USA"/>
    <s v="USD"/>
    <x v="184"/>
    <x v="8"/>
    <x v="28"/>
    <s v="Real Estate, Property Management"/>
  </r>
  <r>
    <n v="127440"/>
    <x v="1"/>
    <x v="184"/>
    <s v="RENT"/>
    <s v="481 Carlisle Dr;Herndon VA 20170-4882;USA"/>
    <s v="USD"/>
    <x v="185"/>
    <x v="8"/>
    <x v="28"/>
    <s v="Real Estate, Property Management"/>
  </r>
  <r>
    <n v="131063"/>
    <x v="1"/>
    <x v="185"/>
    <s v="TRAD"/>
    <s v="3422 Schooner Ave;#8;Marina del Rey CA 90292-5782;USA"/>
    <s v="USD"/>
    <x v="186"/>
    <x v="10"/>
    <x v="85"/>
    <s v="Air Conditioning, Heating, Refrigeration, Building Automation, Fire &amp; Security"/>
  </r>
  <r>
    <n v="128840"/>
    <x v="1"/>
    <x v="186"/>
    <s v="RENT"/>
    <s v="1800 Wazee St;Ste 500;Denver CO 80202-2526;USA"/>
    <s v="USD"/>
    <x v="187"/>
    <x v="8"/>
    <x v="22"/>
    <s v="Industrial Real Estate, Warehouse, Distribution, REIT Operations"/>
  </r>
  <r>
    <n v="128502"/>
    <x v="1"/>
    <x v="187"/>
    <s v="RENT"/>
    <s v="PO Box 22796;Charleston SC 29413;USA"/>
    <s v="USD"/>
    <x v="188"/>
    <x v="8"/>
    <x v="28"/>
    <s v="Real Estate, Property Management"/>
  </r>
  <r>
    <n v="147356"/>
    <x v="1"/>
    <x v="188"/>
    <s v="RENT"/>
    <s v="1700 S MacDill Ave;Suite 220;Tampa FL 33629;USA"/>
    <s v="USD"/>
    <x v="189"/>
    <x v="8"/>
    <x v="28"/>
    <s v="Real Estate, Property Management"/>
  </r>
  <r>
    <n v="109671"/>
    <x v="1"/>
    <x v="189"/>
    <s v="TRAD"/>
    <s v="PO Box 2383;Chino Hills CA 91709 0080;USA"/>
    <s v="USD"/>
    <x v="190"/>
    <x v="3"/>
    <x v="5"/>
    <s v="Trucking, Freight Hauling, LTL &amp; FTL, Transportation"/>
  </r>
  <r>
    <n v="151548"/>
    <x v="1"/>
    <x v="190"/>
    <s v="TRAD"/>
    <s v="17556 US HIGHWAY 19 N;CLEARWATER FL 33764-3517;USA"/>
    <s v="USD"/>
    <x v="191"/>
    <x v="3"/>
    <x v="86"/>
    <s v="Ford Vehicles, New &amp; Used Cars, Trucks, Service, Parts, Fleet Sales"/>
  </r>
  <r>
    <n v="144662"/>
    <x v="1"/>
    <x v="191"/>
    <s v="RENT"/>
    <s v="PO Box 10066;Eugene OR 97440;USA"/>
    <s v="USD"/>
    <x v="192"/>
    <x v="8"/>
    <x v="28"/>
    <s v="Real Estate, Industrial Property, Property Management"/>
  </r>
  <r>
    <n v="117125"/>
    <x v="1"/>
    <x v="192"/>
    <s v="RENT"/>
    <s v="687 Old Willets Path;Ste C;Hauppauge NY 11788-4118;USA"/>
    <s v="USD"/>
    <x v="193"/>
    <x v="8"/>
    <x v="28"/>
    <s v="Real Estate, Property Management"/>
  </r>
  <r>
    <n v="145276"/>
    <x v="1"/>
    <x v="193"/>
    <s v="RENT"/>
    <s v="Five Radnor Corporate Center,100 Matsonford Road, Suite 250;RADNOR PA 19087;USA"/>
    <s v="USD"/>
    <x v="194"/>
    <x v="8"/>
    <x v="28"/>
    <s v="Industrial Real Estate, Warehouse/Distribution Space"/>
  </r>
  <r>
    <n v="128838"/>
    <x v="1"/>
    <x v="194"/>
    <s v="RENT"/>
    <s v="687 Old Willets Path;Ste C;Hauppauge NY 11788-4118;USA"/>
    <s v="USD"/>
    <x v="195"/>
    <x v="8"/>
    <x v="28"/>
    <s v="Real Estate, Property Management"/>
  </r>
  <r>
    <n v="110676"/>
    <x v="1"/>
    <x v="195"/>
    <s v="RENT"/>
    <s v="3348 Paradise Dr;Belvedere Tiburon CA 94920 1213;USA"/>
    <s v="USD"/>
    <x v="196"/>
    <x v="8"/>
    <x v="28"/>
    <s v="Real Estate, Property Management, Investment"/>
  </r>
  <r>
    <n v="147177"/>
    <x v="1"/>
    <x v="196"/>
    <s v="RENT"/>
    <s v="2530 Red Hill Ave;Suite 225;Santa Ana CA 92705;USA"/>
    <s v="USD"/>
    <x v="197"/>
    <x v="8"/>
    <x v="28"/>
    <s v="Real Estate, Property Management"/>
  </r>
  <r>
    <n v="109237"/>
    <x v="1"/>
    <x v="197"/>
    <s v="TRAD"/>
    <s v="1309 HAYSBORO AVE;NASHVILLE TN 37216-1409;USA"/>
    <s v="USD"/>
    <x v="198"/>
    <x v="10"/>
    <x v="87"/>
    <s v="Property Maintenance, Handyman, Repairs"/>
  </r>
  <r>
    <n v="131179"/>
    <x v="1"/>
    <x v="198"/>
    <s v="RENT"/>
    <s v="3819 Lamb Dr;Marietta GA 30064-5920;USA"/>
    <s v="USD"/>
    <x v="199"/>
    <x v="8"/>
    <x v="28"/>
    <s v="Real Estate, Property Management"/>
  </r>
  <r>
    <n v="122538"/>
    <x v="1"/>
    <x v="199"/>
    <s v="RENT"/>
    <s v="3708 Vintage Pointe Pl;Virginia Beach VA 23455-2999;USA"/>
    <s v="USD"/>
    <x v="200"/>
    <x v="8"/>
    <x v="28"/>
    <s v="Real Estate, Property Management"/>
  </r>
  <r>
    <n v="144661"/>
    <x v="1"/>
    <x v="200"/>
    <s v="RENT"/>
    <s v="2 Miranova Place;Suite 900;Columbus OH 43215;USA"/>
    <s v="USD"/>
    <x v="201"/>
    <x v="8"/>
    <x v="28"/>
    <s v="Real Estate, Property Management"/>
  </r>
  <r>
    <n v="103002"/>
    <x v="1"/>
    <x v="201"/>
    <s v="TRAD"/>
    <s v="PO BOX 277997;Atlanta GA 30384-7997;USA"/>
    <s v="USD"/>
    <x v="202"/>
    <x v="15"/>
    <x v="88"/>
    <s v="IT Staffing, Finance &amp; Accounting Staffing, Direct Hire, Managed Services"/>
  </r>
  <r>
    <n v="149424"/>
    <x v="1"/>
    <x v="202"/>
    <s v="TRAD"/>
    <s v="4022 SELLS DRIVE;Hermitage TN 37076;USA"/>
    <s v="USD"/>
    <x v="203"/>
    <x v="7"/>
    <x v="89"/>
    <s v="Audit, Tax, Advisory, Risk Management, Financial Consulting"/>
  </r>
  <r>
    <n v="132575"/>
    <x v="1"/>
    <x v="203"/>
    <s v="RENT"/>
    <s v="PO Box 200278;Dallas TX 75320-0278;USA"/>
    <s v="USD"/>
    <x v="204"/>
    <x v="8"/>
    <x v="28"/>
    <s v="Industrial Real Estate, Warehouse/Distribution"/>
  </r>
  <r>
    <n v="130538"/>
    <x v="1"/>
    <x v="204"/>
    <s v="TRAD"/>
    <s v="PO Box 2208;Decatur AL 35609-2208;USA"/>
    <s v="USD"/>
    <x v="205"/>
    <x v="3"/>
    <x v="90"/>
    <s v="Truck Sales, Parts, Service, Leasing, Body Shop"/>
  </r>
  <r>
    <n v="126050"/>
    <x v="1"/>
    <x v="205"/>
    <s v="RENT"/>
    <s v="8200 Park Meadows Dr;Ste 8226;Lone Tree CO 80124-2746;USA"/>
    <s v="USD"/>
    <x v="206"/>
    <x v="8"/>
    <x v="28"/>
    <s v="Industrial Real Estate, Distribution/Warehouse Facilities"/>
  </r>
  <r>
    <n v="130137"/>
    <x v="1"/>
    <x v="206"/>
    <s v="RENT"/>
    <s v="5 RADNOR CORPORATE CTR;100 Matsonford Road, Suite 250;RADNOR PA 19087-4542;USA"/>
    <s v="USD"/>
    <x v="207"/>
    <x v="8"/>
    <x v="28"/>
    <s v="Industrial Real Estate, Warehouse/Distribution Facilities"/>
  </r>
  <r>
    <n v="105767"/>
    <x v="1"/>
    <x v="207"/>
    <s v="TRAD"/>
    <s v="PO Box 631025;Cincinnati OH 45263 1025;USA"/>
    <s v="USD"/>
    <x v="208"/>
    <x v="8"/>
    <x v="28"/>
    <s v="Parking Services, Real Estate"/>
  </r>
  <r>
    <n v="150266"/>
    <x v="1"/>
    <x v="208"/>
    <s v="RENT"/>
    <s v="30 Hudson Yards, Suite 7500;New York NY 10001;USA"/>
    <s v="USD"/>
    <x v="209"/>
    <x v="8"/>
    <x v="28"/>
    <s v="Real Estate Investment, Property Management"/>
  </r>
  <r>
    <n v="124490"/>
    <x v="1"/>
    <x v="209"/>
    <s v="RENT"/>
    <s v="4701 Sisk Rd;Ste 101;Modesto CA 95356-9320;USA"/>
    <s v="USD"/>
    <x v="210"/>
    <x v="8"/>
    <x v="28"/>
    <s v="Real Estate Investment, Property Management"/>
  </r>
  <r>
    <n v="140655"/>
    <x v="1"/>
    <x v="210"/>
    <s v="RENT"/>
    <s v="29219 MARSH MCCORMICK RD;ABBOTSFORD BC V4X 2B4;CAN"/>
    <s v="CAD"/>
    <x v="211"/>
    <x v="8"/>
    <x v="28"/>
    <s v="Real Estate, Property Management, Commercial Leasing"/>
  </r>
  <r>
    <n v="100181"/>
    <x v="1"/>
    <x v="211"/>
    <s v="TRAD"/>
    <s v="PO Box 781618;Philadelphia PA 19178-1618;USA"/>
    <s v="USD"/>
    <x v="212"/>
    <x v="10"/>
    <x v="91"/>
    <s v="Plywood, Lumber, Specialty Wood Products, Building Supplies"/>
  </r>
  <r>
    <n v="119632"/>
    <x v="1"/>
    <x v="212"/>
    <s v="RENT"/>
    <s v="5969 Cattleridge Blvd;Ste 200;Sarasota FL 34232-6050;USA"/>
    <s v="USD"/>
    <x v="213"/>
    <x v="8"/>
    <x v="28"/>
    <s v="Real Estate, Property Management"/>
  </r>
  <r>
    <n v="126221"/>
    <x v="1"/>
    <x v="213"/>
    <s v="RENT"/>
    <s v="400 Madison Ave;Ste. 9D;New York NY 10017-1909;USA"/>
    <s v="USD"/>
    <x v="214"/>
    <x v="8"/>
    <x v="28"/>
    <s v="Real Estate, Property Management"/>
  </r>
  <r>
    <n v="106337"/>
    <x v="1"/>
    <x v="214"/>
    <s v="RENT"/>
    <s v="2115 Woodland Ave;Raleigh NC 27608-2254;USA"/>
    <s v="USD"/>
    <x v="215"/>
    <x v="8"/>
    <x v="28"/>
    <s v="Real Estate, Property Management"/>
  </r>
  <r>
    <n v="147448"/>
    <x v="1"/>
    <x v="215"/>
    <s v="RENT"/>
    <s v="5650 Yonge Street;North York ON M2M 4G3;CAN"/>
    <s v="CAD"/>
    <x v="216"/>
    <x v="8"/>
    <x v="28"/>
    <s v="Real Estate, Property Management"/>
  </r>
  <r>
    <n v="150727"/>
    <x v="1"/>
    <x v="216"/>
    <s v="TRAD"/>
    <s v="1111 AIRPORT RD;HUTCHINSON KS 67501-1983;USA"/>
    <s v="USD"/>
    <x v="217"/>
    <x v="4"/>
    <x v="92"/>
    <s v="Custom Signs, Vehicle Wraps, Banners, Trade Show Graphics, Wide-Format Printing"/>
  </r>
  <r>
    <n v="130398"/>
    <x v="1"/>
    <x v="217"/>
    <s v="RENT"/>
    <s v="687 Old Willets Path;Hauppauge NY 11788-4118;USA"/>
    <s v="USD"/>
    <x v="218"/>
    <x v="8"/>
    <x v="28"/>
    <s v="Real Estate, Property Management"/>
  </r>
  <r>
    <n v="140006"/>
    <x v="1"/>
    <x v="218"/>
    <s v="RENT"/>
    <s v="1 Federal Street;Floor 23;Boston MA 02110;USA"/>
    <s v="USD"/>
    <x v="219"/>
    <x v="8"/>
    <x v="33"/>
    <s v="Industrial Property Acquisition, Warehouse Leasing, Single-Tenant Properties, Net Lease REIT"/>
  </r>
  <r>
    <n v="150390"/>
    <x v="1"/>
    <x v="219"/>
    <s v="TRAD"/>
    <s v="6100 W PLANO PKWY;STE 1800;PLANO TX 75093-8203;USA"/>
    <s v="USD"/>
    <x v="220"/>
    <x v="7"/>
    <x v="93"/>
    <s v="Enterprise Technology, Cloud Migration, AI &amp; Data Analytics, ERP Implementation"/>
  </r>
  <r>
    <n v="149090"/>
    <x v="1"/>
    <x v="220"/>
    <s v="RENT"/>
    <s v="100 Matsonford Road;Suite 250;Radnor PA 19087;USA"/>
    <s v="USD"/>
    <x v="221"/>
    <x v="8"/>
    <x v="28"/>
    <s v="Industrial Real Estate, Warehouse/Distribution Facilities"/>
  </r>
  <r>
    <n v="130399"/>
    <x v="1"/>
    <x v="221"/>
    <s v="RENT"/>
    <s v="687 Old Willets Path;Hauppauge NY 11788-4118;USA"/>
    <s v="USD"/>
    <x v="222"/>
    <x v="8"/>
    <x v="28"/>
    <s v="Real Estate, Distribution Facilities"/>
  </r>
  <r>
    <n v="143062"/>
    <x v="1"/>
    <x v="222"/>
    <s v="RENT"/>
    <s v="600 Unicorn Park Drive;Suite 208;Woburn MA 01801;USA"/>
    <s v="USD"/>
    <x v="223"/>
    <x v="8"/>
    <x v="28"/>
    <s v="Real Estate Investment, Property Management, Office/Industrial Space"/>
  </r>
  <r>
    <n v="146162"/>
    <x v="1"/>
    <x v="223"/>
    <s v="RENT"/>
    <s v="1000 North Highway US 1;#902;Jupiter FL 33477;USA"/>
    <s v="USD"/>
    <x v="224"/>
    <x v="8"/>
    <x v="28"/>
    <s v="Real Estate, Property Management"/>
  </r>
  <r>
    <n v="130380"/>
    <x v="1"/>
    <x v="224"/>
    <s v="TRAD"/>
    <s v="1990 Alameda St;fl 5;San Francisco CA 94103-5229;USA"/>
    <s v="USD"/>
    <x v="225"/>
    <x v="3"/>
    <x v="94"/>
    <s v="AI Dash Cams, GPS Fleet Tracking, ELD Compliance, Telematics, Route Optimization, Equipment Monitoring"/>
  </r>
  <r>
    <n v="114394"/>
    <x v="1"/>
    <x v="225"/>
    <s v="TRAD"/>
    <s v="PO Box 732368;Dallas TX 75373-2368;USA"/>
    <s v="USD"/>
    <x v="226"/>
    <x v="6"/>
    <x v="95"/>
    <s v="Colocation, Cloud Connectivity, Disaster Recovery, Managed Services, Network Hub"/>
  </r>
  <r>
    <n v="143455"/>
    <x v="1"/>
    <x v="226"/>
    <s v="RENT"/>
    <s v="7 Cherrywood Road;Locust Valley NY 11560;USA"/>
    <s v="USD"/>
    <x v="227"/>
    <x v="8"/>
    <x v="28"/>
    <s v="Real Estate, Property Management"/>
  </r>
  <r>
    <n v="130309"/>
    <x v="1"/>
    <x v="227"/>
    <s v="RENT"/>
    <s v="20 CUSTOM HOUSE ST;STE 11;STE 11;BOSTON MA 02110-3534;USA"/>
    <s v="USD"/>
    <x v="228"/>
    <x v="8"/>
    <x v="22"/>
    <s v="Industrial Real Estate, Warehouse Distribution, Property Management, REIT Operations"/>
  </r>
  <r>
    <n v="140278"/>
    <x v="1"/>
    <x v="228"/>
    <s v="RENT"/>
    <s v="PO. Box 64520;Cincinnati OH 45264;USA"/>
    <s v="USD"/>
    <x v="229"/>
    <x v="8"/>
    <x v="28"/>
    <s v="Industrial Real Estate, Property Investment"/>
  </r>
  <r>
    <n v="144823"/>
    <x v="1"/>
    <x v="229"/>
    <s v="RENT"/>
    <s v="354 Waller Avenue;Suite 200;Lexington KY 40504;USA"/>
    <s v="USD"/>
    <x v="230"/>
    <x v="8"/>
    <x v="28"/>
    <s v="Real Estate, Property Management, Office Space"/>
  </r>
  <r>
    <n v="114304"/>
    <x v="1"/>
    <x v="230"/>
    <s v="RENT"/>
    <s v="17328 VENTURA BLVD;ENCINO CA 91316-3904;USA"/>
    <s v="USD"/>
    <x v="231"/>
    <x v="8"/>
    <x v="28"/>
    <s v="Real Estate, Industrial Property, Property Management"/>
  </r>
  <r>
    <n v="119562"/>
    <x v="1"/>
    <x v="231"/>
    <s v="TRAD"/>
    <s v="200 E Innovation Way;Ste 209;Akron OH 44316-0001;USA"/>
    <s v="USD"/>
    <x v="232"/>
    <x v="3"/>
    <x v="96"/>
    <s v="Tires, Rubber Products, Auto Service, Fleet Solutions, Tire Maintenance"/>
  </r>
  <r>
    <n v="142082"/>
    <x v="1"/>
    <x v="232"/>
    <s v="RENT"/>
    <s v="3972 Ivy Road;Charlottesville VA 22903;USA"/>
    <s v="USD"/>
    <x v="233"/>
    <x v="8"/>
    <x v="28"/>
    <s v="Real Estate, Property Management"/>
  </r>
  <r>
    <n v="142963"/>
    <x v="1"/>
    <x v="233"/>
    <s v="TRAD"/>
    <s v="412 East Parkcenter Boulevard;Suite 300;Boise ID 83706;USA"/>
    <s v="USD"/>
    <x v="234"/>
    <x v="6"/>
    <x v="97"/>
    <s v="Cloud Management, Cybersecurity, IT Infrastructure, Help Desk, Network Support, Disaster Recovery"/>
  </r>
  <r>
    <n v="146077"/>
    <x v="1"/>
    <x v="234"/>
    <s v="RENT"/>
    <s v="2601 Daffodil Way;Union City CA 94587;USA"/>
    <s v="USD"/>
    <x v="235"/>
    <x v="8"/>
    <x v="28"/>
    <s v="Real Estate Development, Property Management"/>
  </r>
  <r>
    <n v="123959"/>
    <x v="1"/>
    <x v="235"/>
    <s v="RENT"/>
    <s v="687 Old Willets Path;Suite C;Hauppauge NY 11788-4118;USA"/>
    <s v="USD"/>
    <x v="236"/>
    <x v="8"/>
    <x v="28"/>
    <s v="Real Estate, Distribution Facility Management, Industrial Space"/>
  </r>
  <r>
    <n v="110844"/>
    <x v="1"/>
    <x v="236"/>
    <s v="TRAD"/>
    <s v="7717 Solution Center;Chicago IL 60693;USA"/>
    <s v="USD"/>
    <x v="237"/>
    <x v="20"/>
    <x v="98"/>
    <s v="On-Site Truck Repair, Preventive Maintenance, 24/7 Emergency Service, Fleet Management"/>
  </r>
  <r>
    <n v="145290"/>
    <x v="1"/>
    <x v="237"/>
    <s v="RENT"/>
    <s v="118 N ROYAL ST;STE 708;MOBILE AL 36602-3600;USA"/>
    <s v="USD"/>
    <x v="238"/>
    <x v="8"/>
    <x v="28"/>
    <s v="Real Estate, Industrial/Distribution Space, Warehouse Leasing"/>
  </r>
  <r>
    <n v="105363"/>
    <x v="1"/>
    <x v="238"/>
    <s v="RENT"/>
    <s v="2066 Lord Baltimore Dr;Windsor Mill MD 21244 2501;USA"/>
    <s v="USD"/>
    <x v="239"/>
    <x v="8"/>
    <x v="28"/>
    <s v="Industrial Real Estate, Office Space, Property Management"/>
  </r>
  <r>
    <n v="143063"/>
    <x v="1"/>
    <x v="239"/>
    <s v="RENT"/>
    <s v="201-2280 ST. LAURENT BLVD;OTTAWA ON K1G 4K1;CAN"/>
    <s v="CAD"/>
    <x v="240"/>
    <x v="8"/>
    <x v="28"/>
    <s v="Residential &amp; Commercial Development, Property Management, Construction"/>
  </r>
  <r>
    <n v="115457"/>
    <x v="1"/>
    <x v="240"/>
    <s v="TRAD"/>
    <s v="One World Trade Center;Floor 69;New York NY 10007;USA"/>
    <s v="USD"/>
    <x v="241"/>
    <x v="18"/>
    <x v="99"/>
    <s v="Consumer PR, Corporate Communications, Crisis Management, Influencer Marketing, Social Media"/>
  </r>
  <r>
    <n v="150705"/>
    <x v="1"/>
    <x v="241"/>
    <s v="TRAD"/>
    <s v="1 VALPAK AVE N;SAINT PETERSBURG FL 33716-4102;USA"/>
    <s v="USD"/>
    <x v="242"/>
    <x v="1"/>
    <x v="100"/>
    <s v="Direct Mail Coupons, Local Advertising, Digital Marketing, Print Advertising, Targeted Mailers"/>
  </r>
  <r>
    <n v="118902"/>
    <x v="1"/>
    <x v="242"/>
    <s v="FRGT"/>
    <s v="PO Box 74809;Cleveland OH 44194-0892;USA"/>
    <s v="USD"/>
    <x v="243"/>
    <x v="2"/>
    <x v="2"/>
    <s v="Trucking, Logistics, Delivery Services"/>
  </r>
  <r>
    <n v="142766"/>
    <x v="1"/>
    <x v="243"/>
    <s v="RENT"/>
    <s v="730 Third Avenue;New York NY 10017;USA"/>
    <s v="USD"/>
    <x v="244"/>
    <x v="8"/>
    <x v="35"/>
    <s v="Commercial Real Estate, Global Property Investment, Asset Management"/>
  </r>
  <r>
    <n v="150541"/>
    <x v="1"/>
    <x v="244"/>
    <s v="TRAD"/>
    <s v="2701 INTERNATIONAL DR;LISLE IL 60532-3637;USA"/>
    <s v="USD"/>
    <x v="245"/>
    <x v="3"/>
    <x v="101"/>
    <s v="Commercial Trucks, Fleet Parts, Diesel Engines, Truck Service, Fleet Management Solutions"/>
  </r>
  <r>
    <n v="127975"/>
    <x v="1"/>
    <x v="245"/>
    <s v="RENT"/>
    <s v="6588 GLENWOOD AVE;# 383;RALEIGH NC 27612-7156;USA"/>
    <s v="USD"/>
    <x v="246"/>
    <x v="8"/>
    <x v="28"/>
    <s v="Real Estate, Property Management"/>
  </r>
  <r>
    <n v="140552"/>
    <x v="1"/>
    <x v="246"/>
    <s v="RENT"/>
    <s v="3020 Carrington Mill Blvd;Suite 425;Morrisville NC 27560;USA"/>
    <s v="USD"/>
    <x v="247"/>
    <x v="8"/>
    <x v="28"/>
    <s v="Industrial Real Estate, Business Park"/>
  </r>
  <r>
    <n v="131812"/>
    <x v="1"/>
    <x v="247"/>
    <s v="RENT"/>
    <s v="687 Old Willets Path;Ste C;Hauppauge NY 11788-4118;USA"/>
    <s v="USD"/>
    <x v="248"/>
    <x v="8"/>
    <x v="28"/>
    <s v="Distribution Facilities, Industrial Real Estate"/>
  </r>
  <r>
    <n v="141940"/>
    <x v="1"/>
    <x v="248"/>
    <s v="TRAD"/>
    <s v="2 Ravinia Drive;Suite 900;Atlanta GA 30346;USA"/>
    <s v="USD"/>
    <x v="249"/>
    <x v="7"/>
    <x v="102"/>
    <s v="Price Optimization, Predictive Analytics, Cloud Engineering, Data Engineering, Business Intelligence"/>
  </r>
  <r>
    <n v="150038"/>
    <x v="1"/>
    <x v="249"/>
    <s v="RENT"/>
    <s v="1514 Brentwood Drive, Ste 201;Columbia SC 29206;USA"/>
    <s v="USD"/>
    <x v="250"/>
    <x v="8"/>
    <x v="28"/>
    <s v="Real Estate, Property Management, Retail Space"/>
  </r>
  <r>
    <n v="129884"/>
    <x v="1"/>
    <x v="250"/>
    <s v="RENT"/>
    <s v="233 S Wacker Dr;Suite 4700;Chicago IL 60606-7147;USA"/>
    <s v="USD"/>
    <x v="251"/>
    <x v="8"/>
    <x v="28"/>
    <s v="Industrial Real Estate, Warehouse Holdings"/>
  </r>
  <r>
    <n v="114484"/>
    <x v="1"/>
    <x v="251"/>
    <s v="TRAD"/>
    <s v="d/b/a Spencer Stuart;PO Box 98991;Chicago IL 60693;USA"/>
    <s v="USD"/>
    <x v="252"/>
    <x v="4"/>
    <x v="103"/>
    <s v="Executive Recruiting, Board Consulting, Leadership Advisory, CEO Succession Planning"/>
  </r>
  <r>
    <n v="129170"/>
    <x v="1"/>
    <x v="252"/>
    <s v="RENT"/>
    <s v="687 Old Willets Path;Ste C;Hauppauge NY 11788-4118;USA"/>
    <s v="USD"/>
    <x v="253"/>
    <x v="8"/>
    <x v="28"/>
    <s v="Industrial Real Estate, Distribution Facilities"/>
  </r>
  <r>
    <n v="150962"/>
    <x v="1"/>
    <x v="253"/>
    <s v="FRGT"/>
    <s v="60 DOUGHBOY RD;GILLETT AR 72055-9770;USA"/>
    <s v="USD"/>
    <x v="254"/>
    <x v="2"/>
    <x v="24"/>
    <s v="Trucking, Transportation, Delivery Services"/>
  </r>
  <r>
    <n v="120027"/>
    <x v="1"/>
    <x v="254"/>
    <s v="RENT"/>
    <s v="3000 Turtle Creek Blvd;Apt H3e;Dallas TX 75219-6268;USA"/>
    <s v="USD"/>
    <x v="255"/>
    <x v="8"/>
    <x v="28"/>
    <s v="Real Estate Investment, Property Management"/>
  </r>
  <r>
    <n v="128962"/>
    <x v="1"/>
    <x v="255"/>
    <s v="TRAD"/>
    <s v="7100 Forest Ave;Ste 100;Richmond VA 23226-3742;USA"/>
    <s v="USD"/>
    <x v="256"/>
    <x v="16"/>
    <x v="104"/>
    <s v="Refrigeration Repair, HVAC, Installation, Maintenance"/>
  </r>
  <r>
    <n v="145530"/>
    <x v="1"/>
    <x v="256"/>
    <s v="BROKER"/>
    <s v="3507 Grand Ave;Pittsburgh PA 15225;USA"/>
    <s v="USD"/>
    <x v="257"/>
    <x v="3"/>
    <x v="45"/>
    <s v="Truckload Shipping, LTL, Logistics, Transportation"/>
  </r>
  <r>
    <n v="150439"/>
    <x v="1"/>
    <x v="257"/>
    <s v="RENT"/>
    <s v="2300 N FIELD ST;STE 1200;DALLAS TX 75201-2476;USA"/>
    <s v="USD"/>
    <x v="258"/>
    <x v="8"/>
    <x v="28"/>
    <s v="Industrial Real Estate, Property Management"/>
  </r>
  <r>
    <n v="127129"/>
    <x v="1"/>
    <x v="258"/>
    <s v="TRAD"/>
    <s v="105 Progress Rd;Auburndale FL 33823-2728;USA"/>
    <s v="USD"/>
    <x v="259"/>
    <x v="10"/>
    <x v="105"/>
    <s v="Lumber, Composite Decking, Engineered Wood, Packaging, Industrial Products"/>
  </r>
  <r>
    <n v="129735"/>
    <x v="1"/>
    <x v="259"/>
    <s v="RENT"/>
    <s v="445 W Oklahoma Ave;Milwaukee WI 53207-2665;USA"/>
    <s v="USD"/>
    <x v="260"/>
    <x v="21"/>
    <x v="106"/>
    <s v="Residential &amp; Commercial Management, Maintenance, Tenant Services"/>
  </r>
  <r>
    <n v="143223"/>
    <x v="1"/>
    <x v="260"/>
    <s v="RENT"/>
    <s v="PO Box 692319;Orlando FL 32869;USA"/>
    <s v="USD"/>
    <x v="261"/>
    <x v="22"/>
    <x v="107"/>
    <s v="Theme Parks, Animal Exhibits, Entertainment Shows, Hospitality, Aquariums"/>
  </r>
  <r>
    <n v="115524"/>
    <x v="1"/>
    <x v="261"/>
    <s v="RENT"/>
    <s v="1605 Mound Ave;Jacksonville IL 62650;USA"/>
    <s v="USD"/>
    <x v="262"/>
    <x v="8"/>
    <x v="28"/>
    <s v="Real Estate, Property Management"/>
  </r>
  <r>
    <n v="150372"/>
    <x v="1"/>
    <x v="262"/>
    <s v="TRAD"/>
    <s v="Minnesota Center, ;7760 France Avenue.S., Ste. 800;BLOOMINGTON MN 55435;USA"/>
    <s v="USD"/>
    <x v="263"/>
    <x v="23"/>
    <x v="108"/>
    <s v="Warehouse Management System, Voice Picking, Slotting Optimization, Multi-Carrier Shipping, Supply Chain Analytics"/>
  </r>
  <r>
    <n v="122959"/>
    <x v="1"/>
    <x v="263"/>
    <s v="RENT"/>
    <s v="PO Box 22249;Louisville KY 40252-0249;USA"/>
    <s v="USD"/>
    <x v="264"/>
    <x v="8"/>
    <x v="28"/>
    <s v="Real Estate, Warehouse/Distribution Space"/>
  </r>
  <r>
    <n v="148203"/>
    <x v="1"/>
    <x v="264"/>
    <s v="RENT"/>
    <s v="417 1st Ave SE;Cedar Rapids IA 52401;USA"/>
    <s v="USD"/>
    <x v="265"/>
    <x v="8"/>
    <x v="28"/>
    <s v="Real Estate, Property Management"/>
  </r>
  <r>
    <n v="150575"/>
    <x v="1"/>
    <x v="265"/>
    <s v="RENT"/>
    <s v="8400 E PRENTICE AVE;FL 9;GREENWOOD VILLAGE CO 80111-2912;USA"/>
    <s v="USD"/>
    <x v="266"/>
    <x v="8"/>
    <x v="109"/>
    <s v="Personal Storage, Business Storage, Climate-Controlled Units"/>
  </r>
  <r>
    <n v="116730"/>
    <x v="1"/>
    <x v="266"/>
    <s v="RENT"/>
    <s v="655 Bridgeport Ave;Milford CT 06460-4254;USA"/>
    <s v="USD"/>
    <x v="267"/>
    <x v="8"/>
    <x v="28"/>
    <s v="Real Estate, Property Management"/>
  </r>
  <r>
    <n v="146211"/>
    <x v="1"/>
    <x v="267"/>
    <s v="RENT"/>
    <s v="2214 McCampbell Wells Way;Knoxville TN 37924;USA"/>
    <s v="USD"/>
    <x v="268"/>
    <x v="8"/>
    <x v="28"/>
    <s v="Real Estate, Property Management"/>
  </r>
  <r>
    <n v="132104"/>
    <x v="1"/>
    <x v="268"/>
    <s v="RENT"/>
    <s v="3021 Vernon Rd;Richmond VA 23228-3737;USA"/>
    <s v="USD"/>
    <x v="269"/>
    <x v="8"/>
    <x v="28"/>
    <s v="Real Estate, Property Management"/>
  </r>
  <r>
    <n v="143525"/>
    <x v="1"/>
    <x v="269"/>
    <s v="RENT"/>
    <s v="711 HIGH ST;DES MOINES IA 50392-0001;USA"/>
    <s v="USD"/>
    <x v="270"/>
    <x v="8"/>
    <x v="28"/>
    <s v="Real Estate Investment, Property Management"/>
  </r>
  <r>
    <s v="001181"/>
    <x v="1"/>
    <x v="14"/>
    <s v="TRAD"/>
    <s v="PO Box 17617;Saint Louis MO 63178-7617;USA"/>
    <s v="CAD"/>
    <x v="271"/>
    <x v="3"/>
    <x v="13"/>
    <s v="Vehicle Maintenance, Auto Repair, Calibration"/>
  </r>
  <r>
    <n v="141128"/>
    <x v="1"/>
    <x v="270"/>
    <s v="TRAD"/>
    <s v="Po Box 731069;Dallas TX 75373;USA"/>
    <s v="USD"/>
    <x v="272"/>
    <x v="6"/>
    <x v="110"/>
    <s v="Cloud Services, Data &amp; AI, Cybersecurity, Modern Infrastructure, Hardware Procurement, Software Licensing"/>
  </r>
  <r>
    <n v="130378"/>
    <x v="1"/>
    <x v="271"/>
    <s v="RENT"/>
    <s v="c/o INDUS Realty Trust, Inc;204 W Newberry Rd;Bloomfield CT 06002;USA"/>
    <s v="USD"/>
    <x v="273"/>
    <x v="8"/>
    <x v="28"/>
    <s v="Industrial Real Estate, Warehouse Space, Property Development, Logistics Facilities"/>
  </r>
  <r>
    <n v="150694"/>
    <x v="1"/>
    <x v="272"/>
    <s v="FRGT"/>
    <s v="1051 NEWTOWN PIKE;STE 160;LEXINGTON KY 40511-1235;USA"/>
    <s v="USD"/>
    <x v="274"/>
    <x v="2"/>
    <x v="111"/>
    <s v="Trucking, Freight Brokerage, Supply Chain, Warehousing"/>
  </r>
  <r>
    <n v="100241"/>
    <x v="1"/>
    <x v="273"/>
    <s v="TRAD"/>
    <s v="USA"/>
    <s v="CAD"/>
    <x v="275"/>
    <x v="0"/>
    <x v="3"/>
    <s v="Insurance Services, Financial Products, Risk Management"/>
  </r>
  <r>
    <n v="144057"/>
    <x v="1"/>
    <x v="274"/>
    <s v="FRGT"/>
    <s v="1129 BALDWIN ST;CHATTANOOGA TN 37403-3113;USA"/>
    <s v="USD"/>
    <x v="276"/>
    <x v="2"/>
    <x v="111"/>
    <s v="Trucking, Freight, LTL Shipping, Logistics"/>
  </r>
  <r>
    <n v="143926"/>
    <x v="1"/>
    <x v="275"/>
    <s v="RENT"/>
    <s v="1300 Gezon Parkway SW;Grand Rapids MI 49509;USA"/>
    <s v="USD"/>
    <x v="277"/>
    <x v="17"/>
    <x v="112"/>
    <s v="Foodservice Distribution, Restaurant Supply, Catering, Wholesale Food"/>
  </r>
  <r>
    <n v="132295"/>
    <x v="1"/>
    <x v="276"/>
    <s v="RENT"/>
    <s v="280 Daines St;Ste 300;Birmingham MI 48009-6243;USA"/>
    <s v="USD"/>
    <x v="278"/>
    <x v="8"/>
    <x v="28"/>
    <s v="Warehouse Space, Distribution Facilities, Property Management"/>
  </r>
  <r>
    <n v="132154"/>
    <x v="1"/>
    <x v="277"/>
    <s v="RENT"/>
    <s v="PO Box 850300;Minneapolis MN 55485;USA"/>
    <s v="USD"/>
    <x v="279"/>
    <x v="8"/>
    <x v="28"/>
    <s v="Real Estate, Property Management"/>
  </r>
  <r>
    <n v="131948"/>
    <x v="1"/>
    <x v="278"/>
    <s v="RENT"/>
    <s v="16 Squadron Blvd;Ste 106;New City NY 10956-5259;USA"/>
    <s v="USD"/>
    <x v="280"/>
    <x v="8"/>
    <x v="28"/>
    <s v="Real Estate, Warehouse/Distribution Space, Property Management"/>
  </r>
  <r>
    <n v="102927"/>
    <x v="1"/>
    <x v="279"/>
    <s v="TRAD"/>
    <s v="ATTN: STEPHANIE;PO BOX 75723;CHICAGO IL 60675-0001;USA"/>
    <s v="USD"/>
    <x v="281"/>
    <x v="6"/>
    <x v="113"/>
    <s v="Hardware, Software, Cloud Services, IT Infrastructure, Networking, Cybersecurity"/>
  </r>
  <r>
    <n v="149108"/>
    <x v="1"/>
    <x v="280"/>
    <s v="RENT"/>
    <s v="695 Meeting Street;Charleston SC 29403;USA"/>
    <s v="USD"/>
    <x v="282"/>
    <x v="8"/>
    <x v="28"/>
    <s v="Industrial Real Estate, Warehouse/Distribution Space"/>
  </r>
  <r>
    <n v="104681"/>
    <x v="1"/>
    <x v="281"/>
    <s v="TRAD"/>
    <s v="PO Box 203455;Dallas TX 75320;USA"/>
    <s v="USD"/>
    <x v="283"/>
    <x v="2"/>
    <x v="114"/>
    <s v="Fleet Management Software, Dispatch, Routing, Logistics, ERP for Trucking"/>
  </r>
  <r>
    <n v="150923"/>
    <x v="1"/>
    <x v="282"/>
    <s v="TRAD"/>
    <s v="97627 EAGLE WAY;CHICAGO IL 60678-0976;USA"/>
    <s v="USD"/>
    <x v="284"/>
    <x v="24"/>
    <x v="115"/>
    <s v="Commercial Landscaping, Lawn Care, Grounds Maintenance"/>
  </r>
  <r>
    <n v="141171"/>
    <x v="1"/>
    <x v="283"/>
    <s v="RENT"/>
    <s v="PO Box 200336;Dallas TX 75320;USA"/>
    <s v="USD"/>
    <x v="285"/>
    <x v="8"/>
    <x v="28"/>
    <s v="Real Estate, Property Management"/>
  </r>
  <r>
    <n v="151488"/>
    <x v="1"/>
    <x v="284"/>
    <s v="TRAD"/>
    <s v="P O BOX 15531,;Location Code 2247;CHICAGO IL 60696-0001;USA"/>
    <s v="USD"/>
    <x v="286"/>
    <x v="8"/>
    <x v="66"/>
    <s v="Property Sales &amp; Leasing, Facilities Management, Investment Management, Valuation"/>
  </r>
  <r>
    <n v="149481"/>
    <x v="1"/>
    <x v="285"/>
    <s v="TRAD"/>
    <s v="830 CANTERBURY RD;WESTLAKE OH 44145-1403;USA"/>
    <s v="USD"/>
    <x v="287"/>
    <x v="25"/>
    <x v="116"/>
    <s v="Waste Collection, Roll-Off Dumpsters, Recycling, Junk Removal, Waste Hauling"/>
  </r>
  <r>
    <n v="130147"/>
    <x v="1"/>
    <x v="286"/>
    <s v="TRAD"/>
    <s v="450 Concar Dr;San Mateo CA 94402-2681;USA"/>
    <s v="USD"/>
    <x v="288"/>
    <x v="6"/>
    <x v="117"/>
    <s v="Data Warehousing, Data Lake, Data Sharing, AI/ML, Data Engineering, Data Applications, Snowpark"/>
  </r>
  <r>
    <n v="141674"/>
    <x v="1"/>
    <x v="287"/>
    <s v="RENT"/>
    <s v="20 Custom House Street;11th Floor;Boston MA 02110;USA"/>
    <s v="USD"/>
    <x v="289"/>
    <x v="8"/>
    <x v="28"/>
    <s v="Real Estate, Property Management"/>
  </r>
  <r>
    <n v="141083"/>
    <x v="1"/>
    <x v="288"/>
    <s v="RENT"/>
    <s v="7519 N Ingram Avenue;Suite 104;Fresno CA 93711;USA"/>
    <s v="USD"/>
    <x v="290"/>
    <x v="8"/>
    <x v="28"/>
    <s v="Real Estate, Property Management"/>
  </r>
  <r>
    <n v="129521"/>
    <x v="1"/>
    <x v="289"/>
    <s v="RENT"/>
    <s v="101 W Elm St;Conshohocken PA 19428-2075;USA"/>
    <s v="USD"/>
    <x v="291"/>
    <x v="8"/>
    <x v="28"/>
    <s v="Real Estate, Property Management"/>
  </r>
  <r>
    <n v="144174"/>
    <x v="1"/>
    <x v="290"/>
    <s v="RENT"/>
    <s v="33 Cady Hill Boulevard;Saratoga Springs NY 12866;USA"/>
    <s v="USD"/>
    <x v="292"/>
    <x v="8"/>
    <x v="28"/>
    <s v="Real Estate, Property Management"/>
  </r>
  <r>
    <n v="114305"/>
    <x v="1"/>
    <x v="291"/>
    <s v="RENT"/>
    <s v="2214 McCampbell Wells Way;Knoxville TN 37924-3126;USA"/>
    <s v="USD"/>
    <x v="293"/>
    <x v="8"/>
    <x v="28"/>
    <s v="Real Estate, Property Management"/>
  </r>
  <r>
    <n v="103253"/>
    <x v="1"/>
    <x v="292"/>
    <s v="TRAD"/>
    <s v="Dept CH PO Box 10306;Palatine IL 60055;USA"/>
    <s v="USD"/>
    <x v="294"/>
    <x v="2"/>
    <x v="118"/>
    <s v="LTL Freight, Truckload Shipping, Supply Chain, Freight Management"/>
  </r>
  <r>
    <n v="123944"/>
    <x v="1"/>
    <x v="293"/>
    <s v="RENT"/>
    <s v="2721 Transit Rd;Suite 114;Elma NY 14059-9037;USA"/>
    <s v="USD"/>
    <x v="295"/>
    <x v="8"/>
    <x v="28"/>
    <s v="Real Estate, Property Management"/>
  </r>
  <r>
    <n v="150219"/>
    <x v="1"/>
    <x v="294"/>
    <s v="TRAD"/>
    <s v="1919 14th Street Suite 700;Boulder CO 80302;USA"/>
    <s v="USD"/>
    <x v="296"/>
    <x v="4"/>
    <x v="119"/>
    <s v="User Experience Design, Digital Strategy, UI/UX Research, Product Design"/>
  </r>
  <r>
    <n v="145085"/>
    <x v="1"/>
    <x v="295"/>
    <s v="RENT"/>
    <s v="c/o Condyne Property Mgmt.;100 Grandview Road;Suite 312;Braintree MA 02184;USA"/>
    <s v="USD"/>
    <x v="297"/>
    <x v="8"/>
    <x v="120"/>
    <m/>
  </r>
  <r>
    <n v="146502"/>
    <x v="1"/>
    <x v="296"/>
    <s v="TRAD"/>
    <s v="950 East Paces Ferry Road;#1550;Atlanta GA 30326;USA"/>
    <s v="USD"/>
    <x v="298"/>
    <x v="6"/>
    <x v="121"/>
    <s v="Network Management, Cloud Services, Data Center, IT Support"/>
  </r>
  <r>
    <n v="119060"/>
    <x v="1"/>
    <x v="297"/>
    <s v="TRAD"/>
    <s v="PO Box 935004;Atlanta GA 31193-5004;USA"/>
    <s v="USD"/>
    <x v="299"/>
    <x v="3"/>
    <x v="122"/>
    <s v="CAT Equipment Sales, Heavy Equipment Rental, Parts, Service, Power Generation"/>
  </r>
  <r>
    <n v="129960"/>
    <x v="1"/>
    <x v="298"/>
    <s v="RENT"/>
    <s v="12709 E Mirabeau Pkwy;Suiute 10;Spokane WA 99216-1665;USA"/>
    <s v="USD"/>
    <x v="300"/>
    <x v="8"/>
    <x v="28"/>
    <s v="Real Estate, Property Management"/>
  </r>
  <r>
    <n v="121985"/>
    <x v="1"/>
    <x v="299"/>
    <s v="RENT"/>
    <s v="696 NE 125th St;Miami FL 33161-5546;USA"/>
    <s v="USD"/>
    <x v="301"/>
    <x v="8"/>
    <x v="28"/>
    <s v="Real Estate, Property Management"/>
  </r>
  <r>
    <n v="129708"/>
    <x v="1"/>
    <x v="300"/>
    <s v="RENT"/>
    <s v="155 Montgomery St;Ste 1600;San Francisco CA 94104-4121;USA"/>
    <s v="USD"/>
    <x v="302"/>
    <x v="8"/>
    <x v="28"/>
    <s v="Real Estate Investment, Property Management"/>
  </r>
  <r>
    <n v="116634"/>
    <x v="1"/>
    <x v="301"/>
    <s v="RENT"/>
    <s v="374 Millburn Ave;Fl 4;Millburn NJ 07041-1352;USA"/>
    <s v="USD"/>
    <x v="303"/>
    <x v="8"/>
    <x v="28"/>
    <s v="Real Estate, Office Space"/>
  </r>
  <r>
    <n v="142903"/>
    <x v="1"/>
    <x v="302"/>
    <s v="TRAD"/>
    <s v="PO Box 745388;Atlanta GA 30374-5388;USA"/>
    <s v="USD"/>
    <x v="304"/>
    <x v="3"/>
    <x v="96"/>
    <s v="Commercial Tires, Passenger Tires, Fleet Solutions"/>
  </r>
  <r>
    <n v="132327"/>
    <x v="1"/>
    <x v="303"/>
    <s v="TRAD"/>
    <s v="153 Whiting St;Plainville CT 06062-2825;USA"/>
    <s v="USD"/>
    <x v="305"/>
    <x v="3"/>
    <x v="123"/>
    <s v="Auto Repair, Vehicle Sales, Maintenance Services"/>
  </r>
  <r>
    <n v="103608"/>
    <x v="1"/>
    <x v="304"/>
    <s v="TRAD"/>
    <s v="ATTN: CONTROLLER CODE FC;3280 VIRGINIA BEACH BLVD;Virginia Beach VA 32452-5724;USA"/>
    <s v="USD"/>
    <x v="306"/>
    <x v="14"/>
    <x v="124"/>
    <s v="Tax-Free Shopping, E-Commerce, Military Family Support, Navy Lodge"/>
  </r>
  <r>
    <n v="141548"/>
    <x v="1"/>
    <x v="305"/>
    <s v="RENT"/>
    <s v="61 Waterbury Street;Brooklyn NY 11206;USA"/>
    <s v="USD"/>
    <x v="307"/>
    <x v="8"/>
    <x v="28"/>
    <s v="Real Estate, Property Management"/>
  </r>
  <r>
    <s v="000595"/>
    <x v="1"/>
    <x v="306"/>
    <s v="TRAD"/>
    <s v="CAN"/>
    <s v="CAD"/>
    <x v="308"/>
    <x v="4"/>
    <x v="125"/>
    <s v="International Trade, Export Compliance, Freight Forwarding"/>
  </r>
  <r>
    <n v="150896"/>
    <x v="1"/>
    <x v="307"/>
    <s v="TRAD"/>
    <s v="3500 S DUPONT HWY;DOVER DE 19901-6041;USA"/>
    <s v="USD"/>
    <x v="309"/>
    <x v="3"/>
    <x v="126"/>
    <s v="Electronic Logging, GPS Tracking, Fleet Safety, Compliance, Dispatch"/>
  </r>
  <r>
    <n v="140828"/>
    <x v="1"/>
    <x v="308"/>
    <s v="TRAD"/>
    <s v="Po. Box 31001;2434;Pasadena CA 91107;USA"/>
    <s v="USD"/>
    <x v="310"/>
    <x v="4"/>
    <x v="127"/>
    <s v="Consulting, IT Services"/>
  </r>
  <r>
    <n v="122537"/>
    <x v="1"/>
    <x v="309"/>
    <s v="RENT"/>
    <s v="3708 Vintage Pointe Pl;Virginia Beach VA 23455-2999;USA"/>
    <s v="USD"/>
    <x v="311"/>
    <x v="8"/>
    <x v="28"/>
    <s v="Real Estate, Property Management"/>
  </r>
  <r>
    <n v="119603"/>
    <x v="1"/>
    <x v="310"/>
    <s v="LEGAL"/>
    <s v="PO Box 679678;Dallas TX 75267;USA"/>
    <s v="USD"/>
    <x v="312"/>
    <x v="12"/>
    <x v="48"/>
    <s v="Labor &amp; Employment, Litigation, Admiralty, Insurance, Business Law, Health Care, Real Estate, Environmental"/>
  </r>
  <r>
    <n v="108801"/>
    <x v="1"/>
    <x v="311"/>
    <s v="TRAD"/>
    <s v="P.O.Box 734756;Chicago IL 60673;USA"/>
    <s v="USD"/>
    <x v="313"/>
    <x v="10"/>
    <x v="128"/>
    <s v="Water Damage Restoration, Fire Restoration, Mold Remediation, Storm Damage, Reconstruction"/>
  </r>
  <r>
    <n v="127441"/>
    <x v="1"/>
    <x v="312"/>
    <s v="TRAD"/>
    <s v="4040 Civic Center Dr;Suite 350;San Rafael CA 94903-4150;USA"/>
    <s v="USD"/>
    <x v="314"/>
    <x v="2"/>
    <x v="129"/>
    <s v="Auto Shipping, Ocean Transport, Warehousing, Port Operations, Supply Chain, Drayage"/>
  </r>
  <r>
    <n v="111465"/>
    <x v="1"/>
    <x v="313"/>
    <s v="FRGT"/>
    <s v="526 Railroad Blvd;Buena NJ 08310 1512;USA"/>
    <s v="USD"/>
    <x v="315"/>
    <x v="3"/>
    <x v="5"/>
    <s v="Truckload Shipping, LTL Freight, Logistics"/>
  </r>
  <r>
    <n v="130103"/>
    <x v="1"/>
    <x v="314"/>
    <s v="TRAD"/>
    <s v="PO Box 30561;Tampa FL 33630-3561;USA"/>
    <s v="USD"/>
    <x v="316"/>
    <x v="26"/>
    <x v="130"/>
    <s v="Managed Security, Network Protection, Vulnerability Assessment, Compliance"/>
  </r>
  <r>
    <n v="128456"/>
    <x v="1"/>
    <x v="315"/>
    <s v="TRAD"/>
    <s v="PO Box 872987;Kansas City MO 64106;USA"/>
    <s v="USD"/>
    <x v="317"/>
    <x v="26"/>
    <x v="131"/>
    <s v="24/7 Monitoring, Video Surveillance, Access Control, Intrusion Detection"/>
  </r>
  <r>
    <n v="130245"/>
    <x v="1"/>
    <x v="316"/>
    <s v="RENT"/>
    <s v="911 E County Line Rd;#206;Lakewood NJ 08701;USA"/>
    <s v="USD"/>
    <x v="318"/>
    <x v="8"/>
    <x v="28"/>
    <s v="Industrial Real Estate, Warehouse Space, Property Management"/>
  </r>
  <r>
    <n v="114306"/>
    <x v="1"/>
    <x v="317"/>
    <s v="RENT"/>
    <s v="2500 Belmont Blvd;Nashville TN 37212-5506;USA"/>
    <s v="USD"/>
    <x v="319"/>
    <x v="8"/>
    <x v="28"/>
    <s v="Real Estate, Property Management"/>
  </r>
  <r>
    <n v="119362"/>
    <x v="1"/>
    <x v="318"/>
    <s v="RENT"/>
    <s v="1136 State Route 31;Macedon NY 14502-9100;USA"/>
    <s v="USD"/>
    <x v="320"/>
    <x v="8"/>
    <x v="28"/>
    <s v="Real Estate, Property Management"/>
  </r>
  <r>
    <n v="110663"/>
    <x v="1"/>
    <x v="319"/>
    <s v="RENT"/>
    <s v="Lockbox #4467;PO Box 8500;Philadelphia PA 19178;USA"/>
    <s v="USD"/>
    <x v="321"/>
    <x v="8"/>
    <x v="28"/>
    <s v="Industrial Real Estate, Property Management"/>
  </r>
  <r>
    <n v="143807"/>
    <x v="1"/>
    <x v="320"/>
    <s v="RENT"/>
    <s v="7348 Timber Point Court;Fairview Heights IL 62208;USA"/>
    <s v="USD"/>
    <x v="322"/>
    <x v="8"/>
    <x v="28"/>
    <s v="Real Estate, Property Management"/>
  </r>
  <r>
    <n v="110652"/>
    <x v="1"/>
    <x v="321"/>
    <s v="RENT"/>
    <s v="11420 A Commercial Pkwy;Castroville CA 95012;USA"/>
    <s v="USD"/>
    <x v="323"/>
    <x v="8"/>
    <x v="28"/>
    <s v="Real Estate, Property Investment"/>
  </r>
  <r>
    <n v="106718"/>
    <x v="1"/>
    <x v="322"/>
    <s v="TRAD"/>
    <s v="PO Box 742689;Atlanta GA 30374-2689;USA"/>
    <s v="USD"/>
    <x v="324"/>
    <x v="15"/>
    <x v="132"/>
    <s v="Temporary Staffing, Permanent Placement, IT Staffing, Engineering Staffing, HR Solutions, Digital Services"/>
  </r>
  <r>
    <n v="125582"/>
    <x v="1"/>
    <x v="27"/>
    <s v="RENT"/>
    <s v="USA"/>
    <s v="USD"/>
    <x v="325"/>
    <x v="2"/>
    <x v="133"/>
    <s v="Container Leasing, Custom Containers, Military Containers, ISO Containers, Portable Storage"/>
  </r>
  <r>
    <n v="104092"/>
    <x v="1"/>
    <x v="323"/>
    <s v="BROKER"/>
    <s v="PO Box 9121;Minneapolis MN 55480-9121;USA"/>
    <s v="USD"/>
    <x v="326"/>
    <x v="2"/>
    <x v="134"/>
    <s v="Truckload, LTL, Ocean, Air, Supply Chain Management, AI-Powered Logistics"/>
  </r>
  <r>
    <n v="106349"/>
    <x v="1"/>
    <x v="324"/>
    <s v="RENT"/>
    <s v="205 Mill Rd;Edison NJ 08837 3801;USA"/>
    <s v="USD"/>
    <x v="327"/>
    <x v="8"/>
    <x v="28"/>
    <s v="Industrial Real Estate, Business Park Space, Property Management"/>
  </r>
  <r>
    <n v="122536"/>
    <x v="1"/>
    <x v="325"/>
    <s v="RENT"/>
    <s v="200 Weston Dr;Dover DE 19904-2786;USA"/>
    <s v="USD"/>
    <x v="328"/>
    <x v="8"/>
    <x v="28"/>
    <s v="Real Estate, Property Management"/>
  </r>
  <r>
    <n v="148966"/>
    <x v="1"/>
    <x v="326"/>
    <s v="TRAD"/>
    <s v="4479 Edgewater Drive;Orlando FL 32804;USA"/>
    <s v="USD"/>
    <x v="329"/>
    <x v="10"/>
    <x v="44"/>
    <s v="Commercial Construction, Renovation, Tenant Build-Out, Project Management"/>
  </r>
  <r>
    <n v="151733"/>
    <x v="1"/>
    <x v="327"/>
    <s v="RENT"/>
    <s v="1558 BLOHM DRIVE;Ottawa ON K1G 4R7;CAN"/>
    <s v="CAD"/>
    <x v="330"/>
    <x v="8"/>
    <x v="28"/>
    <s v="Real Estate, Property Management"/>
  </r>
  <r>
    <n v="121567"/>
    <x v="1"/>
    <x v="328"/>
    <s v="TRAD"/>
    <s v="PO Box 894489;Los Angeles CA 90189;USA"/>
    <s v="USD"/>
    <x v="331"/>
    <x v="6"/>
    <x v="135"/>
    <s v="Content Management, Personalization, Digital Marketing, Commerce, AI-Powered CMS"/>
  </r>
  <r>
    <n v="107381"/>
    <x v="1"/>
    <x v="329"/>
    <s v="RENT"/>
    <s v="11129 Kenwood Rd;Cincinnati OH 45242-1817;USA"/>
    <s v="USD"/>
    <x v="332"/>
    <x v="2"/>
    <x v="136"/>
    <s v="Third-Party Logistics (3PL), Fulfillment, Inventory Management, Cross-Docking"/>
  </r>
  <r>
    <n v="130028"/>
    <x v="1"/>
    <x v="330"/>
    <s v="TRAD"/>
    <s v="11800 Ridge Pkwy;Suite 125;Broomfield CO 80021-6525;USA"/>
    <s v="USD"/>
    <x v="333"/>
    <x v="6"/>
    <x v="137"/>
    <s v="Database Administration, Cloud Migration, Application Management, Analytics &amp; BI"/>
  </r>
  <r>
    <n v="129522"/>
    <x v="1"/>
    <x v="331"/>
    <s v="RENT"/>
    <s v="24 University Ave NE;Suite 200;Minneapolis MN 55413-2685;USA"/>
    <s v="USD"/>
    <x v="334"/>
    <x v="8"/>
    <x v="28"/>
    <s v="Real Estate, Property Management"/>
  </r>
  <r>
    <n v="146177"/>
    <x v="1"/>
    <x v="332"/>
    <s v="RENT"/>
    <s v="PO Box 540509;Orlando FL 32854;USA"/>
    <s v="USD"/>
    <x v="335"/>
    <x v="8"/>
    <x v="28"/>
    <s v="Real Estate, Property Management"/>
  </r>
  <r>
    <n v="149043"/>
    <x v="1"/>
    <x v="333"/>
    <s v="TRAD"/>
    <s v="2225 Lawson Lane;Santa Clara CA 95054;USA"/>
    <s v="USD"/>
    <x v="336"/>
    <x v="6"/>
    <x v="138"/>
    <s v="IT Workflows, ITOM, ITAM, Customer Service Management, HR Service Delivery, Security Operations, AI/ML"/>
  </r>
  <r>
    <n v="151203"/>
    <x v="1"/>
    <x v="334"/>
    <s v="TRAD"/>
    <s v="2 VENTURE;STE 450;STE 450;IRVINE CA 92618-7402;USA"/>
    <s v="USD"/>
    <x v="337"/>
    <x v="7"/>
    <x v="139"/>
    <s v="Custom Software Development, Cloud Solutions, IT Consulting, Application Development"/>
  </r>
  <r>
    <n v="140284"/>
    <x v="1"/>
    <x v="335"/>
    <s v="TRAD"/>
    <s v="191 Rosa Parks Street;10th Floor;Cincinnati OH 45202;USA"/>
    <s v="USD"/>
    <x v="338"/>
    <x v="15"/>
    <x v="140"/>
    <s v="Engineering Staffing, IT Recruiting, Contract Services"/>
  </r>
  <r>
    <n v="130642"/>
    <x v="1"/>
    <x v="336"/>
    <s v="RENT"/>
    <s v="101 S 200 E;Suite 200;Salt Lake City UT 84111-3104;USA"/>
    <s v="USD"/>
    <x v="339"/>
    <x v="8"/>
    <x v="28"/>
    <s v="Real Estate, Property Management"/>
  </r>
  <r>
    <n v="150298"/>
    <x v="1"/>
    <x v="337"/>
    <s v="TRAD"/>
    <s v="515 S FLOWER ST;STE 2500;LOS ANGELES CA 90071-2201;USA"/>
    <s v="USD"/>
    <x v="340"/>
    <x v="12"/>
    <x v="141"/>
    <s v="Finance, M&amp;A, Private Equity, Litigation, Real Estate, Employment Law, IP, Tax Advisory"/>
  </r>
  <r>
    <n v="151772"/>
    <x v="1"/>
    <x v="338"/>
    <s v="TRAD"/>
    <s v="201 RUE BEAUREGARD;STE 201;LAFAYETTE LA 70508-3251;USA"/>
    <s v="USD"/>
    <x v="341"/>
    <x v="3"/>
    <x v="142"/>
    <s v="Load Board, Freight Matching, Fleet Management, Dispatch Software, Trucking Automation"/>
  </r>
  <r>
    <n v="130838"/>
    <x v="1"/>
    <x v="339"/>
    <s v="TRAD"/>
    <s v="33 New Montgomery St;Suite 850;San Francisco CA 94105-4506;USA"/>
    <s v="USD"/>
    <x v="342"/>
    <x v="7"/>
    <x v="41"/>
    <s v="Technology Consulting, IT Services, Software Development"/>
  </r>
  <r>
    <s v="000840"/>
    <x v="1"/>
    <x v="340"/>
    <s v="TRAD"/>
    <s v="5650 Younge Street;Toronto OH 43964;USA"/>
    <s v="CAD"/>
    <x v="343"/>
    <x v="0"/>
    <x v="143"/>
    <s v="Pension Administration, Institutional Investing, Real Estate, Infrastructure, Private Equity"/>
  </r>
  <r>
    <n v="130712"/>
    <x v="1"/>
    <x v="341"/>
    <s v="RENT"/>
    <s v="111 Central Park Pl;Unit 109;Sanford FL 32771-6633;USA"/>
    <s v="USD"/>
    <x v="344"/>
    <x v="17"/>
    <x v="144"/>
    <s v="Mechanical Contracting, Electrical Services, Plumbing, Industrial Maintenance"/>
  </r>
  <r>
    <n v="122973"/>
    <x v="1"/>
    <x v="342"/>
    <s v="TRAD"/>
    <s v="600 Lawton Rd;Charlotte NC 28216-3437;USA"/>
    <s v="USD"/>
    <x v="345"/>
    <x v="11"/>
    <x v="37"/>
    <s v="Forklift Sales &amp; Service, Lift Trucks, Parts &amp; Repair, Equipment Rental"/>
  </r>
  <r>
    <n v="146725"/>
    <x v="1"/>
    <x v="343"/>
    <s v="TRAD"/>
    <s v="620 8th Avenue;45th Floor;New York NY 10018;USA"/>
    <s v="USD"/>
    <x v="346"/>
    <x v="6"/>
    <x v="145"/>
    <s v="APM, Log Management, Infrastructure Monitoring, Cloud Security, Synthetic Monitoring"/>
  </r>
  <r>
    <n v="150217"/>
    <x v="1"/>
    <x v="344"/>
    <s v="TRAD"/>
    <s v="600 Madison Avenue;8th Floor;New York NY 10022;USA"/>
    <s v="USD"/>
    <x v="347"/>
    <x v="7"/>
    <x v="146"/>
    <s v="Turnaround Management, Corporate Restructuring, Transaction Advisory, Performance Improvement"/>
  </r>
  <r>
    <n v="131947"/>
    <x v="1"/>
    <x v="345"/>
    <s v="RENT"/>
    <s v="16 Squadron Blvd;Ste 106;New City NY 10956-5259;USA"/>
    <s v="USD"/>
    <x v="348"/>
    <x v="8"/>
    <x v="28"/>
    <s v="Warehouse Space, Industrial Real Estate"/>
  </r>
  <r>
    <n v="114399"/>
    <x v="1"/>
    <x v="346"/>
    <s v="RENT"/>
    <s v="4760 Richmond Road Suite 200;Cleveland OH 44128;USA"/>
    <s v="USD"/>
    <x v="349"/>
    <x v="8"/>
    <x v="28"/>
    <s v="Real Estate, Property Management, Investment"/>
  </r>
  <r>
    <n v="151867"/>
    <x v="1"/>
    <x v="347"/>
    <s v="TRAD"/>
    <s v="730 LAKE DR;ISSAQUAH WA 98027-5504;USA"/>
    <s v="USD"/>
    <x v="350"/>
    <x v="27"/>
    <x v="147"/>
    <s v="Bulk Goods, Office Supplies, Business Services"/>
  </r>
  <r>
    <n v="110869"/>
    <x v="1"/>
    <x v="348"/>
    <s v="TRAD"/>
    <s v="Attn Suzanne M. Cino;9800 Fredericksburg Rd.;San Antonio TX 78288;USA"/>
    <s v="USD"/>
    <x v="351"/>
    <x v="0"/>
    <x v="148"/>
    <s v="Insurance Programs, Financial Products, Military Benefits, Affinity Partnerships"/>
  </r>
  <r>
    <n v="119578"/>
    <x v="1"/>
    <x v="349"/>
    <s v="RENT"/>
    <s v="2211 Old Earhart Rd. Ste 100;Ann Arbor MI 48105;USA"/>
    <s v="USD"/>
    <x v="352"/>
    <x v="2"/>
    <x v="24"/>
    <s v="LTL, Truckload, Brokerage, Intermodal, Last Mile, Supply Chain, Logistics"/>
  </r>
  <r>
    <n v="126847"/>
    <x v="1"/>
    <x v="350"/>
    <s v="RENT"/>
    <s v="104 S Wynstone Park Dr;North Barrington IL 60010-6967;USA"/>
    <s v="USD"/>
    <x v="353"/>
    <x v="8"/>
    <x v="28"/>
    <s v="Real Estate, Property Management"/>
  </r>
  <r>
    <n v="128912"/>
    <x v="1"/>
    <x v="351"/>
    <s v="TRAD"/>
    <s v="150 Peabody Pl;Memphis TN 38103-3720;USA"/>
    <s v="USD"/>
    <x v="354"/>
    <x v="4"/>
    <x v="149"/>
    <s v="Termite Treatment, Pest Prevention, Bed Bug Treatment, Wildlife Control, Commercial Pest Control"/>
  </r>
  <r>
    <n v="143754"/>
    <x v="1"/>
    <x v="352"/>
    <s v="RENT"/>
    <s v="211 Boulevard of Americas;Suite 204;Lakewood NJ 08701;USA"/>
    <s v="USD"/>
    <x v="355"/>
    <x v="8"/>
    <x v="28"/>
    <s v="Real Estate Investment, Property Management"/>
  </r>
  <r>
    <n v="100776"/>
    <x v="1"/>
    <x v="353"/>
    <s v="TRAD"/>
    <s v="PO Box 105748;Atlanta GA 30348-5748;USA"/>
    <s v="USD"/>
    <x v="356"/>
    <x v="28"/>
    <x v="150"/>
    <s v="Office Supplies, Furniture, Technology, Print &amp; Copy, Breakroom Supplies, Cleaning Products"/>
  </r>
  <r>
    <n v="100137"/>
    <x v="1"/>
    <x v="354"/>
    <s v="TRAD"/>
    <s v="PO Box 660481;Dallas TX 75266 0481;USA"/>
    <s v="USD"/>
    <x v="357"/>
    <x v="2"/>
    <x v="118"/>
    <s v="Express Shipping, Ground &amp; Air Freight, International Shipping, E-Commerce Logistics"/>
  </r>
  <r>
    <n v="145275"/>
    <x v="1"/>
    <x v="355"/>
    <s v="RENT"/>
    <s v="1801 Fifth Avenue North;Suite 300;Birmingham AL 35203;USA"/>
    <s v="USD"/>
    <x v="358"/>
    <x v="8"/>
    <x v="28"/>
    <s v="Warehouse Space, Distribution Facilities, Industrial Real Estate"/>
  </r>
  <r>
    <n v="118839"/>
    <x v="1"/>
    <x v="356"/>
    <s v="TRAD"/>
    <s v="PO Box 911319;Dallas TX 75391-1319;USA"/>
    <s v="USD"/>
    <x v="359"/>
    <x v="6"/>
    <x v="151"/>
    <s v="Market Research, Strategic Consulting, IT Advisory, Conferences, Benchmarking"/>
  </r>
  <r>
    <n v="132326"/>
    <x v="1"/>
    <x v="357"/>
    <s v="TRAD"/>
    <s v="5215 W Laurel St;Ste 200;Tampa FL 33607-1758;USA"/>
    <s v="USD"/>
    <x v="360"/>
    <x v="18"/>
    <x v="152"/>
    <s v="Business Phone Systems, VoIP, Unified Communications, Cloud PBX, IT Services"/>
  </r>
  <r>
    <n v="131052"/>
    <x v="1"/>
    <x v="358"/>
    <s v="RENT"/>
    <s v="525 S Loop 288;Suite 105;Denton TX 76205-4515;USA"/>
    <s v="USD"/>
    <x v="361"/>
    <x v="8"/>
    <x v="28"/>
    <s v="Real Estate, Property Management, Retail Leasing"/>
  </r>
  <r>
    <n v="147899"/>
    <x v="1"/>
    <x v="359"/>
    <s v="TRAD"/>
    <s v="100 PFL Way;Livingston MT 59047;USA"/>
    <s v="USD"/>
    <x v="362"/>
    <x v="1"/>
    <x v="153"/>
    <s v="Commercial Printing, Direct Mail, Marketing Collateral, Fulfillment"/>
  </r>
  <r>
    <n v="148800"/>
    <x v="1"/>
    <x v="360"/>
    <s v="TRAD"/>
    <s v="4550 Donovan Way;Suite 112;Las Vegas NV 89081;USA"/>
    <s v="USD"/>
    <x v="363"/>
    <x v="4"/>
    <x v="154"/>
    <s v="Workplace Safety Training, PPE, Drug Testing, Compliance Services"/>
  </r>
  <r>
    <n v="108842"/>
    <x v="1"/>
    <x v="361"/>
    <s v="TRAD"/>
    <s v="PO Box 844277;Los Angeles CA 90084-4277;USA"/>
    <s v="USD"/>
    <x v="364"/>
    <x v="15"/>
    <x v="155"/>
    <s v="Temporary Staffing, Direct Hire, Contract Staffing, Light Industrial, Office Services"/>
  </r>
  <r>
    <n v="124649"/>
    <x v="1"/>
    <x v="362"/>
    <s v="TRAD"/>
    <s v="12910 Automobile Blvd.;Suite A;Clearwater FL 33762;USA"/>
    <s v="USD"/>
    <x v="365"/>
    <x v="1"/>
    <x v="156"/>
    <s v="Media Buying, Advertising, Digital Marketing, Creative Services"/>
  </r>
  <r>
    <n v="150590"/>
    <x v="1"/>
    <x v="363"/>
    <s v="RENT"/>
    <s v="1055 SAINT CHARLES AVE;STE 701;NEW ORLEANS LA 70130-3941;USA"/>
    <s v="USD"/>
    <x v="366"/>
    <x v="8"/>
    <x v="28"/>
    <s v="Real Estate, Property Management"/>
  </r>
  <r>
    <n v="102692"/>
    <x v="1"/>
    <x v="364"/>
    <s v="TRAD"/>
    <s v="USA"/>
    <s v="USD"/>
    <x v="367"/>
    <x v="5"/>
    <x v="157"/>
    <s v="Health Savings Accounts, Flexible Spending, COBRA Administration, Commuter Benefits"/>
  </r>
  <r>
    <n v="104321"/>
    <x v="1"/>
    <x v="365"/>
    <s v="TRAD"/>
    <s v="C/O DELL USA LP;PO BOX 534118;Atlanta GA 30353-4118;USA"/>
    <s v="USD"/>
    <x v="368"/>
    <x v="11"/>
    <x v="158"/>
    <s v="PCs, Servers, Storage, Networking, IT Services, Cloud Solutions"/>
  </r>
  <r>
    <n v="143491"/>
    <x v="1"/>
    <x v="366"/>
    <s v="TRAD"/>
    <s v="PO Box 404398;Atlanta GA 30384;USA"/>
    <s v="USD"/>
    <x v="369"/>
    <x v="6"/>
    <x v="110"/>
    <s v="Cloud Solutions, Hardware Procurement, Cybersecurity, Data Center, AI/ML, Managed Services"/>
  </r>
  <r>
    <n v="143877"/>
    <x v="1"/>
    <x v="367"/>
    <s v="RENT"/>
    <s v="1275 Stanford Avenue;Baton Rouge LA 70808;USA"/>
    <s v="USD"/>
    <x v="370"/>
    <x v="8"/>
    <x v="28"/>
    <s v="Real Estate, Property Management"/>
  </r>
  <r>
    <n v="113480"/>
    <x v="1"/>
    <x v="368"/>
    <s v="RENT"/>
    <s v="4600 Wedgewood Blvd;Ste A;Frederick MD 21703-7167;USA"/>
    <s v="USD"/>
    <x v="371"/>
    <x v="8"/>
    <x v="28"/>
    <s v="Real Estate, Property Management"/>
  </r>
  <r>
    <n v="147768"/>
    <x v="1"/>
    <x v="369"/>
    <s v="TRAD"/>
    <s v="PO Box 245;Piney Flats TN 37686 0245;USA"/>
    <s v="USD"/>
    <x v="372"/>
    <x v="3"/>
    <x v="159"/>
    <s v="Tire Chains, Traction Devices, Snow Chains, Off-Road Chains"/>
  </r>
  <r>
    <n v="132163"/>
    <x v="1"/>
    <x v="370"/>
    <s v="TRAD"/>
    <s v="10451 66th St N;Pinellas Park FL 33782-2309;USA"/>
    <s v="USD"/>
    <x v="373"/>
    <x v="2"/>
    <x v="160"/>
    <s v="Network Cabling, IT Infrastructure, Structured Cabling, Fiber Optics, Logistics"/>
  </r>
  <r>
    <n v="123147"/>
    <x v="1"/>
    <x v="371"/>
    <s v="RENT"/>
    <s v="13191 Crossroads Pkwy N;Sixth Floor;City of Industry CA 91746-3421;USA"/>
    <s v="USD"/>
    <x v="374"/>
    <x v="8"/>
    <x v="28"/>
    <s v="Industrial Real Estate, Business Park Space"/>
  </r>
  <r>
    <n v="116571"/>
    <x v="1"/>
    <x v="372"/>
    <s v="RENT"/>
    <s v="PO Box 1826;Cedar Rapids IA 52406-1826;USA"/>
    <s v="USD"/>
    <x v="375"/>
    <x v="8"/>
    <x v="28"/>
    <s v="Real Estate, Flex/Industrial Space, Property Management"/>
  </r>
  <r>
    <n v="102569"/>
    <x v="1"/>
    <x v="373"/>
    <s v="TRAD"/>
    <s v="PO BOX 740435;Atlanta GA 30374-0435;USA"/>
    <s v="USD"/>
    <x v="376"/>
    <x v="15"/>
    <x v="161"/>
    <s v="Temporary Labor, On-Demand Staffing, Construction Staffing, Event Staffing, Workforce Solutions"/>
  </r>
  <r>
    <n v="150691"/>
    <x v="1"/>
    <x v="374"/>
    <s v="FRGT"/>
    <s v="8805 SHERIDAN DR;WILLIAMSVILLE NY 14221-6340;USA"/>
    <s v="USD"/>
    <x v="377"/>
    <x v="2"/>
    <x v="111"/>
    <s v="Freight Brokerage, Trucking, Warehousing, Supply Chain Management"/>
  </r>
  <r>
    <n v="111153"/>
    <x v="1"/>
    <x v="375"/>
    <s v="RENT"/>
    <s v="112 Phyllis Ct;Elmont NY 11003 1625;USA"/>
    <s v="USD"/>
    <x v="378"/>
    <x v="8"/>
    <x v="28"/>
    <s v="Real Estate, Rental Management"/>
  </r>
  <r>
    <n v="142799"/>
    <x v="1"/>
    <x v="376"/>
    <s v="TRAD"/>
    <s v="PO Box 536785;Pittsburgh PA 15253;USA"/>
    <s v="USD"/>
    <x v="379"/>
    <x v="2"/>
    <x v="162"/>
    <s v="Diesel Fuel Delivery, On-Site Fueling, Fleet Fueling"/>
  </r>
  <r>
    <n v="105968"/>
    <x v="1"/>
    <x v="377"/>
    <s v="TRAD"/>
    <s v="PO Box 890788;Charlotte NC 28289 0788;USA"/>
    <s v="USD"/>
    <x v="380"/>
    <x v="3"/>
    <x v="163"/>
    <s v="Truck Leasing, Fleet Management, Vehicle Rental"/>
  </r>
  <r>
    <n v="131459"/>
    <x v="1"/>
    <x v="378"/>
    <s v="RENT"/>
    <s v="580 TRADE CENTER ST;MONTGOMERY AL 36108-2108;USA"/>
    <s v="USD"/>
    <x v="381"/>
    <x v="8"/>
    <x v="28"/>
    <s v="Real Estate, Property Management"/>
  </r>
  <r>
    <n v="147878"/>
    <x v="1"/>
    <x v="379"/>
    <s v="TRAD"/>
    <s v="15201 Wind Whisper Drive;Odessa FL 33556;USA"/>
    <s v="USD"/>
    <x v="382"/>
    <x v="7"/>
    <x v="164"/>
    <s v="Cybersecurity, IT Support, Endpoint Management, Network Security"/>
  </r>
  <r>
    <n v="150612"/>
    <x v="1"/>
    <x v="380"/>
    <s v="FRGT"/>
    <s v="2690 HENDERSONVILLE RD;ARDEN NC 28704-8576;USA"/>
    <s v="USD"/>
    <x v="383"/>
    <x v="3"/>
    <x v="5"/>
    <s v="Truckload Shipping, LTL, Logistics, Transportation"/>
  </r>
  <r>
    <n v="100257"/>
    <x v="1"/>
    <x v="381"/>
    <s v="TRAD"/>
    <s v="3909 W South Ave;Ste A;Tampa FL 33614 6305;USA"/>
    <s v="USD"/>
    <x v="384"/>
    <x v="28"/>
    <x v="165"/>
    <s v="Packaging Tape, Specialty Tapes, Adhesive Products, Shipping Supplies"/>
  </r>
  <r>
    <n v="131124"/>
    <x v="1"/>
    <x v="382"/>
    <s v="RENT"/>
    <s v="PO Box 7608;Spreckels CA 93962-7608;USA"/>
    <s v="USD"/>
    <x v="385"/>
    <x v="8"/>
    <x v="28"/>
    <s v="Real Estate, Property Management"/>
  </r>
  <r>
    <s v="001307"/>
    <x v="1"/>
    <x v="127"/>
    <s v="FRGT"/>
    <s v="111 E Wacker Dr;Ste 2500;Chicago IL 60601-4200;USA"/>
    <s v="CAD"/>
    <x v="386"/>
    <x v="2"/>
    <x v="2"/>
    <s v="Cross-Border Freight, Truckload, LTL, Intermodal, Logistics, Supply Chain"/>
  </r>
  <r>
    <n v="130822"/>
    <x v="1"/>
    <x v="383"/>
    <s v="RENT"/>
    <s v="2200 POST OAK BLVD;HOUSTON TX 77056-4700;USA"/>
    <s v="USD"/>
    <x v="387"/>
    <x v="8"/>
    <x v="28"/>
    <s v="Real Estate, Property Management"/>
  </r>
  <r>
    <n v="120807"/>
    <x v="1"/>
    <x v="384"/>
    <s v="TRAD"/>
    <s v="687 Old Willets Path;Hauppauge NY 11788-4118;USA"/>
    <s v="USD"/>
    <x v="388"/>
    <x v="28"/>
    <x v="166"/>
    <s v="Office Furniture, Supplies, Technology Products, Facility Solutions"/>
  </r>
  <r>
    <n v="141036"/>
    <x v="1"/>
    <x v="385"/>
    <s v="RENT"/>
    <s v="687 Old Willets Path;Ste. C;Hauppauge NY 11788;USA"/>
    <s v="USD"/>
    <x v="389"/>
    <x v="8"/>
    <x v="28"/>
    <s v="Distribution Center, Warehouse Space"/>
  </r>
  <r>
    <n v="106713"/>
    <x v="1"/>
    <x v="386"/>
    <s v="TRAD"/>
    <s v="630 South Grand Avenue;Suite 102;Santa Ana CA 92705;USA"/>
    <s v="USD"/>
    <x v="390"/>
    <x v="15"/>
    <x v="167"/>
    <s v="Temporary Staffing, Direct Hire, Workforce Solutions, Recruiting"/>
  </r>
  <r>
    <n v="112382"/>
    <x v="1"/>
    <x v="387"/>
    <s v="RENT"/>
    <s v="1738 Pine Gate Way;White City OR 97503-8504;USA"/>
    <s v="USD"/>
    <x v="391"/>
    <x v="8"/>
    <x v="28"/>
    <s v="Real Estate, Property Management"/>
  </r>
  <r>
    <n v="109331"/>
    <x v="1"/>
    <x v="388"/>
    <s v="TRAD"/>
    <s v="Dept. 33654;PO Box 39000;San Francisco CA 94139;USA"/>
    <s v="USD"/>
    <x v="392"/>
    <x v="6"/>
    <x v="168"/>
    <s v="Search Advertising, Cloud Platform (GCP), Workspace, YouTube, Android, AI/ML Services"/>
  </r>
  <r>
    <n v="132493"/>
    <x v="1"/>
    <x v="389"/>
    <s v="RENT"/>
    <s v="5846 Crossings Blvd;Antioch TN 37013-3129;USA"/>
    <s v="USD"/>
    <x v="393"/>
    <x v="29"/>
    <x v="169"/>
    <s v="Collision Parts, Recycled Parts, Bumper Refurbishment, Wheel Remanufacturing, Paint Supplies"/>
  </r>
  <r>
    <n v="131383"/>
    <x v="1"/>
    <x v="390"/>
    <s v="RENT"/>
    <s v="136 N Huron St;Toledo OH 43604-1139;USA"/>
    <s v="USD"/>
    <x v="394"/>
    <x v="8"/>
    <x v="28"/>
    <s v="Real Estate, Property Management"/>
  </r>
  <r>
    <n v="126641"/>
    <x v="1"/>
    <x v="391"/>
    <s v="RENT"/>
    <s v="235 Hand Dr;Flowood MS 39232-8307;USA"/>
    <s v="USD"/>
    <x v="395"/>
    <x v="2"/>
    <x v="2"/>
    <s v="Trucking, Logistics, Delivery Services"/>
  </r>
  <r>
    <n v="147154"/>
    <x v="1"/>
    <x v="392"/>
    <s v="TRAD"/>
    <s v="15661 Berkhamstead Place;Leesburg VA 20176;USA"/>
    <s v="USD"/>
    <x v="396"/>
    <x v="7"/>
    <x v="170"/>
    <s v="Business Advisory, Strategy Consulting, Project Management"/>
  </r>
  <r>
    <n v="128841"/>
    <x v="1"/>
    <x v="393"/>
    <s v="TRAD"/>
    <s v="805 Broadway St;Ste 900;Vancouver WA 98660-3506;USA"/>
    <s v="USD"/>
    <x v="397"/>
    <x v="6"/>
    <x v="171"/>
    <s v="Contact Data, Sales Intelligence, Company Insights, Intent Data, Engagement Tools, Prospecting"/>
  </r>
  <r>
    <n v="122656"/>
    <x v="1"/>
    <x v="394"/>
    <s v="TRAD"/>
    <s v="PO Box 198475;Atlanta GA 30384-8475;USA"/>
    <s v="USD"/>
    <x v="398"/>
    <x v="2"/>
    <x v="172"/>
    <s v="Less-Than-Truckload Shipping, Expedited Freight, Supply Chain, International"/>
  </r>
  <r>
    <n v="150474"/>
    <x v="1"/>
    <x v="395"/>
    <s v="TRAD"/>
    <s v="1 LINCOLN ST;STE 1301;BOSTON MA 02111-2901;USA"/>
    <s v="USD"/>
    <x v="399"/>
    <x v="0"/>
    <x v="173"/>
    <s v="Accounting, Financial Advisory, Business Consulting"/>
  </r>
  <r>
    <n v="132294"/>
    <x v="1"/>
    <x v="396"/>
    <s v="RENT"/>
    <s v="280 Daines St;Ste 300;Birmingham MI 48009-6243;USA"/>
    <s v="USD"/>
    <x v="400"/>
    <x v="8"/>
    <x v="28"/>
    <s v="Warehouse Space, Distribution Facilities, Property Management"/>
  </r>
  <r>
    <n v="112483"/>
    <x v="1"/>
    <x v="397"/>
    <s v="RENT"/>
    <s v="C/O Buzz Oats Mgt Svcs Inc.;555 Capitol Mall Ste 900;Ninth Floor;Sacramento CA 95814-4504;USA"/>
    <s v="USD"/>
    <x v="401"/>
    <x v="8"/>
    <x v="28"/>
    <s v="Real Estate Investment, Property Management"/>
  </r>
  <r>
    <n v="122047"/>
    <x v="1"/>
    <x v="398"/>
    <s v="RENT"/>
    <s v="PO Box 6607;Columbus GA 31917-6607;USA"/>
    <s v="USD"/>
    <x v="402"/>
    <x v="8"/>
    <x v="28"/>
    <s v="Real Estate Development, Property Management, Commercial Leasing"/>
  </r>
  <r>
    <n v="112910"/>
    <x v="1"/>
    <x v="399"/>
    <s v="TRAD"/>
    <s v="C/O Wolters Kluwer;2700 Lake Cook Road;Deerfield IL 60015;USA"/>
    <s v="USD"/>
    <x v="403"/>
    <x v="0"/>
    <x v="174"/>
    <s v="Tax Research, Compliance Software, Professional Publications, CPE Training"/>
  </r>
  <r>
    <n v="116369"/>
    <x v="1"/>
    <x v="400"/>
    <s v="TRAD"/>
    <s v="PO Box 7410408;Chicago IL 60674;USA"/>
    <s v="USD"/>
    <x v="404"/>
    <x v="15"/>
    <x v="175"/>
    <s v="IT Staffing, Finance &amp; Accounting, Professional Placement"/>
  </r>
  <r>
    <n v="150801"/>
    <x v="1"/>
    <x v="401"/>
    <s v="TRAD"/>
    <s v="PO Box 15521, Station A;Toronto ON M5W 1C1;CAN"/>
    <s v="CAD"/>
    <x v="405"/>
    <x v="15"/>
    <x v="132"/>
    <s v="Contract Staffing, Direct Hire, Workforce Solutions"/>
  </r>
  <r>
    <n v="118642"/>
    <x v="1"/>
    <x v="402"/>
    <s v="RENT"/>
    <s v="1180 Ponce de Leon Blvd;Clearwater FL 33756-1014;USA"/>
    <s v="USD"/>
    <x v="406"/>
    <x v="8"/>
    <x v="28"/>
    <s v="Real Estate, Property Management"/>
  </r>
  <r>
    <n v="125323"/>
    <x v="1"/>
    <x v="403"/>
    <s v="RENT"/>
    <s v="4697 Avenue D;Orange Beach AL 36561-4349;USA"/>
    <s v="USD"/>
    <x v="407"/>
    <x v="8"/>
    <x v="28"/>
    <s v="Real Estate, Property Management"/>
  </r>
  <r>
    <s v="000655"/>
    <x v="1"/>
    <x v="404"/>
    <s v="RENT"/>
    <s v="74 Grandview Rd;Ottawa ON K2H 8B2;CAN"/>
    <s v="CAD"/>
    <x v="408"/>
    <x v="8"/>
    <x v="28"/>
    <s v="Real Estate, Property Management"/>
  </r>
  <r>
    <n v="109719"/>
    <x v="1"/>
    <x v="405"/>
    <s v="TRAD"/>
    <s v="3333 Finley Rd. Ste 700;Downers Grove IL 60515;USA"/>
    <s v="USD"/>
    <x v="409"/>
    <x v="7"/>
    <x v="89"/>
    <s v="Audit &amp; Assurance, Tax Advisory, Business Consulting, Forensic &amp; Valuation, Risk Management"/>
  </r>
  <r>
    <n v="130505"/>
    <x v="1"/>
    <x v="406"/>
    <s v="RENT"/>
    <s v="1401 Broad St;Clifton NJ 07013-4236;USA"/>
    <s v="USD"/>
    <x v="410"/>
    <x v="8"/>
    <x v="28"/>
    <s v="Real Estate, Property Management"/>
  </r>
  <r>
    <n v="128520"/>
    <x v="1"/>
    <x v="407"/>
    <s v="TRAD"/>
    <s v="2301 W 22nd St;Suite 300;Oak Brook IL 60523-1222;USA"/>
    <s v="USD"/>
    <x v="411"/>
    <x v="21"/>
    <x v="28"/>
    <s v="Real Estate, Property Management"/>
  </r>
  <r>
    <n v="103259"/>
    <x v="1"/>
    <x v="408"/>
    <s v="TRAD"/>
    <s v="PO Box 88741;Chicago IL 60680 1741;USA"/>
    <s v="USD"/>
    <x v="412"/>
    <x v="2"/>
    <x v="176"/>
    <s v="Shipping Supplies, Boxes, Packaging, Janitorial, Safety, Warehouse, Industrial Products"/>
  </r>
  <r>
    <n v="127679"/>
    <x v="1"/>
    <x v="409"/>
    <s v="TRAD"/>
    <s v="Department 8896;Los Angeles CA 90084;USA"/>
    <s v="USD"/>
    <x v="413"/>
    <x v="2"/>
    <x v="177"/>
    <s v="Inter-Island Shipping, Cargo Transport, Barge Services, Container Shipping, Hawaii Freight"/>
  </r>
  <r>
    <s v="001343"/>
    <x v="1"/>
    <x v="410"/>
    <s v="RENT"/>
    <s v="400 4820 Richard Rd SW;Calgary AB T3E 6L1;CAN"/>
    <s v="CAD"/>
    <x v="414"/>
    <x v="8"/>
    <x v="109"/>
    <s v="Personal Storage, Business Storage, Vehicle Storage, Climate-Controlled Units"/>
  </r>
  <r>
    <n v="113482"/>
    <x v="1"/>
    <x v="411"/>
    <s v="TRAD"/>
    <s v="PO Box 636525;Cincinnati OH 45263-6525;USA"/>
    <s v="USD"/>
    <x v="415"/>
    <x v="20"/>
    <x v="178"/>
    <s v="Uniform Rental, Facility Services, First Aid &amp; Safety, Fire Protection, Restroom Services"/>
  </r>
  <r>
    <n v="130766"/>
    <x v="1"/>
    <x v="412"/>
    <s v="TRAD"/>
    <s v="PO BOX 13188;Milwaukee WI 53213;USA"/>
    <s v="USD"/>
    <x v="416"/>
    <x v="15"/>
    <x v="179"/>
    <s v="Temporary Staffing, Direct Hire, Workforce Solutions"/>
  </r>
  <r>
    <n v="131235"/>
    <x v="1"/>
    <x v="413"/>
    <s v="RENT"/>
    <s v="11129 Kenwood Rd;Blue Ash OH 45242-1817;USA"/>
    <s v="USD"/>
    <x v="417"/>
    <x v="8"/>
    <x v="28"/>
    <s v="Real Estate, Property Management"/>
  </r>
  <r>
    <n v="118470"/>
    <x v="1"/>
    <x v="414"/>
    <s v="TRAD"/>
    <s v="PO Box 652;Warren RI 02885-0652;USA"/>
    <s v="USD"/>
    <x v="418"/>
    <x v="4"/>
    <x v="180"/>
    <s v="Traffic Cones, Barricades, Signs, Road Safety Equipment, Construction Zone Products"/>
  </r>
  <r>
    <n v="100199"/>
    <x v="1"/>
    <x v="415"/>
    <s v="TRAD"/>
    <s v="BOX 504606;Saint Louis MO 63150;USA"/>
    <s v="USD"/>
    <x v="419"/>
    <x v="11"/>
    <x v="181"/>
    <s v="Bearings, Power Transmission, Hydraulics, Pneumatics, Industrial Automation"/>
  </r>
  <r>
    <n v="124348"/>
    <x v="1"/>
    <x v="416"/>
    <s v="RENT"/>
    <s v="33 McAlister Farm Rd;Suite 303;Portland ME 04103-5909;USA"/>
    <s v="USD"/>
    <x v="420"/>
    <x v="21"/>
    <x v="106"/>
    <s v="Real Estate, Property Management, Tenant Relations"/>
  </r>
  <r>
    <s v="000631"/>
    <x v="1"/>
    <x v="417"/>
    <s v="TRAD"/>
    <s v="6300 Steeles Avenue West;Woodbridge ON L4H 1J1;CAN"/>
    <s v="CAD"/>
    <x v="421"/>
    <x v="4"/>
    <x v="182"/>
    <s v="Toll Collection, Transponder Services, Traffic Management"/>
  </r>
  <r>
    <n v="124185"/>
    <x v="1"/>
    <x v="418"/>
    <s v="TRAD"/>
    <s v="101 S Moody Ave;Tampa FL 33609-3485;USA"/>
    <s v="USD"/>
    <x v="422"/>
    <x v="12"/>
    <x v="183"/>
    <s v="Legal Consulting, Litigation Support, Business Advisory, Dispute Resolution"/>
  </r>
  <r>
    <n v="141152"/>
    <x v="1"/>
    <x v="419"/>
    <s v="TRAD"/>
    <s v="4232 Sherrod St;Pittsburgh PA 15201;USA"/>
    <s v="USD"/>
    <x v="423"/>
    <x v="10"/>
    <x v="184"/>
    <s v="Construction, Renovation, Project Management, General Contracting"/>
  </r>
  <r>
    <s v="000949"/>
    <x v="1"/>
    <x v="420"/>
    <s v="RENT"/>
    <s v="Lockbox 917620;PO Box 4090 STN A;Toronto ON M5W 0E9;CAN"/>
    <s v="CAD"/>
    <x v="424"/>
    <x v="29"/>
    <x v="185"/>
    <s v="Forklift Sales, Rentals, Parts, Service, Fleet Management"/>
  </r>
  <r>
    <n v="151306"/>
    <x v="1"/>
    <x v="421"/>
    <s v="RENT"/>
    <s v="201 West McBee Avenue, ;Suite 400;Greenville SC 29601;USA"/>
    <s v="USD"/>
    <x v="425"/>
    <x v="21"/>
    <x v="186"/>
    <s v="Real Estate, Property Maintenance, Facility Management"/>
  </r>
  <r>
    <n v="130143"/>
    <x v="1"/>
    <x v="422"/>
    <s v="TRAD"/>
    <s v="P.O. Box 103483;Pasadena CA 91189;USA"/>
    <s v="USD"/>
    <x v="426"/>
    <x v="3"/>
    <x v="187"/>
    <s v="Data Pipeline Automation, ELT Connectors, Database Replication, Cloud Data Integration"/>
  </r>
  <r>
    <n v="102970"/>
    <x v="1"/>
    <x v="423"/>
    <s v="TRAD"/>
    <s v="PO Box 676576;Dallas TX 75267-6576;USA"/>
    <s v="USD"/>
    <x v="427"/>
    <x v="30"/>
    <x v="188"/>
    <s v="Garage Door Installation, Repair, Commercial Doors, Openers"/>
  </r>
  <r>
    <n v="149514"/>
    <x v="1"/>
    <x v="424"/>
    <s v="RENT"/>
    <s v="PO BOX 14083;Chicago IL 60614;USA"/>
    <s v="USD"/>
    <x v="428"/>
    <x v="8"/>
    <x v="28"/>
    <s v="Real Estate, Property Management"/>
  </r>
  <r>
    <n v="151623"/>
    <x v="1"/>
    <x v="425"/>
    <s v="TRAD"/>
    <s v="206-233 Portage Avenue;Winnipeg MB R3B 2A7;CAN"/>
    <s v="USD"/>
    <x v="429"/>
    <x v="6"/>
    <x v="189"/>
    <s v="Digital Strategy, SEO, Paid Media, Brand Development, Web Design"/>
  </r>
  <r>
    <s v="000862"/>
    <x v="1"/>
    <x v="426"/>
    <s v="TRAD"/>
    <s v="Dept400004;POBOX4372STNA;Toronto ON M5W 0J2;CAN"/>
    <s v="CAD"/>
    <x v="430"/>
    <x v="4"/>
    <x v="190"/>
    <s v="Turf Seed, Agricultural Seed, Lawn Care Products"/>
  </r>
  <r>
    <n v="125618"/>
    <x v="1"/>
    <x v="427"/>
    <s v="TRAD"/>
    <s v="5955 Carnegie Blvd;Ste 300;Charlotte NC 28209-4667;USA"/>
    <s v="USD"/>
    <x v="431"/>
    <x v="20"/>
    <x v="191"/>
    <s v="Vehicle Inspections, DVIR, Maintenance Scheduling, Fleet Compliance, Work Orders"/>
  </r>
  <r>
    <n v="106345"/>
    <x v="1"/>
    <x v="428"/>
    <s v="RENT"/>
    <s v="3233 Highridge Dr;Taylor Mill KY 41015 4417;USA"/>
    <s v="USD"/>
    <x v="432"/>
    <x v="8"/>
    <x v="28"/>
    <s v="Office Space, Business Center, Property Management"/>
  </r>
  <r>
    <n v="145012"/>
    <x v="1"/>
    <x v="429"/>
    <s v="RENT"/>
    <s v="100 Canadian Road;Scarborough ON M1R 4Z5;CAN"/>
    <s v="CAD"/>
    <x v="433"/>
    <x v="8"/>
    <x v="192"/>
    <s v="Parking Lot Management, Monthly Parking, Event Parking, Valet Services"/>
  </r>
  <r>
    <n v="130504"/>
    <x v="1"/>
    <x v="430"/>
    <s v="RENT"/>
    <s v="1401 Broad St;Clifton NJ 07013-4236;USA"/>
    <s v="USD"/>
    <x v="434"/>
    <x v="8"/>
    <x v="28"/>
    <s v="Real Estate, Property Management"/>
  </r>
  <r>
    <n v="130963"/>
    <x v="1"/>
    <x v="431"/>
    <s v="RENT"/>
    <s v="111 S Elgin Ave;Tulsa OK 74120-1816;USA"/>
    <s v="USD"/>
    <x v="435"/>
    <x v="8"/>
    <x v="28"/>
    <s v="Real Estate, Property Management"/>
  </r>
  <r>
    <n v="145002"/>
    <x v="1"/>
    <x v="432"/>
    <s v="TRAD"/>
    <s v="228 Park Ave S;New York NY 10003;USA"/>
    <s v="USD"/>
    <x v="436"/>
    <x v="6"/>
    <x v="193"/>
    <s v="Marketing Analytics, Attribution, Media Measurement, Performance Marketing"/>
  </r>
  <r>
    <n v="149244"/>
    <x v="1"/>
    <x v="433"/>
    <s v="TRAD"/>
    <s v="Corporate Card;;PO Box 669354;Dallas TX 75266;USA"/>
    <s v="USD"/>
    <x v="437"/>
    <x v="31"/>
    <x v="194"/>
    <s v="Pharmaceutical Distribution, Medical Products, Specialty Pharmacy, Supply Chain Solutions"/>
  </r>
  <r>
    <n v="105779"/>
    <x v="1"/>
    <x v="434"/>
    <s v="TRAD"/>
    <s v="PO Box 844329;Attn:National Accounts;Dallas TX 75284-4329;USA"/>
    <s v="USD"/>
    <x v="438"/>
    <x v="4"/>
    <x v="195"/>
    <s v="Work Boots, Safety Shoes, Workwear, PPE, Corporate Account Programs"/>
  </r>
  <r>
    <n v="110137"/>
    <x v="1"/>
    <x v="435"/>
    <s v="TRAD"/>
    <s v="2029 Stierlin Ct;Mountain View CA 94043 4684;USA"/>
    <s v="USD"/>
    <x v="439"/>
    <x v="15"/>
    <x v="196"/>
    <s v="Job Posting, Recruiting, LinkedIn Learning, Advertising, Sales Navigator"/>
  </r>
  <r>
    <n v="127271"/>
    <x v="1"/>
    <x v="436"/>
    <s v="TRAD"/>
    <s v="Dept LA 24536;Pasadena CA 91185;USA"/>
    <s v="USD"/>
    <x v="440"/>
    <x v="5"/>
    <x v="197"/>
    <s v="Employee Perks, Corporate Discounts, Incentive Programs, Insurance Products"/>
  </r>
  <r>
    <n v="102548"/>
    <x v="1"/>
    <x v="437"/>
    <s v="TRAD"/>
    <s v="Attn: Accounts Receivable;300 International Pkwy;Sunrise FL 33325-6240;USA"/>
    <s v="USD"/>
    <x v="441"/>
    <x v="11"/>
    <x v="198"/>
    <s v="Hydraulic Hoses, Fittings, Pumps, Valves, Cylinders, Fluid Power Accessories"/>
  </r>
  <r>
    <n v="121718"/>
    <x v="1"/>
    <x v="438"/>
    <s v="TRAD"/>
    <s v="3333 Warrenville Rd;Suite 400;Lisle IL 60532-1157;USA"/>
    <s v="USD"/>
    <x v="442"/>
    <x v="6"/>
    <x v="199"/>
    <s v="Brand Strategy, Advertising Intelligence, Consumer Insights, Audience Measurement, Media Analytics"/>
  </r>
  <r>
    <n v="141400"/>
    <x v="1"/>
    <x v="439"/>
    <s v="TRAD"/>
    <s v="3510 Shoreline Circle;Palm Harbor FL 34684;USA"/>
    <s v="USD"/>
    <x v="443"/>
    <x v="7"/>
    <x v="200"/>
    <s v="Executive Advisory, Strategy Consulting, Management Consulting"/>
  </r>
  <r>
    <n v="112889"/>
    <x v="1"/>
    <x v="440"/>
    <s v="TRAD"/>
    <s v="300 Gus Hipp Blvd;Rockledge FL 32955-4805;USA"/>
    <s v="USD"/>
    <x v="444"/>
    <x v="11"/>
    <x v="201"/>
    <s v="On-Site Hydraulic Hose Repair, Mobile Service, Industrial Fittings, Fluid Transfer Solutions"/>
  </r>
  <r>
    <n v="143372"/>
    <x v="1"/>
    <x v="441"/>
    <s v="TRAD"/>
    <s v="212 Elm Street;STE 400;Somerville MA 02144;USA"/>
    <s v="USD"/>
    <x v="445"/>
    <x v="6"/>
    <x v="202"/>
    <s v="Online Marketplace SaaS, Dropship, Catalog Management, Seller Onboarding"/>
  </r>
  <r>
    <s v="000639"/>
    <x v="1"/>
    <x v="442"/>
    <s v="TRAD"/>
    <s v="PO Box 220;Moncton NB E1C 8L3;CAN"/>
    <s v="CAD"/>
    <x v="446"/>
    <x v="5"/>
    <x v="203"/>
    <s v="Group Benefits, Travel Insurance, Individual Health Plans, Pharmacy Benefits"/>
  </r>
  <r>
    <n v="144862"/>
    <x v="1"/>
    <x v="443"/>
    <s v="RENT"/>
    <s v="1700 NE Adams Street;Peoria IL 61603;USA"/>
    <s v="USD"/>
    <x v="447"/>
    <x v="8"/>
    <x v="28"/>
    <s v="Real Estate Investment, Property Management"/>
  </r>
  <r>
    <n v="125050"/>
    <x v="1"/>
    <x v="444"/>
    <s v="RENT"/>
    <s v="PO Box 1267;Bryan TX 77806-1267;USA"/>
    <s v="USD"/>
    <x v="448"/>
    <x v="8"/>
    <x v="28"/>
    <s v="Real Estate, Property Management"/>
  </r>
  <r>
    <n v="145343"/>
    <x v="1"/>
    <x v="445"/>
    <s v="TRAD"/>
    <s v="4931 Dr. MLK Jr. Street North;Saint Petersburg FL 33703;USA"/>
    <s v="USD"/>
    <x v="449"/>
    <x v="10"/>
    <x v="204"/>
    <s v="Custom Metal Fabrication, Welding, Steel Work, Structural Fabrication"/>
  </r>
  <r>
    <n v="105138"/>
    <x v="1"/>
    <x v="446"/>
    <s v="TRAD"/>
    <s v="510 INDEPENDENCE PKWY;Suite 500;CHESAPEAKE VA 23320-5180;USA"/>
    <s v="USD"/>
    <x v="450"/>
    <x v="4"/>
    <x v="205"/>
    <s v="Fleet Management, Government Support, Administrative Services"/>
  </r>
  <r>
    <n v="150289"/>
    <x v="1"/>
    <x v="447"/>
    <s v="TRAD"/>
    <s v="PO BOX 409043;ATLANTA GA 30384-9043;USA"/>
    <s v="USD"/>
    <x v="451"/>
    <x v="3"/>
    <x v="206"/>
    <s v="NAPA Auto Parts, Industrial Parts, Business Products, EIS Electrical Distribution"/>
  </r>
  <r>
    <n v="132183"/>
    <x v="1"/>
    <x v="448"/>
    <s v="TRAD"/>
    <s v="21701 Stevens Creek Blvd;#91;Cupertino CA 95015-3399;USA"/>
    <s v="USD"/>
    <x v="452"/>
    <x v="6"/>
    <x v="207"/>
    <s v="EOS Implementation Tools, Traction, Scorecard, Meeting Management, Vision Planning"/>
  </r>
  <r>
    <n v="145174"/>
    <x v="1"/>
    <x v="449"/>
    <s v="TRAD"/>
    <s v="PO Box 975201;Dallas TX 75397;USA"/>
    <s v="USD"/>
    <x v="453"/>
    <x v="20"/>
    <x v="208"/>
    <s v="Parts Washing, Solvent Recycling, Vacuum Services, Waste Collection, Oil Recovery"/>
  </r>
  <r>
    <n v="148813"/>
    <x v="1"/>
    <x v="450"/>
    <s v="TRAD"/>
    <s v="PO Box 786;Midlothian TX 76065;USA"/>
    <s v="USD"/>
    <x v="454"/>
    <x v="2"/>
    <x v="209"/>
    <s v="Bulk Fuel Delivery, Fleet Fueling, Diesel &amp; Gasoline Supply, Generator Fueling"/>
  </r>
  <r>
    <n v="149679"/>
    <x v="1"/>
    <x v="451"/>
    <s v="TRAD"/>
    <s v="3600 W Bayshore Rd;Suite 101;Palo Alto CA 94303;USA"/>
    <s v="USD"/>
    <x v="455"/>
    <x v="6"/>
    <x v="210"/>
    <s v="AI Coaching, Call Simulation, Agent Training, Contact Center Training, Generative AI Roleplay"/>
  </r>
  <r>
    <n v="141670"/>
    <x v="1"/>
    <x v="452"/>
    <s v="RENT"/>
    <s v="100 Leetsdale Industrial Dr;Leetsdale PA 15056;USA"/>
    <s v="USD"/>
    <x v="456"/>
    <x v="8"/>
    <x v="211"/>
    <s v="Industrial Real Estate, Warehousing, Distribution Facilities"/>
  </r>
  <r>
    <n v="113010"/>
    <x v="1"/>
    <x v="453"/>
    <s v="RENT"/>
    <s v="1813 MANATEE AVE W;BRADENTON FL 34205-5926;USA"/>
    <s v="USD"/>
    <x v="457"/>
    <x v="8"/>
    <x v="212"/>
    <s v="Storage Units, Climate Controlled Storage, Vehicle Storage, Moving Supplies"/>
  </r>
  <r>
    <n v="141529"/>
    <x v="1"/>
    <x v="454"/>
    <s v="TRAD"/>
    <s v="PO Box 843886;Kansas City MO 64184;USA"/>
    <s v="USD"/>
    <x v="458"/>
    <x v="26"/>
    <x v="213"/>
    <s v="Physical Security, Risk Consulting, Cash Services, Event Security"/>
  </r>
  <r>
    <n v="144353"/>
    <x v="1"/>
    <x v="455"/>
    <s v="RENT"/>
    <s v="PO Box 33006;Raleigh NC 33006;USA"/>
    <s v="USD"/>
    <x v="459"/>
    <x v="8"/>
    <x v="28"/>
    <s v="Real Estate, Property Management"/>
  </r>
  <r>
    <n v="102859"/>
    <x v="1"/>
    <x v="456"/>
    <s v="TRAD"/>
    <s v="PO Box 198226;Atlanta GA 30384 8226;USA"/>
    <s v="USD"/>
    <x v="460"/>
    <x v="15"/>
    <x v="214"/>
    <s v="IT Contract Staffing, Direct Hire, Project Management, Technology Recruiting"/>
  </r>
  <r>
    <n v="150680"/>
    <x v="1"/>
    <x v="457"/>
    <s v="FRGT"/>
    <s v="210 CROWN POINT CIR;STE 100;LONGWOOD FL 32779-6053;USA"/>
    <s v="USD"/>
    <x v="461"/>
    <x v="2"/>
    <x v="2"/>
    <s v="Trucking, Logistics, Freight Services"/>
  </r>
  <r>
    <n v="100990"/>
    <x v="1"/>
    <x v="458"/>
    <s v="TRAD"/>
    <s v="6660 DELMONICO DR;PMB 333;COLORADO SPRINGS CO 80919-1899;USA"/>
    <s v="USD"/>
    <x v="462"/>
    <x v="1"/>
    <x v="215"/>
    <s v="Job Advertising, Recruitment Marketing, Media Placement, Employer Branding"/>
  </r>
  <r>
    <n v="115296"/>
    <x v="1"/>
    <x v="459"/>
    <s v="RENT"/>
    <s v="76 PASSAN DR;WILKES BARRE PA 18702-7348;USA"/>
    <s v="USD"/>
    <x v="463"/>
    <x v="8"/>
    <x v="28"/>
    <s v="Real Estate, Property Management"/>
  </r>
  <r>
    <n v="148799"/>
    <x v="1"/>
    <x v="460"/>
    <s v="TRAD"/>
    <s v="3535 HAYDEN AVE;STE 320;CULVER CITY CA 90232-2462;USA"/>
    <s v="USD"/>
    <x v="464"/>
    <x v="6"/>
    <x v="216"/>
    <s v="Predictive Analytics, Content Forecasting, Creative Testing, Market Intelligence"/>
  </r>
  <r>
    <n v="122122"/>
    <x v="1"/>
    <x v="461"/>
    <s v="RENT"/>
    <s v="4350 OCEAN DR;STE 405;CORPUS CHRISTI TX 78412-2593;USA"/>
    <s v="USD"/>
    <x v="465"/>
    <x v="8"/>
    <x v="28"/>
    <s v="Real Estate, Property Management"/>
  </r>
  <r>
    <n v="130027"/>
    <x v="1"/>
    <x v="462"/>
    <s v="TRAD"/>
    <s v="2801 N Thanksgiving Way;#500;Lehi UT 84043-5296;USA"/>
    <s v="USD"/>
    <x v="466"/>
    <x v="6"/>
    <x v="217"/>
    <s v="TLS/SSL Certificates, PKI Solutions, IoT Security, Code Signing, DNS Management"/>
  </r>
  <r>
    <n v="125322"/>
    <x v="1"/>
    <x v="463"/>
    <s v="TRAD"/>
    <s v="44 W Broadway;Apt 1901;Salt Lake City UT 84101-3220;USA"/>
    <s v="USD"/>
    <x v="467"/>
    <x v="7"/>
    <x v="218"/>
    <s v="Consulting, Contracting Services"/>
  </r>
  <r>
    <n v="119378"/>
    <x v="1"/>
    <x v="464"/>
    <s v="RENT"/>
    <s v="8901 153rd St;Wolfforth TX 79382-4305;USA"/>
    <s v="USD"/>
    <x v="468"/>
    <x v="8"/>
    <x v="28"/>
    <s v="Real Estate, Property Management"/>
  </r>
  <r>
    <n v="101652"/>
    <x v="1"/>
    <x v="465"/>
    <s v="TRAD"/>
    <s v="PO Box 102597;Atlanta GA 30368 2597;USA"/>
    <s v="USD"/>
    <x v="469"/>
    <x v="0"/>
    <x v="219"/>
    <s v="Credit Ratings, Risk Assessment, Financial Research, Economic Analysis"/>
  </r>
  <r>
    <n v="131615"/>
    <x v="1"/>
    <x v="466"/>
    <s v="TRAD"/>
    <s v="15255 ENDEAVOR DR;NOBLESVILLE IN 46060-4909;USA"/>
    <s v="USD"/>
    <x v="470"/>
    <x v="1"/>
    <x v="220"/>
    <s v="Screen Printing, Embroidery, Promotional Products, Custom Apparel"/>
  </r>
  <r>
    <n v="132033"/>
    <x v="1"/>
    <x v="467"/>
    <s v="TRAD"/>
    <s v="1801 W Olympic Blvd;File 2418;Pasadena CA 91199-0001;USA"/>
    <s v="USD"/>
    <x v="471"/>
    <x v="6"/>
    <x v="221"/>
    <s v="Managed IT, Cloud Services, Cybersecurity, Help Desk Support"/>
  </r>
  <r>
    <s v="000615"/>
    <x v="1"/>
    <x v="468"/>
    <s v="TRAD"/>
    <s v="CAN"/>
    <s v="CAD"/>
    <x v="472"/>
    <x v="5"/>
    <x v="12"/>
    <s v="Commercial Insurance, Risk Advisory, Employee Benefits, Claims Management"/>
  </r>
  <r>
    <n v="116154"/>
    <x v="1"/>
    <x v="469"/>
    <s v="RENT"/>
    <s v="1000 Commerce Cir;Trafford PA 15085-2411;USA"/>
    <s v="USD"/>
    <x v="473"/>
    <x v="8"/>
    <x v="28"/>
    <s v="Real Estate, Industrial Property, Business Park, Warehousing"/>
  </r>
  <r>
    <n v="107338"/>
    <x v="1"/>
    <x v="470"/>
    <s v="TRAD"/>
    <s v="PO Box 371874;Pittsburgh PA 15250 7874;USA"/>
    <s v="USD"/>
    <x v="474"/>
    <x v="2"/>
    <x v="222"/>
    <s v="Postage Meters, Shipping Software, Parcel Delivery, E-Commerce Solutions, Data Management"/>
  </r>
  <r>
    <n v="106249"/>
    <x v="1"/>
    <x v="471"/>
    <s v="BROKER"/>
    <s v="209 W Arthur St;Farber MO 63345 1106;USA"/>
    <s v="USD"/>
    <x v="475"/>
    <x v="2"/>
    <x v="19"/>
    <s v="Freight Brokerage, Logistics, Transportation Management"/>
  </r>
  <r>
    <n v="100029"/>
    <x v="1"/>
    <x v="472"/>
    <s v="TRAD"/>
    <s v="101 S Bayview Blvd;Oldsmar FL 34677 3101;USA"/>
    <s v="USD"/>
    <x v="476"/>
    <x v="20"/>
    <x v="223"/>
    <s v="Pressure Washing, Industrial Cleaning, Fleet Cleaning, Surface Preparation"/>
  </r>
  <r>
    <n v="132238"/>
    <x v="1"/>
    <x v="473"/>
    <s v="TRAD"/>
    <s v="201 W 5th St;Suite 1100;Austin TX 78701-2983;USA"/>
    <s v="USD"/>
    <x v="477"/>
    <x v="5"/>
    <x v="224"/>
    <s v="Insurance Policy Administration, Claims Management, Digital Transformation"/>
  </r>
  <r>
    <n v="147006"/>
    <x v="1"/>
    <x v="474"/>
    <s v="TRAD"/>
    <s v="1180 Ave of the Americas;New York NY 10036;USA"/>
    <s v="USD"/>
    <x v="478"/>
    <x v="6"/>
    <x v="225"/>
    <s v="SEO, Paid Media, Data Analytics, Retail Media, Organic Search, Performance Marketing, AI-Powered Optimization"/>
  </r>
  <r>
    <n v="117665"/>
    <x v="1"/>
    <x v="475"/>
    <s v="TRAD"/>
    <s v="PO Box 840173;Kansas City MO 64184-0173;USA"/>
    <s v="USD"/>
    <x v="479"/>
    <x v="3"/>
    <x v="226"/>
    <s v="Car Rental, Truck Rental, Fleet Leasing, Vehicle Remarketing"/>
  </r>
  <r>
    <n v="100146"/>
    <x v="1"/>
    <x v="476"/>
    <s v="TRAD"/>
    <s v="SEMPER FI EXCHANGE SVCS;PO Box 277160;ATLANTA GA 30384-0001;USA"/>
    <s v="USD"/>
    <x v="480"/>
    <x v="4"/>
    <x v="227"/>
    <s v="Military Retail, Dining, Recreation, Lodging, Fitness"/>
  </r>
  <r>
    <n v="129282"/>
    <x v="1"/>
    <x v="477"/>
    <s v="TRAD"/>
    <s v="11 Broadway;Ste 332;New York NY 10004-1397;USA"/>
    <s v="USD"/>
    <x v="481"/>
    <x v="6"/>
    <x v="228"/>
    <s v="Software Development, Cloud Services, Data Analytics, IT Staffing, QA Testing"/>
  </r>
  <r>
    <n v="151171"/>
    <x v="1"/>
    <x v="478"/>
    <s v="TRAD"/>
    <s v="1600 E 4TH ST;STE 340;SANTA ANA CA 92701-5100;USA"/>
    <s v="USD"/>
    <x v="482"/>
    <x v="8"/>
    <x v="28"/>
    <s v="Industrial Real Estate, Property Management"/>
  </r>
  <r>
    <n v="131240"/>
    <x v="1"/>
    <x v="479"/>
    <s v="RENT"/>
    <s v="6601 N Sheridan St;Wichita KS 67204-6601;USA"/>
    <s v="USD"/>
    <x v="483"/>
    <x v="8"/>
    <x v="28"/>
    <s v="Real Estate, Property Management"/>
  </r>
  <r>
    <n v="144858"/>
    <x v="1"/>
    <x v="480"/>
    <s v="FRGT"/>
    <s v="PO Box 970;Columbus OH 43216;USA"/>
    <s v="USD"/>
    <x v="484"/>
    <x v="2"/>
    <x v="19"/>
    <s v="Truckload Shipping, LTL, Carrier Network, Transportation Management"/>
  </r>
  <r>
    <n v="148043"/>
    <x v="1"/>
    <x v="481"/>
    <s v="TRAD"/>
    <s v="43222 Pecan Ridge Dr;Hammond LA 70403;USA"/>
    <s v="USD"/>
    <x v="485"/>
    <x v="26"/>
    <x v="229"/>
    <s v="Armed &amp; Unarmed Guards, Alarm Systems, Video Surveillance, Fire Systems, Loss Prevention, Patrol Services"/>
  </r>
  <r>
    <n v="149591"/>
    <x v="1"/>
    <x v="482"/>
    <s v="TRAD"/>
    <s v="PO BOX 26;Attica MI 48412;USA"/>
    <s v="USD"/>
    <x v="486"/>
    <x v="20"/>
    <x v="98"/>
    <s v="On-Site Truck Repair, Preventive Maintenance, Fleet Service, Emergency Repairs"/>
  </r>
  <r>
    <n v="107580"/>
    <x v="1"/>
    <x v="483"/>
    <s v="RENT"/>
    <s v="228 S MASSACHUSETTS AVE;LAKELAND FL 33801-5012;USA"/>
    <s v="USD"/>
    <x v="487"/>
    <x v="8"/>
    <x v="28"/>
    <s v="Municipal Real Estate, Property"/>
  </r>
  <r>
    <n v="131489"/>
    <x v="1"/>
    <x v="484"/>
    <s v="RENT"/>
    <s v="26565 Miles Rd;Ste 200;Warrensville Heights OH 44128-5995;USA"/>
    <s v="USD"/>
    <x v="488"/>
    <x v="8"/>
    <x v="28"/>
    <s v="Real Estate, Property Management, Office/Retail Space"/>
  </r>
  <r>
    <n v="142578"/>
    <x v="1"/>
    <x v="485"/>
    <s v="TRAD"/>
    <s v="2615 Seychelles Circle ;Unit 1702;Naples FL 34112;USA"/>
    <s v="USD"/>
    <x v="489"/>
    <x v="7"/>
    <x v="230"/>
    <s v="Business Consulting, Advisory Services, Strategic Planning"/>
  </r>
  <r>
    <n v="114225"/>
    <x v="1"/>
    <x v="486"/>
    <s v="TRAD"/>
    <s v="PO Box 879269;Kansas City MO 64187-9269;USA"/>
    <s v="USD"/>
    <x v="490"/>
    <x v="3"/>
    <x v="231"/>
    <s v="New &amp; Used Trucks, Parts, Service, Leasing, Fleet Solutions"/>
  </r>
  <r>
    <n v="149637"/>
    <x v="1"/>
    <x v="487"/>
    <s v="TRAD"/>
    <s v="PO Box 950;Evans GA 30809;USA"/>
    <s v="USD"/>
    <x v="491"/>
    <x v="10"/>
    <x v="184"/>
    <s v="Commercial Construction, Residential Construction, Renovation, Project Management"/>
  </r>
  <r>
    <n v="151641"/>
    <x v="1"/>
    <x v="488"/>
    <s v="RENT"/>
    <s v="Suite 290, 3 Spectacle Lake Drive;Dartmouth NS B3B 1W8;CAN"/>
    <s v="CAD"/>
    <x v="492"/>
    <x v="8"/>
    <x v="28"/>
    <s v="Real Estate Investment, Property Management"/>
  </r>
  <r>
    <n v="129771"/>
    <x v="1"/>
    <x v="489"/>
    <s v="RENT"/>
    <s v="402 W 9th St;Sioux Falls SD 57104-3602;USA"/>
    <s v="USD"/>
    <x v="493"/>
    <x v="8"/>
    <x v="28"/>
    <s v="Real Estate, Property Management"/>
  </r>
  <r>
    <n v="150415"/>
    <x v="1"/>
    <x v="490"/>
    <s v="BENEFITS"/>
    <s v="18 BRITTON DR;BLOOMFIELD CT 06002-3617;USA"/>
    <s v="USD"/>
    <x v="494"/>
    <x v="5"/>
    <x v="53"/>
    <s v="Health Insurance, Medical Benefits, Employee Health Plans"/>
  </r>
  <r>
    <n v="128153"/>
    <x v="1"/>
    <x v="491"/>
    <s v="RENT"/>
    <s v="1901 8th Ave;Tuscaloosa AL 35401-4818;USA"/>
    <s v="USD"/>
    <x v="495"/>
    <x v="8"/>
    <x v="28"/>
    <s v="Real Estate, Property Management"/>
  </r>
  <r>
    <n v="118226"/>
    <x v="1"/>
    <x v="492"/>
    <s v="RENT"/>
    <s v="PO Box 3103;Winchester VA 22604-2303;USA"/>
    <s v="USD"/>
    <x v="496"/>
    <x v="8"/>
    <x v="109"/>
    <s v="Storage Units, Climate-Controlled Storage, Vehicle Storage, Moving Supplies"/>
  </r>
  <r>
    <n v="116649"/>
    <x v="1"/>
    <x v="493"/>
    <s v="RENT"/>
    <s v="PO Box 613;Abingdon VA 24212-0613;USA"/>
    <s v="USD"/>
    <x v="497"/>
    <x v="8"/>
    <x v="28"/>
    <s v="Real Estate, Warehouse Space, Property Management"/>
  </r>
  <r>
    <n v="118517"/>
    <x v="1"/>
    <x v="494"/>
    <s v="RENT"/>
    <s v="25660 S ROUTE 45;MONEE IL 60449-9847;USA"/>
    <s v="USD"/>
    <x v="498"/>
    <x v="8"/>
    <x v="109"/>
    <s v="Storage Units, Vehicle Storage, Climate-Controlled Storage"/>
  </r>
  <r>
    <n v="111629"/>
    <x v="1"/>
    <x v="495"/>
    <s v="TRAD"/>
    <s v="360 PARK AVE S;17th Floor;NEW YORK NY 10010-1710;USA"/>
    <s v="USD"/>
    <x v="499"/>
    <x v="6"/>
    <x v="232"/>
    <s v="Digital Coupons, Cashback Offers, Brand Promotions, Retail Deals"/>
  </r>
  <r>
    <n v="131111"/>
    <x v="1"/>
    <x v="496"/>
    <s v="TRAD"/>
    <s v="PO Box 204869;Dallas TX 75320-4869;USA"/>
    <s v="USD"/>
    <x v="500"/>
    <x v="6"/>
    <x v="233"/>
    <s v="Project Portfolio Management, Resource Management, Strategic Planning, Agile Work Management, Roadmapping"/>
  </r>
  <r>
    <n v="114406"/>
    <x v="1"/>
    <x v="497"/>
    <s v="RENT"/>
    <s v="18798 E State HWY 10;Danville AR 72833;USA"/>
    <s v="USD"/>
    <x v="501"/>
    <x v="8"/>
    <x v="28"/>
    <s v="Real Estate, Property Management"/>
  </r>
  <r>
    <n v="148010"/>
    <x v="1"/>
    <x v="498"/>
    <s v="TRAD"/>
    <s v="246 Hamilton Ave;Mountain View CA 94043;USA"/>
    <s v="USD"/>
    <x v="502"/>
    <x v="6"/>
    <x v="234"/>
    <s v="Marketing Measurement, Geo-Experimentation, Causal Attribution, Incrementality Testing"/>
  </r>
  <r>
    <n v="125034"/>
    <x v="1"/>
    <x v="499"/>
    <s v="RENT"/>
    <s v="PO Box 42075;Austin TX 78704-0035;USA"/>
    <s v="USD"/>
    <x v="503"/>
    <x v="8"/>
    <x v="28"/>
    <s v="Real Estate, Property Management"/>
  </r>
  <r>
    <n v="149544"/>
    <x v="1"/>
    <x v="500"/>
    <s v="TRAD"/>
    <s v="309 S Main St.;Ann Arbor MI 48104;USA"/>
    <s v="USD"/>
    <x v="504"/>
    <x v="27"/>
    <x v="235"/>
    <s v="Network Design, Simulation, AI-Powered Analytics, Scenario Modeling"/>
  </r>
  <r>
    <n v="145005"/>
    <x v="1"/>
    <x v="501"/>
    <s v="TRAD"/>
    <s v="306 Laurel Oaks Way;Jupiter FL 33458;USA"/>
    <s v="USD"/>
    <x v="505"/>
    <x v="3"/>
    <x v="236"/>
    <s v="Vehicle Wraps, Fleet Graphics, Commercial Signage, Vinyl Graphics"/>
  </r>
  <r>
    <n v="141064"/>
    <x v="1"/>
    <x v="502"/>
    <s v="TRAD"/>
    <s v="4213 FOREST LN;GARLAND TX 75042-6820;USA"/>
    <s v="USD"/>
    <x v="506"/>
    <x v="11"/>
    <x v="37"/>
    <s v="Forklift Sales &amp; Service, Parts, Rental, Fleet Management"/>
  </r>
  <r>
    <n v="101609"/>
    <x v="1"/>
    <x v="503"/>
    <s v="TRAD"/>
    <s v="SERVICES LLC;2542 COLLECTION CENTER DR;Chicago IL 60693;USA"/>
    <s v="USD"/>
    <x v="507"/>
    <x v="0"/>
    <x v="237"/>
    <s v="Credit Ratings, Market Intelligence, Index Services, Risk Analytics, Financial Data, ESG Ratings"/>
  </r>
  <r>
    <n v="131817"/>
    <x v="1"/>
    <x v="504"/>
    <s v="TRAD"/>
    <s v="120 W 3rd Street;Suite 101;Tulsa OK 74103;USA"/>
    <s v="USD"/>
    <x v="508"/>
    <x v="15"/>
    <x v="238"/>
    <s v="Driver Application Processing, Recruiting Automation, Compliance, Background Checks, CDL Recruiting"/>
  </r>
  <r>
    <n v="150290"/>
    <x v="1"/>
    <x v="505"/>
    <s v="TRAD"/>
    <s v="62861 COLLECTIONS CENTER DRIVE;CHICAGO IL 60693-0001;USA"/>
    <s v="USD"/>
    <x v="509"/>
    <x v="3"/>
    <x v="239"/>
    <s v="Source-to-Pay, Accounts Payable, Spend Analytics, Payment Processing"/>
  </r>
  <r>
    <n v="115699"/>
    <x v="1"/>
    <x v="506"/>
    <s v="TRAD"/>
    <s v="PO Box 736286;Dallas TX 75373-6286;USA"/>
    <s v="USD"/>
    <x v="510"/>
    <x v="11"/>
    <x v="240"/>
    <s v="Hydraulic Seals, Seal Kits, Cylinder Repair Parts, Custom Machined Seals, O-Rings"/>
  </r>
  <r>
    <n v="143860"/>
    <x v="1"/>
    <x v="507"/>
    <s v="TRAD"/>
    <s v="PO Box 216;Bridgeport CT 06601;USA"/>
    <s v="USD"/>
    <x v="511"/>
    <x v="10"/>
    <x v="241"/>
    <s v="Forklift Sales &amp; Service, Crane Rental, Construction Equipment, Parts"/>
  </r>
  <r>
    <n v="110022"/>
    <x v="1"/>
    <x v="508"/>
    <s v="FRGT"/>
    <s v="2544 E Landstreet Rd;Ste 100;Ste 2;Orlando FL 32824-7931;USA"/>
    <s v="USD"/>
    <x v="512"/>
    <x v="2"/>
    <x v="242"/>
    <s v="Air Freight, Ocean Freight, Customs Brokerage, Supply Chain Solutions, Warehousing"/>
  </r>
  <r>
    <n v="114673"/>
    <x v="1"/>
    <x v="509"/>
    <s v="TRAD"/>
    <s v="8411 Hacks Cross Road;Olive Branch MS 38654;USA"/>
    <s v="USD"/>
    <x v="513"/>
    <x v="11"/>
    <x v="243"/>
    <s v="Industrial Scales, Laboratory Balances, Precision Weighing, Calibration, Mechanical Scales"/>
  </r>
  <r>
    <n v="143035"/>
    <x v="1"/>
    <x v="510"/>
    <s v="RENT"/>
    <s v="333 Texas Street;Suite 1050;Shreveport LA 71107;USA"/>
    <s v="USD"/>
    <x v="514"/>
    <x v="17"/>
    <x v="244"/>
    <s v="Industrial Maintenance, Fabrication, Electrical, Instrumentation, Turnaround Services"/>
  </r>
  <r>
    <n v="149432"/>
    <x v="1"/>
    <x v="511"/>
    <s v="LEGAL"/>
    <s v="1200 Abernathy Road Ste 950;Atlanta GA 30328;USA"/>
    <s v="USD"/>
    <x v="515"/>
    <x v="12"/>
    <x v="245"/>
    <s v="Employment Litigation, Labor Relations, Workplace Safety, Wage &amp; Hour Compliance"/>
  </r>
  <r>
    <n v="127755"/>
    <x v="1"/>
    <x v="512"/>
    <s v="TRAD"/>
    <s v="PO Box 29810;Honolulu HI 96820-2210;USA"/>
    <s v="USD"/>
    <x v="516"/>
    <x v="5"/>
    <x v="246"/>
    <s v="Health Plans, Medical Insurance, Dental &amp; Vision, Pharmacy Benefits, Wellness Programs"/>
  </r>
  <r>
    <n v="148430"/>
    <x v="1"/>
    <x v="513"/>
    <s v="TRAD"/>
    <s v="643 Mountain View Drive;Lewiston NY 14092;USA"/>
    <s v="USD"/>
    <x v="517"/>
    <x v="10"/>
    <x v="247"/>
    <s v="Contractor Services"/>
  </r>
  <r>
    <n v="144551"/>
    <x v="1"/>
    <x v="514"/>
    <s v="FRGT"/>
    <s v="9300 Metcalf Avenue;Overland Park KS 66212;USA"/>
    <s v="USD"/>
    <x v="518"/>
    <x v="2"/>
    <x v="248"/>
    <s v="Trucking, Freight Brokerage, Transportation Management"/>
  </r>
  <r>
    <n v="101964"/>
    <x v="1"/>
    <x v="515"/>
    <s v="TRAD"/>
    <s v="PO Box 4161;Carol Stream IL 60197;USA"/>
    <s v="USD"/>
    <x v="519"/>
    <x v="3"/>
    <x v="249"/>
    <s v="Truck Leasing, Fleet Insurance, EV Solutions, Dynamic Financing"/>
  </r>
  <r>
    <n v="131073"/>
    <x v="1"/>
    <x v="516"/>
    <s v="TRAD"/>
    <s v="962 Industrial Blvd N;Dallas GA 30132-2456;USA"/>
    <s v="USD"/>
    <x v="520"/>
    <x v="10"/>
    <x v="250"/>
    <s v="HVAC, Plumbing, Mechanical Repair, Preventive Maintenance"/>
  </r>
  <r>
    <n v="147596"/>
    <x v="1"/>
    <x v="517"/>
    <s v="TRAD"/>
    <s v="PO Box 411391;Charlotte NC 28241;USA"/>
    <s v="USD"/>
    <x v="521"/>
    <x v="4"/>
    <x v="251"/>
    <s v="Septic Services, Grease Trap Cleaning, Wastewater Management"/>
  </r>
  <r>
    <n v="143604"/>
    <x v="1"/>
    <x v="518"/>
    <s v="RENT"/>
    <s v="318 West Carroll Street;Floor 2;Salisbury MD 21801;USA"/>
    <s v="USD"/>
    <x v="522"/>
    <x v="8"/>
    <x v="28"/>
    <s v="Real Estate, Property Management"/>
  </r>
  <r>
    <n v="128146"/>
    <x v="1"/>
    <x v="519"/>
    <s v="TRAD"/>
    <s v="506 Maple Ave;Richmond VA 23226-2646;USA"/>
    <s v="USD"/>
    <x v="523"/>
    <x v="10"/>
    <x v="69"/>
    <s v="Professional Services"/>
  </r>
  <r>
    <n v="151789"/>
    <x v="1"/>
    <x v="520"/>
    <s v="TRAD"/>
    <s v="1 WORLD TRADE CTR;FL 68;NEW YORK NY 10007-0042;USA"/>
    <s v="USD"/>
    <x v="524"/>
    <x v="1"/>
    <x v="252"/>
    <s v="Media Representation, Public Relations, Advertising Strategy"/>
  </r>
  <r>
    <n v="147339"/>
    <x v="1"/>
    <x v="521"/>
    <s v="TRAD"/>
    <s v="75 Remittance Drive;Suite 1791;Chicago IL 60675;USA"/>
    <s v="USD"/>
    <x v="525"/>
    <x v="5"/>
    <x v="76"/>
    <s v="Supplemental Health Insurance, Critical Illness, Accident Insurance, Life Insurance"/>
  </r>
  <r>
    <n v="142112"/>
    <x v="1"/>
    <x v="522"/>
    <s v="TRAD"/>
    <s v="PO Box 746941;Atlanta GA 30374;USA"/>
    <s v="USD"/>
    <x v="526"/>
    <x v="3"/>
    <x v="122"/>
    <s v="Caterpillar Equipment, Parts, Service, Rental, Compact Equipment, Power Systems"/>
  </r>
  <r>
    <n v="144814"/>
    <x v="1"/>
    <x v="523"/>
    <s v="TRAD"/>
    <s v="900 Third Ave 17th Floor;New York NY 10022;USA"/>
    <s v="USD"/>
    <x v="527"/>
    <x v="3"/>
    <x v="253"/>
    <s v="Invoice Processing, Payment Automation, Procurement, Expense Management, Fraud Detection"/>
  </r>
  <r>
    <n v="143188"/>
    <x v="1"/>
    <x v="524"/>
    <s v="TRAD"/>
    <s v="HaArba'a St. 30;6473926 Tel Aviv;ISR"/>
    <s v="USD"/>
    <x v="528"/>
    <x v="6"/>
    <x v="254"/>
    <s v="CNC Machining, Rapid Prototyping, Precision Parts, Aerospace &amp; Defense Manufacturing"/>
  </r>
  <r>
    <n v="141141"/>
    <x v="1"/>
    <x v="525"/>
    <s v="RENT"/>
    <s v="PO Box 3103;Evans GA 30809;USA"/>
    <s v="USD"/>
    <x v="529"/>
    <x v="8"/>
    <x v="28"/>
    <s v="Real Estate, Property Management"/>
  </r>
  <r>
    <n v="102943"/>
    <x v="1"/>
    <x v="526"/>
    <s v="TRAD"/>
    <s v="PO Box 409211;Atlanta GA 30384 9211;USA"/>
    <s v="USD"/>
    <x v="530"/>
    <x v="4"/>
    <x v="255"/>
    <s v="Equipment Rental, Tool Rental, Aerial Lifts, Earthmoving, Power &amp; HVAC, Scaffolding"/>
  </r>
  <r>
    <n v="102136"/>
    <x v="1"/>
    <x v="527"/>
    <s v="TRAD"/>
    <s v="7438 Heather Ave SE;Snoqualmie WA 98065 9739;USA"/>
    <s v="USD"/>
    <x v="531"/>
    <x v="7"/>
    <x v="256"/>
    <s v="Business Strategy, Market Development, Growth Consulting"/>
  </r>
  <r>
    <n v="151286"/>
    <x v="1"/>
    <x v="528"/>
    <s v="TRAD"/>
    <s v="55 STOCKTON ST;FL 8;SAN FRANCISCO CA 94108-5829;USA"/>
    <s v="USD"/>
    <x v="532"/>
    <x v="2"/>
    <x v="257"/>
    <s v="CI/CD, Feature Flags, Cloud Cost Management, Security Testing, Chaos Engineering"/>
  </r>
  <r>
    <n v="145504"/>
    <x v="1"/>
    <x v="529"/>
    <s v="TRAD"/>
    <s v="120 Industrial Way;Conshohocken PA 19428;USA"/>
    <s v="USD"/>
    <x v="533"/>
    <x v="10"/>
    <x v="258"/>
    <s v="Electrical Installation, Industrial Wiring, Maintenance, Power Systems"/>
  </r>
  <r>
    <n v="151202"/>
    <x v="1"/>
    <x v="530"/>
    <s v="TRAD"/>
    <s v="60 HUDSON ST;NEW YORK NY 10013-3315;USA"/>
    <s v="USD"/>
    <x v="534"/>
    <x v="6"/>
    <x v="259"/>
    <s v="AI-Powered Insights, Session Replay, Heatmaps, Product Analytics"/>
  </r>
  <r>
    <n v="128498"/>
    <x v="1"/>
    <x v="531"/>
    <s v="LEGAL"/>
    <s v="211 Church St SE;Leesburg VA 20175-3034;USA"/>
    <s v="USD"/>
    <x v="535"/>
    <x v="12"/>
    <x v="260"/>
    <s v="Intellectual Property, Business Law, Litigation, Technology Law"/>
  </r>
  <r>
    <n v="150674"/>
    <x v="1"/>
    <x v="532"/>
    <s v="TRAD"/>
    <s v="6020 E ADAMO DR;TAMPA FL 33619-3404;USA"/>
    <s v="USD"/>
    <x v="536"/>
    <x v="3"/>
    <x v="90"/>
    <s v="International Trucks, Parts, Service, Truck Leasing, Used Trucks"/>
  </r>
  <r>
    <n v="140730"/>
    <x v="1"/>
    <x v="533"/>
    <s v="TRAD"/>
    <s v="1909 McFarland Dr;Landisville PA 17538;USA"/>
    <s v="USD"/>
    <x v="537"/>
    <x v="11"/>
    <x v="261"/>
    <s v="Slings, Rigging Hardware, Tie-Downs, Cargo Control, Custom Fabrication"/>
  </r>
  <r>
    <n v="148031"/>
    <x v="1"/>
    <x v="534"/>
    <s v="TRAD"/>
    <s v="76A Moray Road;London NR7 7BH;GBR"/>
    <s v="USD"/>
    <x v="538"/>
    <x v="7"/>
    <x v="170"/>
    <s v="Strategy Consulting, Business Advisory, Organizational Development"/>
  </r>
  <r>
    <n v="130446"/>
    <x v="1"/>
    <x v="535"/>
    <s v="TRAD"/>
    <s v="PO Box 8068;Dothan AL 36304-0068;USA"/>
    <s v="USD"/>
    <x v="539"/>
    <x v="11"/>
    <x v="262"/>
    <s v="Industrial Equipment, Parts, Service, Maintenance, Installation"/>
  </r>
  <r>
    <n v="145190"/>
    <x v="1"/>
    <x v="536"/>
    <s v="TRAD"/>
    <s v="11322 Four Iron Way;San Antonio TX 78221;USA"/>
    <s v="USD"/>
    <x v="540"/>
    <x v="3"/>
    <x v="263"/>
    <s v="Truck Repair, Fleet Maintenance, Diesel Engine Service"/>
  </r>
  <r>
    <n v="116648"/>
    <x v="1"/>
    <x v="537"/>
    <s v="RENT"/>
    <s v="PO Box 613;Abingdon VA 24212-0613;USA"/>
    <s v="USD"/>
    <x v="541"/>
    <x v="8"/>
    <x v="28"/>
    <s v="Real Estate, Warehouse Space, Property Management"/>
  </r>
  <r>
    <n v="112856"/>
    <x v="1"/>
    <x v="538"/>
    <s v="TRAD"/>
    <s v="PO Box 847891;Dallas TX 75284-7891;USA"/>
    <s v="USD"/>
    <x v="542"/>
    <x v="15"/>
    <x v="264"/>
    <s v="Criminal Background Checks, Drug Testing, Employment Verification, I-9/E-Verify, Identity Checks"/>
  </r>
  <r>
    <n v="113438"/>
    <x v="1"/>
    <x v="539"/>
    <s v="RENT"/>
    <s v="PO Box 91975;Chicago IL 60693;USA"/>
    <s v="USD"/>
    <x v="543"/>
    <x v="17"/>
    <x v="265"/>
    <s v="Modular Buildings, Portable Storage, Mobile Offices, Modular Space Solutions"/>
  </r>
  <r>
    <n v="150813"/>
    <x v="1"/>
    <x v="540"/>
    <s v="RENT"/>
    <s v="1141 E MAIN ST;STE 100;EAST DUNDEE IL 60118-2440;USA"/>
    <s v="USD"/>
    <x v="544"/>
    <x v="8"/>
    <x v="28"/>
    <s v="Real Estate, Property Management"/>
  </r>
  <r>
    <n v="142906"/>
    <x v="1"/>
    <x v="541"/>
    <s v="RENT"/>
    <s v="1055 St. Charles Avenue;Ste. 701;New Orleans LA 70130;USA"/>
    <s v="USD"/>
    <x v="545"/>
    <x v="8"/>
    <x v="28"/>
    <s v="Quarry Operations, Real Estate"/>
  </r>
  <r>
    <n v="148944"/>
    <x v="1"/>
    <x v="542"/>
    <s v="RENT"/>
    <s v="5555 Anglers Ave ;Suite 27;Ft Lauderdale FL 33312;USA"/>
    <s v="USD"/>
    <x v="546"/>
    <x v="8"/>
    <x v="28"/>
    <s v="Real Estate, Property Management"/>
  </r>
  <r>
    <n v="121927"/>
    <x v="1"/>
    <x v="543"/>
    <s v="TRAD"/>
    <s v="DEPT CH 17960;Palatine IL 60055;USA"/>
    <s v="USD"/>
    <x v="546"/>
    <x v="6"/>
    <x v="266"/>
    <s v="AI-Powered SEO, Content Optimization, Competitive Analysis, Keyword Research"/>
  </r>
  <r>
    <n v="127623"/>
    <x v="1"/>
    <x v="544"/>
    <s v="TRAD"/>
    <s v="5220 W Douglas Corrigan Way;Ste 300;Salt Lake City UT 84116-3191;USA"/>
    <s v="USD"/>
    <x v="547"/>
    <x v="6"/>
    <x v="267"/>
    <s v="Performance Marketing, Customer Acquisition, Consumer Comparison Tools"/>
  </r>
  <r>
    <n v="131830"/>
    <x v="1"/>
    <x v="545"/>
    <s v="TRAD"/>
    <s v="5100 Holabird Ave;Baltimore MD 21224-6008;USA"/>
    <s v="USD"/>
    <x v="548"/>
    <x v="3"/>
    <x v="90"/>
    <s v="Peterbilt Trucks, Parts, Service, Used Trucks, Truck Leasing"/>
  </r>
  <r>
    <n v="151331"/>
    <x v="1"/>
    <x v="546"/>
    <s v="TRAD"/>
    <s v="664 HUGO DR;TOMS RIVER NJ 08753-4389;USA"/>
    <s v="USD"/>
    <x v="549"/>
    <x v="26"/>
    <x v="213"/>
    <s v="Armed &amp; Unarmed Guards, Patrol Services, Executive Protection, Event Security"/>
  </r>
  <r>
    <n v="131270"/>
    <x v="1"/>
    <x v="547"/>
    <s v="TRAD"/>
    <s v="PO Box 1057;Marietta GA 30061-1057;USA"/>
    <s v="USD"/>
    <x v="550"/>
    <x v="19"/>
    <x v="268"/>
    <s v="Fuel Delivery, Lubricants, Petroleum Products"/>
  </r>
  <r>
    <n v="108071"/>
    <x v="1"/>
    <x v="548"/>
    <s v="TRAD"/>
    <s v="Dept 846135630;PO Box 419267;Kansas City MO 64141;USA"/>
    <s v="USD"/>
    <x v="551"/>
    <x v="11"/>
    <x v="269"/>
    <s v="Safety Products, Fasteners, Power Tools, Lighting, Material Handling, Electrical Supplies"/>
  </r>
  <r>
    <s v="000987"/>
    <x v="1"/>
    <x v="549"/>
    <s v="TRAD"/>
    <s v="6180 Ordan Dr;Mississauga ON L5T 2B3;CAN"/>
    <s v="CAD"/>
    <x v="552"/>
    <x v="11"/>
    <x v="37"/>
    <s v="Forklift Sales &amp; Rental, Parts, Service, Warehouse Equipment"/>
  </r>
  <r>
    <n v="150726"/>
    <x v="1"/>
    <x v="550"/>
    <s v="TRAD"/>
    <s v="961 KENNY JORDAN RD;TABOR CITY NC 28463-7391;USA"/>
    <s v="USD"/>
    <x v="553"/>
    <x v="3"/>
    <x v="270"/>
    <s v="Vehicle Towing, Roadside Assistance, Accident Recovery"/>
  </r>
  <r>
    <n v="152248"/>
    <x v="1"/>
    <x v="551"/>
    <s v="RENT"/>
    <s v="1200 17TH ST;STE 2900;DENVER CO 80202-5835;USA"/>
    <s v="USD"/>
    <x v="554"/>
    <x v="8"/>
    <x v="28"/>
    <s v="Industrial Real Estate, Property Management"/>
  </r>
  <r>
    <n v="150103"/>
    <x v="1"/>
    <x v="552"/>
    <s v="TRAD"/>
    <s v="12650 N. Beach St.;Fort Worth TX 76244;USA"/>
    <s v="USD"/>
    <x v="555"/>
    <x v="21"/>
    <x v="28"/>
    <s v="Real Estate, Property Management"/>
  </r>
  <r>
    <n v="108809"/>
    <x v="1"/>
    <x v="553"/>
    <s v="TRAD"/>
    <s v="PO Box 50196;Los Angeles CA 90074 0196;USA"/>
    <s v="USD"/>
    <x v="556"/>
    <x v="8"/>
    <x v="28"/>
    <s v="Real Estate, Property Management"/>
  </r>
  <r>
    <n v="100095"/>
    <x v="1"/>
    <x v="554"/>
    <s v="TRAD"/>
    <s v="PO Box 2208;Decatur AL 35609-2208;USA"/>
    <s v="USD"/>
    <x v="557"/>
    <x v="3"/>
    <x v="271"/>
    <s v="Auto Service, Vehicle Maintenance, Fleet Services"/>
  </r>
  <r>
    <n v="101749"/>
    <x v="1"/>
    <x v="555"/>
    <s v="TRAD"/>
    <s v="PO Box 88026;Seattle WA 98138 2026;USA"/>
    <s v="USD"/>
    <x v="558"/>
    <x v="3"/>
    <x v="272"/>
    <s v="Truckload Shipping, Logistics, Delivery Services"/>
  </r>
  <r>
    <n v="120439"/>
    <x v="1"/>
    <x v="556"/>
    <s v="TRAD"/>
    <s v="1341 W MOCKINGBIRD LN;West Tower, Suite 700W;DALLAS TX 75247-6913;USA"/>
    <s v="USD"/>
    <x v="559"/>
    <x v="15"/>
    <x v="273"/>
    <s v="Executive Assessment, Leadership Development, 360° Surveys, Succession Planning, Pre-Employment Testing"/>
  </r>
  <r>
    <n v="148007"/>
    <x v="1"/>
    <x v="557"/>
    <s v="LEGAL"/>
    <s v="1415 L St Ste 1200;Sacramento CA 95814;USA"/>
    <s v="USD"/>
    <x v="560"/>
    <x v="12"/>
    <x v="274"/>
    <s v="Election Law, Political Compliance, Government Relations, Ballot Measures"/>
  </r>
  <r>
    <n v="128959"/>
    <x v="1"/>
    <x v="558"/>
    <s v="TRAD"/>
    <s v="6220 Stoneridge Mall Rd;Floor 2;Pleasanton CA 94588;USA"/>
    <s v="USD"/>
    <x v="561"/>
    <x v="6"/>
    <x v="275"/>
    <s v="AI-Powered Feedback, Survey Management, Text Analytics, Digital Experience, Contact Center Intelligence"/>
  </r>
  <r>
    <n v="129171"/>
    <x v="1"/>
    <x v="559"/>
    <s v="TRAD"/>
    <s v="1440 Middle Gulf Dr;Unit 1A;Sanibel FL 33957-6513;USA"/>
    <s v="USD"/>
    <x v="562"/>
    <x v="10"/>
    <x v="69"/>
    <s v="Professional Services"/>
  </r>
  <r>
    <n v="150402"/>
    <x v="1"/>
    <x v="560"/>
    <s v="TRAD"/>
    <s v="15950 BAY VISTA DR;STE 250;CLEARWATER FL 33760-3115;USA"/>
    <s v="USD"/>
    <x v="563"/>
    <x v="10"/>
    <x v="276"/>
    <s v="SAM Registration, Government Bid Matching, Contract Consulting, Compliance, SBA Assistance"/>
  </r>
  <r>
    <n v="120938"/>
    <x v="1"/>
    <x v="561"/>
    <s v="TRAD"/>
    <s v="2278 Pike Ct;Suite A;Concord CA 94520-8594;USA"/>
    <s v="USD"/>
    <x v="564"/>
    <x v="2"/>
    <x v="277"/>
    <s v="Diesel Delivery, Renewable Diesel, Propane, Lubricants, Fleet Fuel Cards, Mobile Fuel Tanks"/>
  </r>
  <r>
    <n v="151110"/>
    <x v="1"/>
    <x v="562"/>
    <s v="TRAD"/>
    <s v="629 S MINNESOTA AVE;Ste 104;SIOUX FALLS SD 57104-4874;USA"/>
    <s v="USD"/>
    <x v="565"/>
    <x v="10"/>
    <x v="278"/>
    <s v="Concrete Pouring, Flatwork, Foundation, Demolition"/>
  </r>
  <r>
    <n v="148279"/>
    <x v="1"/>
    <x v="563"/>
    <s v="FRGT"/>
    <s v="209 W Arthur St;PO Box 27;Farber MO 63345;USA"/>
    <s v="USD"/>
    <x v="566"/>
    <x v="3"/>
    <x v="5"/>
    <s v="Trucking, Freight, Delivery Services"/>
  </r>
  <r>
    <n v="132482"/>
    <x v="1"/>
    <x v="564"/>
    <s v="RENT"/>
    <s v="1030 W Chicago Ave;Suite 300;Chicago IL 60642-5671;USA"/>
    <s v="USD"/>
    <x v="567"/>
    <x v="8"/>
    <x v="28"/>
    <s v="Real Estate, Property Management"/>
  </r>
  <r>
    <n v="100755"/>
    <x v="1"/>
    <x v="565"/>
    <s v="TRAD"/>
    <s v="4025 Tampa Rd;Ste 1109;Oldsmar FL 34677-3213;USA"/>
    <s v="USD"/>
    <x v="568"/>
    <x v="15"/>
    <x v="279"/>
    <s v="IT Staffing, Contract-to-Hire, Project Management, Technology Consulting"/>
  </r>
  <r>
    <n v="119443"/>
    <x v="1"/>
    <x v="566"/>
    <s v="RENT"/>
    <s v="PO Box 2807;San Angelo TX 76902-2807;USA"/>
    <s v="USD"/>
    <x v="569"/>
    <x v="8"/>
    <x v="28"/>
    <s v="Real Estate, Property Management"/>
  </r>
  <r>
    <n v="146181"/>
    <x v="1"/>
    <x v="567"/>
    <s v="TRAD"/>
    <s v="43 West 24th Street;5th Floor;New York NY 10010;USA"/>
    <s v="USD"/>
    <x v="570"/>
    <x v="6"/>
    <x v="280"/>
    <s v="Consumer Spending Data, Market Intelligence, Competitive Intelligence, Transaction Analytics"/>
  </r>
  <r>
    <n v="148590"/>
    <x v="1"/>
    <x v="568"/>
    <s v="TRAD"/>
    <s v="2517 Krueger Lane;Tampa FL 33618;USA"/>
    <s v="USD"/>
    <x v="571"/>
    <x v="16"/>
    <x v="281"/>
    <s v="Air Conditioning Repair, Heating, Ventilation Systems"/>
  </r>
  <r>
    <n v="113252"/>
    <x v="1"/>
    <x v="569"/>
    <s v="RENT"/>
    <s v="PO Box 8372;Greenville SC 29604;USA"/>
    <s v="USD"/>
    <x v="572"/>
    <x v="8"/>
    <x v="28"/>
    <s v="Industrial Real Estate, Property Management"/>
  </r>
  <r>
    <n v="142800"/>
    <x v="1"/>
    <x v="570"/>
    <s v="RENT"/>
    <s v="62 Derby Street;STE 3;Hingham MA 02043;USA"/>
    <s v="USD"/>
    <x v="573"/>
    <x v="8"/>
    <x v="28"/>
    <s v="Real Estate, Property Management"/>
  </r>
  <r>
    <n v="144433"/>
    <x v="1"/>
    <x v="571"/>
    <s v="TRAD"/>
    <s v="6911 8th Street;Buena Park CA 90620;USA"/>
    <s v="USD"/>
    <x v="574"/>
    <x v="11"/>
    <x v="282"/>
    <s v="Material Handling Equipment, Forklifts, Aerial Lifts, Parts &amp; Service"/>
  </r>
  <r>
    <n v="130824"/>
    <x v="1"/>
    <x v="572"/>
    <s v="TRAD"/>
    <s v="6320 S Lawler Ave;Chicago IL 60638-5727;USA"/>
    <s v="USD"/>
    <x v="575"/>
    <x v="10"/>
    <x v="283"/>
    <s v="Consulting Services"/>
  </r>
  <r>
    <n v="150124"/>
    <x v="1"/>
    <x v="573"/>
    <s v="BENEFITS"/>
    <s v="22 BRITTON DR;BLOOMFIELD CT 06002-3617;USA"/>
    <s v="USD"/>
    <x v="576"/>
    <x v="15"/>
    <x v="284"/>
    <s v="Union Representation, Labor Relations, Dues Administration, Collective Bargaining"/>
  </r>
  <r>
    <n v="147474"/>
    <x v="1"/>
    <x v="574"/>
    <s v="RENT"/>
    <s v="1621 Veterans Blvd;Airdrie AB T4A 2G7;CAN"/>
    <s v="CAD"/>
    <x v="577"/>
    <x v="29"/>
    <x v="285"/>
    <s v="Auto Auctions, Fleet Remarketing, Vehicle Sales"/>
  </r>
  <r>
    <n v="147390"/>
    <x v="1"/>
    <x v="575"/>
    <s v="TRAD"/>
    <s v="PO Box 360229;Pittsburgh PA 15251;USA"/>
    <s v="USD"/>
    <x v="578"/>
    <x v="0"/>
    <x v="3"/>
    <s v="Life Insurance, Dental Insurance, Vision, Disability, Group Benefits, Retirement"/>
  </r>
  <r>
    <n v="145658"/>
    <x v="1"/>
    <x v="576"/>
    <s v="RENT"/>
    <s v="5 Coronation Circle;Brampton ON L6Z 3Z6;CAN"/>
    <s v="CAD"/>
    <x v="579"/>
    <x v="8"/>
    <x v="28"/>
    <s v="Real Estate, Property Management"/>
  </r>
  <r>
    <n v="145911"/>
    <x v="1"/>
    <x v="577"/>
    <s v="TRAD"/>
    <s v="PO Box 1177;Live Oak FL 32064;USA"/>
    <s v="USD"/>
    <x v="580"/>
    <x v="3"/>
    <x v="286"/>
    <s v="Material Handling, Equipment Rental, Parts &amp; Service"/>
  </r>
  <r>
    <n v="132174"/>
    <x v="1"/>
    <x v="578"/>
    <s v="TRAD"/>
    <s v="PO Box 204393;Dallas TX 75320-4393;USA"/>
    <s v="USD"/>
    <x v="581"/>
    <x v="1"/>
    <x v="287"/>
    <s v="Business Listings, Online Reviews, Advertising, Local Search, Yelp Ads, Restaurant Reservations"/>
  </r>
  <r>
    <n v="150495"/>
    <x v="1"/>
    <x v="579"/>
    <s v="FRGT"/>
    <s v="6900 E CAMELBACK RD;STE 700;SCOTTSDALE AZ 85251-2431;USA"/>
    <s v="USD"/>
    <x v="582"/>
    <x v="2"/>
    <x v="19"/>
    <s v="Truckload Shipping, LTL, Expedited Freight, Supply Chain Solutions"/>
  </r>
  <r>
    <n v="129619"/>
    <x v="1"/>
    <x v="580"/>
    <s v="TRAD"/>
    <s v="1000 N ST;# 365;LOUISE TX 77455-9800;USA"/>
    <s v="USD"/>
    <x v="583"/>
    <x v="32"/>
    <x v="288"/>
    <s v="Commercial Lighting, LED Upgrades, Lighting Maintenance, Energy Efficiency"/>
  </r>
  <r>
    <n v="128339"/>
    <x v="1"/>
    <x v="581"/>
    <s v="TRAD"/>
    <s v="1499 W 120TH AVE;STE 110;WESTMINSTER CO 80234-2751;USA"/>
    <s v="USD"/>
    <x v="584"/>
    <x v="4"/>
    <x v="289"/>
    <s v="Reputation Management, Review Monitoring, Review Generation, Local SEO"/>
  </r>
  <r>
    <n v="128601"/>
    <x v="1"/>
    <x v="582"/>
    <s v="TRAD"/>
    <s v="310 Bay Rd;Queensbury NY 12804-1400;USA"/>
    <s v="USD"/>
    <x v="585"/>
    <x v="0"/>
    <x v="290"/>
    <s v="Cost Recovery, Telecom Audit, Expense Reduction"/>
  </r>
  <r>
    <n v="104633"/>
    <x v="1"/>
    <x v="583"/>
    <s v="FRGT"/>
    <s v="PO Box 389;Fort Fairfield ME 04742 0389;USA"/>
    <s v="USD"/>
    <x v="586"/>
    <x v="3"/>
    <x v="5"/>
    <s v="Truckload Shipping, Cross-Border Transport, Logistics"/>
  </r>
  <r>
    <n v="152734"/>
    <x v="1"/>
    <x v="584"/>
    <s v="RENT"/>
    <s v="100 CRESCENT CT;STE 850;DALLAS TX 75201-6904;USA"/>
    <s v="USD"/>
    <x v="587"/>
    <x v="8"/>
    <x v="28"/>
    <s v="Real Estate, Property Management"/>
  </r>
  <r>
    <n v="142948"/>
    <x v="1"/>
    <x v="585"/>
    <s v="TRAD"/>
    <s v="171 POND CYPRESS RD;VENICE FL 34292-1749;USA"/>
    <s v="USD"/>
    <x v="588"/>
    <x v="21"/>
    <x v="28"/>
    <s v="Real Estate, Property Management"/>
  </r>
  <r>
    <n v="146617"/>
    <x v="1"/>
    <x v="586"/>
    <s v="TRAD"/>
    <s v="501 North Morton Street;Suite 212;Bloomington IN 47404;USA"/>
    <s v="USD"/>
    <x v="589"/>
    <x v="6"/>
    <x v="291"/>
    <s v="Paid Media, SEO, Analytics, Performance Marketing, Influencer Marketing"/>
  </r>
  <r>
    <n v="123089"/>
    <x v="1"/>
    <x v="587"/>
    <s v="RENT"/>
    <s v="1525 Dennison Rd;East Lansing MI 48823-2193;USA"/>
    <s v="USD"/>
    <x v="590"/>
    <x v="8"/>
    <x v="28"/>
    <s v="Real Estate, Property Management"/>
  </r>
  <r>
    <n v="141270"/>
    <x v="1"/>
    <x v="588"/>
    <s v="TRAD"/>
    <s v="PO Box 936322;Atlanta GA 31193;USA"/>
    <s v="USD"/>
    <x v="591"/>
    <x v="26"/>
    <x v="292"/>
    <s v="Fire Sprinklers, Fire Alarms, Inspections, Maintenance"/>
  </r>
  <r>
    <n v="148375"/>
    <x v="1"/>
    <x v="589"/>
    <s v="TRAD"/>
    <s v="10 Water Street ;Suite 150;Lebanon NH 03766;USA"/>
    <s v="USD"/>
    <x v="592"/>
    <x v="6"/>
    <x v="293"/>
    <s v="Programmatic Job Advertising, Talent Acquisition Technology, Employer Branding"/>
  </r>
  <r>
    <n v="148212"/>
    <x v="1"/>
    <x v="590"/>
    <s v="TRAD"/>
    <s v="PO Box 102409;Atlanta GA 30368;USA"/>
    <s v="USD"/>
    <x v="593"/>
    <x v="15"/>
    <x v="294"/>
    <s v="CDL Driver Staffing, Temp Drivers, Dedicated Drivers, Fleet Staffing Solutions"/>
  </r>
  <r>
    <n v="125645"/>
    <x v="1"/>
    <x v="591"/>
    <s v="TRAD"/>
    <s v="433 Las Colinas Blvd E;Ste 1300;Irving TX 75039-6290;USA"/>
    <s v="USD"/>
    <x v="594"/>
    <x v="18"/>
    <x v="295"/>
    <s v="Internet, TV, Voice, Business Communications, Spectrum"/>
  </r>
  <r>
    <n v="127377"/>
    <x v="1"/>
    <x v="592"/>
    <s v="TRAD"/>
    <s v="87-161 Manuoioi Pl;Waianae HI 96792-3233;USA"/>
    <s v="USD"/>
    <x v="595"/>
    <x v="3"/>
    <x v="296"/>
    <s v="Trucking, Freight Hauling, Local &amp; Long-Haul"/>
  </r>
  <r>
    <n v="145370"/>
    <x v="1"/>
    <x v="593"/>
    <s v="TRAD"/>
    <s v="444 North Michigan Avenue;Suite 1270;Chicago IL 60611;USA"/>
    <s v="USD"/>
    <x v="596"/>
    <x v="6"/>
    <x v="297"/>
    <s v="Paid Media, SEO, Social Media Marketing, Analytics"/>
  </r>
  <r>
    <n v="104291"/>
    <x v="1"/>
    <x v="594"/>
    <s v="TRAD"/>
    <s v="ATTN: Sue;9806 TERRACE TRAIL LANE;Tampa FL 33637;USA"/>
    <s v="USD"/>
    <x v="597"/>
    <x v="4"/>
    <x v="298"/>
    <s v="Restraint Products, Safety Equipment, Vehicle Accessories"/>
  </r>
  <r>
    <n v="127172"/>
    <x v="1"/>
    <x v="595"/>
    <s v="UTIL"/>
    <s v="335 Perkinsville Rd;Highland NY 12528-2161;USA"/>
    <s v="USD"/>
    <x v="598"/>
    <x v="19"/>
    <x v="299"/>
    <s v="Propane Delivery, Tank Installation, Residential &amp; Commercial Propane"/>
  </r>
  <r>
    <n v="147709"/>
    <x v="1"/>
    <x v="596"/>
    <s v="RENT"/>
    <s v="5507 E Wishon Rd;Snohomish WA 98290;USA"/>
    <s v="USD"/>
    <x v="599"/>
    <x v="8"/>
    <x v="28"/>
    <s v="Real Estate, Property Management"/>
  </r>
  <r>
    <n v="151082"/>
    <x v="1"/>
    <x v="597"/>
    <s v="TRAD"/>
    <s v="1700 S PAVILION CENTER DR;Suite 330;LAS VEGAS NV 89135-1859;USA"/>
    <s v="USD"/>
    <x v="600"/>
    <x v="6"/>
    <x v="300"/>
    <s v="SAP &amp; Oracle Support, Managed Services, Security Solutions, AI ERP Innovation, Software Maintenance"/>
  </r>
  <r>
    <n v="111528"/>
    <x v="1"/>
    <x v="598"/>
    <s v="TRAD"/>
    <s v="866 Industrial Blvd;Waconia MN 55387 1045;USA"/>
    <s v="USD"/>
    <x v="601"/>
    <x v="11"/>
    <x v="301"/>
    <s v="Custom Packaging, Industrial Products, Contract Manufacturing"/>
  </r>
  <r>
    <n v="121882"/>
    <x v="1"/>
    <x v="599"/>
    <s v="TRAD"/>
    <s v="1100 Park Ave;Apt 11C;New York NY 10128-1202;USA"/>
    <s v="USD"/>
    <x v="602"/>
    <x v="10"/>
    <x v="69"/>
    <s v="Professional Services"/>
  </r>
  <r>
    <n v="113993"/>
    <x v="1"/>
    <x v="600"/>
    <s v="FRAN"/>
    <s v="4605 Candy Ln;Tyler TX 75701-8468;USA"/>
    <s v="USD"/>
    <x v="603"/>
    <x v="8"/>
    <x v="63"/>
    <s v="Container Rental, Moving Storage, On-Site Storage"/>
  </r>
  <r>
    <n v="145149"/>
    <x v="1"/>
    <x v="601"/>
    <s v="BROKER"/>
    <s v="13202 West 98th Street;Lenexa KS 66215;USA"/>
    <s v="USD"/>
    <x v="604"/>
    <x v="2"/>
    <x v="39"/>
    <s v="LTL/FTL Shipping, Logistics, Transportation Management, Carrier Coordination"/>
  </r>
  <r>
    <n v="121723"/>
    <x v="1"/>
    <x v="602"/>
    <s v="TRAD"/>
    <s v="29 Camp 8 Rd;Bluffton SC 29910;USA"/>
    <s v="USD"/>
    <x v="605"/>
    <x v="10"/>
    <x v="302"/>
    <s v="General Trade Services, Contracting"/>
  </r>
  <r>
    <n v="118425"/>
    <x v="1"/>
    <x v="603"/>
    <s v="TRAD"/>
    <s v="297 Kingsbury Grade;Ste 1025;Mail Box 4470;Stateline NV 89449;USA"/>
    <s v="USD"/>
    <x v="606"/>
    <x v="6"/>
    <x v="303"/>
    <s v="Membership Programs, Consumer Engagement, Loyalty Solutions"/>
  </r>
  <r>
    <n v="110227"/>
    <x v="1"/>
    <x v="604"/>
    <s v="TRAD"/>
    <s v="3350 W Salt Creek Ln;Suite 100;Arlington Heights IL 60005-5023;USA"/>
    <s v="USD"/>
    <x v="607"/>
    <x v="6"/>
    <x v="304"/>
    <s v="Lease Accounting, Lease Administration, Compliance (ASC 842/IFRS 16)"/>
  </r>
  <r>
    <n v="107947"/>
    <x v="1"/>
    <x v="605"/>
    <s v="TRAD"/>
    <s v="PO Box 281811;Atlanta GA 30384;USA"/>
    <s v="USD"/>
    <x v="608"/>
    <x v="3"/>
    <x v="305"/>
    <s v="Truck &amp; Trailer Parts, Brake Components, Filters, Fleet Service Centers"/>
  </r>
  <r>
    <n v="103800"/>
    <x v="1"/>
    <x v="606"/>
    <s v="LEGAL"/>
    <s v="2309 S MACDILL AVE;TAMPA FL 33629-5918;USA"/>
    <s v="USD"/>
    <x v="609"/>
    <x v="12"/>
    <x v="306"/>
    <s v="Trust Administration, Legal Services, Litigation"/>
  </r>
  <r>
    <n v="100414"/>
    <x v="1"/>
    <x v="607"/>
    <s v="TRAD"/>
    <s v="Lockbox 920310;PO Box 4090, Station A;Toronto ON M5W 0E9;CAN"/>
    <s v="CAD"/>
    <x v="610"/>
    <x v="4"/>
    <x v="307"/>
    <s v="Customs Clearance, Trade Compliance, Freight Forwarding, Global Trade Management"/>
  </r>
  <r>
    <n v="108228"/>
    <x v="1"/>
    <x v="608"/>
    <s v="TRAD"/>
    <s v="14904 Collection Center Dr;Chicago IL 60693-0149;USA"/>
    <s v="USD"/>
    <x v="611"/>
    <x v="14"/>
    <x v="308"/>
    <s v="HOA Management, Property Services, Financial Management"/>
  </r>
  <r>
    <n v="147481"/>
    <x v="1"/>
    <x v="609"/>
    <s v="TRAD"/>
    <s v="749 N Greece Rd;Rochester NY 14612;USA"/>
    <s v="USD"/>
    <x v="612"/>
    <x v="20"/>
    <x v="309"/>
    <s v="Janitorial, Office Cleaning, Facility Maintenance"/>
  </r>
  <r>
    <n v="144406"/>
    <x v="1"/>
    <x v="610"/>
    <s v="TRAD"/>
    <s v="300 Brookside Avenue;Bldg. 18, Suite 200;Ambler PA 19002;USA"/>
    <s v="USD"/>
    <x v="613"/>
    <x v="15"/>
    <x v="310"/>
    <s v="AI Recruiting, Candidate Experience, Employee Experience, Career Pathing, CRM, Talent Marketplace"/>
  </r>
  <r>
    <n v="122512"/>
    <x v="1"/>
    <x v="611"/>
    <s v="UTIL"/>
    <s v="PO Box 807;Commerce City CO 80037-0807;USA"/>
    <s v="USD"/>
    <x v="614"/>
    <x v="19"/>
    <x v="311"/>
    <s v="Propane Delivery, Tank Exchange, Gas Supply"/>
  </r>
  <r>
    <n v="131220"/>
    <x v="1"/>
    <x v="612"/>
    <s v="TRAD"/>
    <s v="PO Box 741605;Atlanta GA 30374-1605;USA"/>
    <s v="USD"/>
    <x v="615"/>
    <x v="30"/>
    <x v="312"/>
    <s v="Overhead Doors, Dock Levelers, Safety Equipment, Installation &amp; Service"/>
  </r>
  <r>
    <n v="147090"/>
    <x v="1"/>
    <x v="613"/>
    <s v="TRAD"/>
    <s v="11740 Katy Freeway ;Suite 900;Houston TX 77079;USA"/>
    <s v="USD"/>
    <x v="616"/>
    <x v="4"/>
    <x v="313"/>
    <s v="Drug Testing, Background Checks, DOT Compliance, Occupational Health"/>
  </r>
  <r>
    <n v="102279"/>
    <x v="1"/>
    <x v="614"/>
    <s v="TRAD"/>
    <s v="12269 COLLECTIONS CENTER DR;Chicago IL 60693;USA"/>
    <s v="USD"/>
    <x v="617"/>
    <x v="7"/>
    <x v="314"/>
    <s v="Internal Audit, Risk Management, IT Consulting, Regulatory Compliance, Data Analytics, AI Services"/>
  </r>
  <r>
    <s v="001063"/>
    <x v="1"/>
    <x v="615"/>
    <s v="RENT"/>
    <s v="1055 Dunsmuir St.;Ste. 910;Vancouver BC V7X 1L3;CAN"/>
    <s v="CAD"/>
    <x v="618"/>
    <x v="8"/>
    <x v="28"/>
    <s v="Real Estate, Property Management"/>
  </r>
  <r>
    <n v="131072"/>
    <x v="1"/>
    <x v="616"/>
    <s v="TRAD"/>
    <s v="1214 W Cass St;Tampa FL 33606-1342;USA"/>
    <s v="USD"/>
    <x v="619"/>
    <x v="15"/>
    <x v="315"/>
    <s v="CDL Drivers, Temporary Drivers, Fleet Staffing, Driver Recruitment"/>
  </r>
  <r>
    <n v="142108"/>
    <x v="1"/>
    <x v="617"/>
    <s v="RENT"/>
    <s v="10100 SANTA MONICA BLVD;Suite 2400;LOS ANGELES CA 90067-4003;USA"/>
    <s v="USD"/>
    <x v="620"/>
    <x v="8"/>
    <x v="28"/>
    <s v="Real Estate Investment, Property Management"/>
  </r>
  <r>
    <n v="102814"/>
    <x v="1"/>
    <x v="618"/>
    <s v="TRAD"/>
    <s v="PO Box 17245;Clearwater FL 33762 0245;USA"/>
    <s v="USD"/>
    <x v="621"/>
    <x v="20"/>
    <x v="316"/>
    <s v="Janitorial Services, Office Cleaning, Disinfecting"/>
  </r>
  <r>
    <n v="141854"/>
    <x v="1"/>
    <x v="619"/>
    <s v="RENT"/>
    <s v="321 North Front Street;Suite 300;Wilmington NC 28401;USA"/>
    <s v="USD"/>
    <x v="622"/>
    <x v="8"/>
    <x v="28"/>
    <s v="Real Estate, Property Management, Commercial Development"/>
  </r>
  <r>
    <n v="102082"/>
    <x v="1"/>
    <x v="620"/>
    <s v="RENT"/>
    <s v="PO Box 2550;Eugene OR 97402 0204;USA"/>
    <s v="USD"/>
    <x v="623"/>
    <x v="17"/>
    <x v="283"/>
    <s v="Consulting Services"/>
  </r>
  <r>
    <n v="151374"/>
    <x v="1"/>
    <x v="621"/>
    <s v="TRAD"/>
    <s v="1543 BILGARIE CT NE;CEDAR RAPIDS IA 52402-3361;USA"/>
    <s v="USD"/>
    <x v="624"/>
    <x v="8"/>
    <x v="63"/>
    <s v="Container Rental, Storage Solutions"/>
  </r>
  <r>
    <n v="119106"/>
    <x v="1"/>
    <x v="622"/>
    <s v="TRAD"/>
    <s v="1469 Durham St;Oakville ON L6J 2P4;CAN"/>
    <s v="USD"/>
    <x v="625"/>
    <x v="7"/>
    <x v="218"/>
    <s v="Consulting, Contracting Services"/>
  </r>
  <r>
    <n v="148218"/>
    <x v="1"/>
    <x v="623"/>
    <s v="RENT"/>
    <s v="917 Country Hill Dr ;Suite 1;South Ogden UT 84403;USA"/>
    <s v="USD"/>
    <x v="626"/>
    <x v="8"/>
    <x v="28"/>
    <s v="Real Estate, Property Management"/>
  </r>
  <r>
    <n v="116019"/>
    <x v="1"/>
    <x v="624"/>
    <s v="TRAD"/>
    <s v="25450 Network Place;Chicago IL 60673;USA"/>
    <s v="USD"/>
    <x v="627"/>
    <x v="7"/>
    <x v="317"/>
    <s v="Accounting, Tax Services, Business Consulting, HR Services"/>
  </r>
  <r>
    <n v="118493"/>
    <x v="1"/>
    <x v="625"/>
    <s v="TRAD"/>
    <s v="PO Box 676292;Dallas TX 75267;USA"/>
    <s v="USD"/>
    <x v="628"/>
    <x v="11"/>
    <x v="37"/>
    <s v="Forklift Sales &amp; Service, Aerial Lifts, Parts, Rentals, Material Handling"/>
  </r>
  <r>
    <n v="142378"/>
    <x v="1"/>
    <x v="626"/>
    <s v="TRAD"/>
    <s v="3815 West Mansfield Circle;West Jordan UT 84084;USA"/>
    <s v="USD"/>
    <x v="629"/>
    <x v="21"/>
    <x v="318"/>
    <s v="Handyman Services, Building Repair, Facility Maintenance"/>
  </r>
  <r>
    <n v="141946"/>
    <x v="1"/>
    <x v="627"/>
    <s v="RENT"/>
    <s v="360 BELMONT ST NE;SALEM OR 97301-1006;USA"/>
    <s v="USD"/>
    <x v="630"/>
    <x v="8"/>
    <x v="28"/>
    <s v="Real Estate Investment, Property Management"/>
  </r>
  <r>
    <n v="143608"/>
    <x v="1"/>
    <x v="628"/>
    <s v="FRGT"/>
    <s v="PO Box 262523;Houston TX 77207;USA"/>
    <s v="USD"/>
    <x v="631"/>
    <x v="33"/>
    <x v="319"/>
    <s v="Civil Engineering, Structural Engineering, Consulting"/>
  </r>
  <r>
    <n v="120602"/>
    <x v="1"/>
    <x v="629"/>
    <s v="TRAD"/>
    <s v="699 Aero Ln;Sanford FL 32771-6699;USA"/>
    <s v="USD"/>
    <x v="632"/>
    <x v="26"/>
    <x v="320"/>
    <s v="Fire Sprinkler Installation, Design, Inspection, Repair, Fire Alarm Systems"/>
  </r>
  <r>
    <n v="130883"/>
    <x v="1"/>
    <x v="630"/>
    <s v="TRAD"/>
    <s v="1617 Terre Colony Ct;Dallas TX 75212-6222;USA"/>
    <s v="USD"/>
    <x v="633"/>
    <x v="11"/>
    <x v="37"/>
    <s v="Forklift Sales &amp; Service, Pallet Jacks, Warehouse Equipment, Rentals, Parts"/>
  </r>
  <r>
    <n v="144439"/>
    <x v="1"/>
    <x v="631"/>
    <s v="TRAD"/>
    <s v="PO Box 979;Slatersville RI 02876;USA"/>
    <s v="USD"/>
    <x v="634"/>
    <x v="3"/>
    <x v="321"/>
    <s v="Diesel Repair, Fleet Maintenance, Truck Parts, Emergency Service"/>
  </r>
  <r>
    <n v="112737"/>
    <x v="1"/>
    <x v="632"/>
    <s v="COMM"/>
    <s v="6 Penn Ctr W;Suite 200;Pittsburgh PA 15276-0108;USA"/>
    <s v="USD"/>
    <x v="635"/>
    <x v="13"/>
    <x v="322"/>
    <s v="Global Mobility, Home Sale/Purchase, Immigration Services"/>
  </r>
  <r>
    <n v="102574"/>
    <x v="1"/>
    <x v="633"/>
    <s v="INSURANCE"/>
    <s v="PO Box 89492;Cleveland OH 44101 6492;USA"/>
    <s v="USD"/>
    <x v="636"/>
    <x v="5"/>
    <x v="323"/>
    <s v="Workers' Comp Claims, Employer Coverage, Safety Services, Return-to-Work Programs"/>
  </r>
  <r>
    <n v="101169"/>
    <x v="1"/>
    <x v="634"/>
    <s v="INSURANCE"/>
    <s v="PO Box 5160;New York NY 10087 5160;USA"/>
    <s v="USD"/>
    <x v="637"/>
    <x v="7"/>
    <x v="170"/>
    <s v="Strategy Consulting, Risk Management, Actuarial Services, Financial Services Advisory"/>
  </r>
  <r>
    <n v="110942"/>
    <x v="1"/>
    <x v="635"/>
    <s v="RENT"/>
    <s v="PO Box 2323;Smithfield NC 27577 2323;USA"/>
    <s v="USD"/>
    <x v="638"/>
    <x v="17"/>
    <x v="324"/>
    <s v="Wholesale Lumber, Hardwood, Building Supplies"/>
  </r>
  <r>
    <n v="103410"/>
    <x v="1"/>
    <x v="636"/>
    <s v="LEGAL"/>
    <s v="PO BOX 3239;Tampa FL 33601-3239;USA"/>
    <s v="USD"/>
    <x v="639"/>
    <x v="11"/>
    <x v="37"/>
    <s v="Forklift Sales &amp; Service, Rentals, Parts, Fleet Management"/>
  </r>
  <r>
    <n v="112753"/>
    <x v="1"/>
    <x v="637"/>
    <s v="BENEFITS"/>
    <s v="3 Gateway Ctr;401 Liberty Ave, Ste 1200;Pittsburgh PA 15222;USA"/>
    <s v="USD"/>
    <x v="640"/>
    <x v="5"/>
    <x v="325"/>
    <s v="Health &amp; Welfare Administration, Pension Administration, Participant Services, Taft-Hartley Fund Management"/>
  </r>
  <r>
    <n v="120487"/>
    <x v="1"/>
    <x v="638"/>
    <s v="TRAD"/>
    <s v="PO Box 730182;Dallas TX 75373-0182;USA"/>
    <s v="USD"/>
    <x v="641"/>
    <x v="5"/>
    <x v="326"/>
    <s v="Health &amp; Benefits Advisory, Retirement Planning, Total Rewards, Actuarial Services"/>
  </r>
  <r>
    <n v="150679"/>
    <x v="1"/>
    <x v="639"/>
    <s v="FRGT"/>
    <s v="2224 GRAND AVE;PHOENIX AZ 85009-2824;USA"/>
    <s v="USD"/>
    <x v="642"/>
    <x v="2"/>
    <x v="2"/>
    <s v="LTL Shipping, Truckload, Expedited Freight, Logistics"/>
  </r>
  <r>
    <n v="128434"/>
    <x v="1"/>
    <x v="640"/>
    <s v="TRAD"/>
    <s v="2346 S Lynhurst Dr;Ste F201c;Indianapolis IN 46241-8628;USA"/>
    <s v="USD"/>
    <x v="643"/>
    <x v="15"/>
    <x v="279"/>
    <s v="IT Consulting, Application Development, Staffing Solutions, Managed Services"/>
  </r>
  <r>
    <n v="151718"/>
    <x v="1"/>
    <x v="641"/>
    <s v="LEGAL"/>
    <s v="792 WISHARD AVE;SIMI VALLEY CA 93065-5676;USA"/>
    <s v="USD"/>
    <x v="644"/>
    <x v="12"/>
    <x v="327"/>
    <s v="Legal Consultation, Litigation, Legal Representation"/>
  </r>
  <r>
    <n v="151795"/>
    <x v="1"/>
    <x v="642"/>
    <s v="TRAD"/>
    <s v="Attn: Trust Department;100 Pringle Avenue, Suite 300;Walnut Creek CA 94596;USA"/>
    <s v="USD"/>
    <x v="645"/>
    <x v="12"/>
    <x v="48"/>
    <s v="Litigation, Corporate Transactions, Insurance Defense, Employment Law, Real Estate, IP"/>
  </r>
  <r>
    <n v="127748"/>
    <x v="1"/>
    <x v="643"/>
    <s v="TRAD"/>
    <s v="15806 Broadway Dr;Ste 200;Huntersville NC 28078;USA"/>
    <s v="USD"/>
    <x v="645"/>
    <x v="5"/>
    <x v="53"/>
    <s v="Medical Plans, Dental, Vision, Pharmacy Benefits"/>
  </r>
  <r>
    <n v="152518"/>
    <x v="1"/>
    <x v="644"/>
    <s v="TRAD"/>
    <s v="PO BOX 11091;ROCK HILL SC 29731-1091;USA"/>
    <s v="USD"/>
    <x v="645"/>
    <x v="12"/>
    <x v="260"/>
    <s v="Personal Injury, Workers' Compensation, Civil Litigation"/>
  </r>
  <r>
    <n v="149215"/>
    <x v="1"/>
    <x v="645"/>
    <s v="TRAD"/>
    <s v="110 Royal Little Drive;Providence RI 02904;USA"/>
    <s v="USD"/>
    <x v="645"/>
    <x v="3"/>
    <x v="328"/>
    <s v="Travel Services, Auto Insurance, Discounts, DMV Services"/>
  </r>
  <r>
    <n v="150046"/>
    <x v="1"/>
    <x v="646"/>
    <s v="TRAD"/>
    <s v="221 Main Street,;Suite 800,;San Francisco CA 94105;USA"/>
    <s v="USD"/>
    <x v="646"/>
    <x v="6"/>
    <x v="329"/>
    <s v="eSignature, Contract Lifecycle Management, Intelligent Agreement Management, Web Forms"/>
  </r>
  <r>
    <n v="128368"/>
    <x v="1"/>
    <x v="647"/>
    <s v="TRAD"/>
    <s v="1204 Haines Dr;Winter Haven FL 33881-0720;USA"/>
    <s v="USD"/>
    <x v="647"/>
    <x v="20"/>
    <x v="330"/>
    <s v="Janitorial, Office Cleaning, Residential Cleaning"/>
  </r>
  <r>
    <n v="101492"/>
    <x v="1"/>
    <x v="648"/>
    <s v="TRAD"/>
    <s v="PO Box 55848;Sherman Oaks CA 91413-0848;USA"/>
    <s v="USD"/>
    <x v="648"/>
    <x v="10"/>
    <x v="87"/>
    <s v="Multi-Family Construction, Commercial Construction, Educational Facilities, Healthcare Construction"/>
  </r>
  <r>
    <n v="125999"/>
    <x v="1"/>
    <x v="649"/>
    <s v="TRAD"/>
    <s v="PO Box 40;Marlboro NY 12542-0040;USA"/>
    <s v="USD"/>
    <x v="649"/>
    <x v="24"/>
    <x v="331"/>
    <s v="Landscape Maintenance, Snow Plowing, Ice Management, Grounds Care"/>
  </r>
  <r>
    <n v="150359"/>
    <x v="1"/>
    <x v="650"/>
    <s v="TRAD"/>
    <s v="9393 N 90TH ST;STE 102;SCOTTSDALE AZ 85258-5040;USA"/>
    <s v="USD"/>
    <x v="650"/>
    <x v="7"/>
    <x v="170"/>
    <s v="Strategic Advisory, Dispute Resolution, Risk Management"/>
  </r>
  <r>
    <n v="148811"/>
    <x v="1"/>
    <x v="651"/>
    <s v="TRAD"/>
    <s v="913 BOWMAN RD;STE 103;MOUNT PLEASANT SC 29464-3235;USA"/>
    <s v="USD"/>
    <x v="651"/>
    <x v="6"/>
    <x v="291"/>
    <s v="Performance Marketing, Social Media, Analytics, Paid Media, SEO"/>
  </r>
  <r>
    <n v="143271"/>
    <x v="1"/>
    <x v="652"/>
    <s v="TRAD"/>
    <s v="PO Box 24782;Seattle WA 98124;USA"/>
    <s v="USD"/>
    <x v="652"/>
    <x v="11"/>
    <x v="37"/>
    <s v="Forklift Sales &amp; Rental, Parts, Service, Fleet Management"/>
  </r>
  <r>
    <n v="143320"/>
    <x v="1"/>
    <x v="653"/>
    <s v="TRAD"/>
    <s v="4400 South Timercreek Avenue;Battlefield MO 65619;USA"/>
    <s v="USD"/>
    <x v="653"/>
    <x v="8"/>
    <x v="63"/>
    <s v="Container Rental, Portable Storage, Moving Storage, On-Site Storage"/>
  </r>
  <r>
    <n v="149494"/>
    <x v="1"/>
    <x v="654"/>
    <s v="TRAD"/>
    <s v="2208 Plainfield Pike;Johnston RI 02919;USA"/>
    <s v="USD"/>
    <x v="653"/>
    <x v="25"/>
    <x v="116"/>
    <s v="Trash Collection, Recycling, Roll-Off Dumpsters, Commercial Waste"/>
  </r>
  <r>
    <n v="127622"/>
    <x v="1"/>
    <x v="655"/>
    <s v="TRAD"/>
    <s v="169 MADISON AVE;Suite 11773;NEW YORK NY 10016-5101;USA"/>
    <s v="USD"/>
    <x v="654"/>
    <x v="5"/>
    <x v="332"/>
    <s v="Discount Marketplace, Voluntary Benefits, Rewards &amp; Recognition"/>
  </r>
  <r>
    <n v="113820"/>
    <x v="1"/>
    <x v="656"/>
    <s v="TRAD"/>
    <s v="PO Box 510495;Saint Louis MO 63151-0495;USA"/>
    <s v="USD"/>
    <x v="655"/>
    <x v="11"/>
    <x v="333"/>
    <s v="Industrial Supplies, Tools, Equipment, MRO Products"/>
  </r>
  <r>
    <n v="112398"/>
    <x v="1"/>
    <x v="657"/>
    <s v="RENT"/>
    <s v="3745 Hendricks Rd;Youngstown OH 44515 1506;USA"/>
    <s v="USD"/>
    <x v="656"/>
    <x v="8"/>
    <x v="28"/>
    <s v="Real Estate, Property Management"/>
  </r>
  <r>
    <n v="147425"/>
    <x v="1"/>
    <x v="658"/>
    <s v="RENT"/>
    <s v="5150 Reynolds Avenue;Waunakee WI 53597;USA"/>
    <s v="USD"/>
    <x v="656"/>
    <x v="8"/>
    <x v="28"/>
    <s v="Real Estate, Property Management"/>
  </r>
  <r>
    <n v="107958"/>
    <x v="1"/>
    <x v="659"/>
    <s v="TRAD"/>
    <s v="PO Box 7247-0385;Philadelphia PA 19170;USA"/>
    <s v="USD"/>
    <x v="657"/>
    <x v="5"/>
    <x v="334"/>
    <s v="Variable Life Insurance, Retirement Planning, Investment Products, Annuities"/>
  </r>
  <r>
    <n v="145199"/>
    <x v="1"/>
    <x v="660"/>
    <s v="RENT"/>
    <s v="1035 Stratford Road;Deerfield IL 60015;USA"/>
    <s v="USD"/>
    <x v="658"/>
    <x v="8"/>
    <x v="28"/>
    <s v="Real Estate, Property Management"/>
  </r>
  <r>
    <n v="144607"/>
    <x v="1"/>
    <x v="661"/>
    <s v="TRAD"/>
    <s v="29 West 35th Street;7th Floor;New York NY 10001;USA"/>
    <s v="USD"/>
    <x v="659"/>
    <x v="4"/>
    <x v="335"/>
    <s v="Social Media Management, AI-Powered CX, Contact Center, Consumer Insights, Digital Marketing, Advertising"/>
  </r>
  <r>
    <n v="128551"/>
    <x v="1"/>
    <x v="662"/>
    <s v="TRAD"/>
    <s v="301 E San Antonio Ave;Boerne TX 78006-2051;USA"/>
    <s v="USD"/>
    <x v="660"/>
    <x v="1"/>
    <x v="336"/>
    <s v="Custom Printing, Booklet Printing, Business Cards, Marketing Materials"/>
  </r>
  <r>
    <s v="000637"/>
    <x v="1"/>
    <x v="663"/>
    <s v="TRAD"/>
    <s v="102-19433 96th Avenue;Surrey BC V4N 4C4;CAN"/>
    <s v="CAD"/>
    <x v="661"/>
    <x v="11"/>
    <x v="37"/>
    <s v="Forklift Sales &amp; Rental, Parts, Service, Fleet Management"/>
  </r>
  <r>
    <n v="150473"/>
    <x v="1"/>
    <x v="664"/>
    <s v="RENT"/>
    <s v="5499 S WELLS DR;RIDGEFIELD WA 98642-7412;USA"/>
    <s v="USD"/>
    <x v="662"/>
    <x v="8"/>
    <x v="28"/>
    <s v="Real Estate, Property Management"/>
  </r>
  <r>
    <n v="147850"/>
    <x v="1"/>
    <x v="665"/>
    <s v="TRAD"/>
    <s v="5735 QUAM AVE NE;STE 600;SAINT MICHAEL MN 55376-9038;USA"/>
    <s v="USD"/>
    <x v="663"/>
    <x v="20"/>
    <x v="337"/>
    <s v="Facility Maintenance, Janitorial, Landscaping, Building Services, Snow Removal"/>
  </r>
  <r>
    <n v="148658"/>
    <x v="1"/>
    <x v="666"/>
    <s v="TRAD"/>
    <s v="16703 Early Riser Ave;Suite 229;Land O Lakes FL 34638;USA"/>
    <s v="USD"/>
    <x v="664"/>
    <x v="15"/>
    <x v="167"/>
    <s v="Temporary Staffing, Direct Hire, Workforce Solutions"/>
  </r>
  <r>
    <n v="100469"/>
    <x v="1"/>
    <x v="667"/>
    <s v="TRAD"/>
    <s v="PO BOX 116133;Atlanta GA 30368-6133;USA"/>
    <s v="USD"/>
    <x v="665"/>
    <x v="12"/>
    <x v="48"/>
    <s v="Corporate Law, Litigation, Government Investigations, Healthcare, IP, M&amp;A, Real Estate, Tax"/>
  </r>
  <r>
    <n v="152202"/>
    <x v="1"/>
    <x v="668"/>
    <s v="RENT"/>
    <s v="555 CAPITOL MALL;STE 900;SACRAMENTO CA 95814-4504;USA"/>
    <s v="USD"/>
    <x v="666"/>
    <x v="8"/>
    <x v="28"/>
    <s v="Real Estate Investment, Property Management"/>
  </r>
  <r>
    <n v="124764"/>
    <x v="1"/>
    <x v="669"/>
    <s v="FRGT"/>
    <s v="3250 Players Club Pkwy;Memphis TN 38125-8844;USA"/>
    <s v="USD"/>
    <x v="667"/>
    <x v="2"/>
    <x v="19"/>
    <s v="Truckload, LTL, Intermodal, Supply Chain Solutions"/>
  </r>
  <r>
    <n v="150625"/>
    <x v="1"/>
    <x v="670"/>
    <s v="TRAD"/>
    <s v="544 CLINTON ST;CIRCLEVILLE OH 43113-2010;USA"/>
    <s v="USD"/>
    <x v="668"/>
    <x v="11"/>
    <x v="338"/>
    <s v="Commercial Painting, Concrete Restoration, Roof Coating, Industrial Blasting, Floor Coating"/>
  </r>
  <r>
    <n v="130188"/>
    <x v="1"/>
    <x v="671"/>
    <s v="TRAD"/>
    <s v="777 Westchester Ave;Suite 201;White Plains NY 10604-3520;USA"/>
    <s v="USD"/>
    <x v="669"/>
    <x v="0"/>
    <x v="339"/>
    <s v="Tax Certification, Sales Tax Compliance, Tax Software, Consulting"/>
  </r>
  <r>
    <n v="146213"/>
    <x v="1"/>
    <x v="672"/>
    <s v="TRAD"/>
    <s v="PO Box 560685;Dallas TX 75356;USA"/>
    <s v="USD"/>
    <x v="670"/>
    <x v="3"/>
    <x v="90"/>
    <s v="International Trucks, Parts, Service, Leasing, Used Trucks"/>
  </r>
  <r>
    <n v="152315"/>
    <x v="1"/>
    <x v="673"/>
    <s v="TRAD"/>
    <s v="4880 RIDGEMOOR CIR;PALM HARBOR FL 34685-3151;USA"/>
    <s v="USD"/>
    <x v="671"/>
    <x v="10"/>
    <x v="283"/>
    <s v="Consulting Services"/>
  </r>
  <r>
    <n v="145838"/>
    <x v="1"/>
    <x v="674"/>
    <s v="TRAD"/>
    <s v="c/o T45971C;PO Box 4578, STN A ;Toronto ON M5W 0L8;CAN"/>
    <s v="CAD"/>
    <x v="672"/>
    <x v="6"/>
    <x v="67"/>
    <s v="Office Supplies, IT Equipment, Business-Only Pricing, Bulk Purchasing"/>
  </r>
  <r>
    <n v="142550"/>
    <x v="1"/>
    <x v="675"/>
    <s v="RENT"/>
    <s v="PO Box 792;West Chester PA 19381;USA"/>
    <s v="USD"/>
    <x v="673"/>
    <x v="8"/>
    <x v="28"/>
    <s v="Real Estate, Property Management"/>
  </r>
  <r>
    <n v="101822"/>
    <x v="1"/>
    <x v="676"/>
    <s v="UTIL"/>
    <s v="PO Box 734671;Dallas TX 75373-4671;USA"/>
    <s v="USD"/>
    <x v="674"/>
    <x v="11"/>
    <x v="340"/>
    <s v="Welding Supplies, Safety Products, MRO Products, Dry Ice"/>
  </r>
  <r>
    <n v="116977"/>
    <x v="1"/>
    <x v="677"/>
    <s v="TRAD"/>
    <s v="PO Box 743077;Los Angeles CA 90074-3077;USA"/>
    <s v="USD"/>
    <x v="675"/>
    <x v="3"/>
    <x v="90"/>
    <s v="Volvo &amp; Mack Trucks, Parts, Service, Leasing, Used Trucks, Body Shop"/>
  </r>
  <r>
    <n v="101390"/>
    <x v="1"/>
    <x v="678"/>
    <s v="TRAD"/>
    <s v="PO BOX 932011;Atlanta GA 31193-2011;USA"/>
    <s v="USD"/>
    <x v="676"/>
    <x v="7"/>
    <x v="17"/>
    <s v="Audit &amp; Assurance, Tax Advisory, Consulting, Deals Advisory, Risk Management, ESG, Digital Transformation"/>
  </r>
  <r>
    <n v="110586"/>
    <x v="1"/>
    <x v="679"/>
    <s v="TRAD"/>
    <s v="3750 Collection Center Dr;Chicago IL 60693 0037;USA"/>
    <s v="USD"/>
    <x v="677"/>
    <x v="15"/>
    <x v="214"/>
    <s v="Contract Staffing, Direct Hire, Workforce Solutions"/>
  </r>
  <r>
    <n v="144543"/>
    <x v="1"/>
    <x v="680"/>
    <s v="FRGT"/>
    <s v="2 North Central Avenue;Suite 1800;Phoenix AZ 85004;USA"/>
    <s v="USD"/>
    <x v="678"/>
    <x v="2"/>
    <x v="2"/>
    <s v="Trucking, Logistics, Delivery Services"/>
  </r>
  <r>
    <n v="147225"/>
    <x v="1"/>
    <x v="681"/>
    <s v="TRAD"/>
    <s v="PO BOX 851688;Minneapolis MN 55485;USA"/>
    <s v="USD"/>
    <x v="679"/>
    <x v="11"/>
    <x v="37"/>
    <s v="Forklift Sales &amp; Service, Equipment Rental, Parts"/>
  </r>
  <r>
    <n v="105338"/>
    <x v="1"/>
    <x v="682"/>
    <s v="RENT"/>
    <s v="3000 MIDLANTIC DR;STE 200;MOUNT LAUREL NJ 08054-1513;USA"/>
    <s v="USD"/>
    <x v="680"/>
    <x v="8"/>
    <x v="28"/>
    <s v="Real Estate, Property Management"/>
  </r>
  <r>
    <n v="130029"/>
    <x v="1"/>
    <x v="683"/>
    <s v="TRAD"/>
    <s v="Dept 6306;PO Box 30516;Grand Rapids MI 49512;USA"/>
    <s v="USD"/>
    <x v="681"/>
    <x v="20"/>
    <x v="341"/>
    <s v="Server Maintenance, Storage Support, Network Hardware, Data Center Services, IT Infrastructure"/>
  </r>
  <r>
    <n v="128653"/>
    <x v="1"/>
    <x v="684"/>
    <s v="TRAD"/>
    <s v="PO Box 733054;Dallas TX 75373-3054;USA"/>
    <s v="USD"/>
    <x v="682"/>
    <x v="6"/>
    <x v="342"/>
    <s v="Custom Software Development, SAP Consulting, IT Solutions"/>
  </r>
  <r>
    <n v="123800"/>
    <x v="1"/>
    <x v="685"/>
    <s v="TRAD"/>
    <s v="901 S MO Pac Expy;Bldg 111, Suite 400;Austin TX 78746-5776;USA"/>
    <s v="USD"/>
    <x v="683"/>
    <x v="4"/>
    <x v="343"/>
    <s v="Threat Intelligence, Travel Risk Management, Crisis Communication"/>
  </r>
  <r>
    <n v="150388"/>
    <x v="1"/>
    <x v="686"/>
    <s v="RENT"/>
    <s v="PO BOX 2003;HILLSBORO OR 97123-1918;USA"/>
    <s v="USD"/>
    <x v="684"/>
    <x v="8"/>
    <x v="28"/>
    <s v="Real Estate, Property Management"/>
  </r>
  <r>
    <n v="132379"/>
    <x v="1"/>
    <x v="687"/>
    <s v="TRAD"/>
    <s v="2241 Pinnacle Pkwy;Ste D;Twinsburg OH 44087-5300;USA"/>
    <s v="USD"/>
    <x v="684"/>
    <x v="20"/>
    <x v="344"/>
    <s v="Building Maintenance, Property Management, Janitorial"/>
  </r>
  <r>
    <n v="124225"/>
    <x v="1"/>
    <x v="688"/>
    <s v="TRAD"/>
    <s v="976 Main St;Crete IL 60417-1925;USA"/>
    <s v="USD"/>
    <x v="685"/>
    <x v="10"/>
    <x v="25"/>
    <s v="Plumbing, Electrical, HVAC, Handyman Services"/>
  </r>
  <r>
    <n v="124026"/>
    <x v="1"/>
    <x v="689"/>
    <s v="TRAD"/>
    <s v="2701 Prince St;Fort Myers FL 33916-5529;USA"/>
    <s v="USD"/>
    <x v="686"/>
    <x v="10"/>
    <x v="250"/>
    <s v="HVAC, Plumbing, Electrical, General Contracting"/>
  </r>
  <r>
    <n v="150019"/>
    <x v="1"/>
    <x v="690"/>
    <s v="LEGAL"/>
    <s v="14 – 16 Dowgate Hill,;London EC4R 2SU;GBR"/>
    <s v="USD"/>
    <x v="687"/>
    <x v="12"/>
    <x v="327"/>
    <s v="Legal Counsel, Attorney Services"/>
  </r>
  <r>
    <n v="151563"/>
    <x v="1"/>
    <x v="691"/>
    <s v="TRAD"/>
    <s v="33 South Hope Street, 40th Floor;Los Angeles CA 90071;USA"/>
    <s v="USD"/>
    <x v="688"/>
    <x v="12"/>
    <x v="260"/>
    <s v="Litigation, Real Estate Law, Business Law, Employment Law"/>
  </r>
  <r>
    <s v="000896"/>
    <x v="1"/>
    <x v="692"/>
    <s v="TRAD"/>
    <s v="PO Box 7446;Station A;Toronto ON M5W 3C1;CAN"/>
    <s v="CAD"/>
    <x v="689"/>
    <x v="0"/>
    <x v="345"/>
    <s v="Equipment Leasing, Financing, Capital Solutions, Fleet Financing"/>
  </r>
  <r>
    <n v="124830"/>
    <x v="1"/>
    <x v="693"/>
    <s v="TRAD"/>
    <s v="5863 Hargrove St;Norfolk VA 23502-4636;USA"/>
    <s v="USD"/>
    <x v="690"/>
    <x v="30"/>
    <x v="346"/>
    <s v="Overhead Doors, Dock Equipment, Installation &amp; Repair"/>
  </r>
  <r>
    <n v="123453"/>
    <x v="1"/>
    <x v="694"/>
    <s v="TRAD"/>
    <s v="32091 Hollingsworth Ave;Warren MI 48092-1226;USA"/>
    <s v="USD"/>
    <x v="691"/>
    <x v="3"/>
    <x v="347"/>
    <s v="Truckload Shipping, Freight, Logistics, Warehousing"/>
  </r>
  <r>
    <n v="144773"/>
    <x v="1"/>
    <x v="695"/>
    <s v="TRAD"/>
    <s v="500 7th Avenue;New York NY 10018;USA"/>
    <s v="USD"/>
    <x v="692"/>
    <x v="4"/>
    <x v="348"/>
    <s v="AI-Powered Legal Tech, Document Automation, Compliance Management"/>
  </r>
  <r>
    <n v="102302"/>
    <x v="1"/>
    <x v="696"/>
    <s v="TRAD"/>
    <s v="3686 Lugo Ave;Lynwood CA 90262 3609;USA"/>
    <s v="USD"/>
    <x v="693"/>
    <x v="20"/>
    <x v="349"/>
    <s v="Commercial Cleaning, Residential Cleaning, Janitorial"/>
  </r>
  <r>
    <s v="001288"/>
    <x v="1"/>
    <x v="697"/>
    <s v="TRAD"/>
    <s v="5281 Blvd Cieroux;Laval QC H7T 2E5;CAN"/>
    <s v="CAD"/>
    <x v="694"/>
    <x v="6"/>
    <x v="350"/>
    <s v="Equipment Repair, Field Service, Technical Support"/>
  </r>
  <r>
    <n v="116394"/>
    <x v="1"/>
    <x v="698"/>
    <s v="TRAD"/>
    <s v="Attn: Servpro Assets, LLC;801 Industrial Blvd;Gallatin TN 37066-3742;USA"/>
    <s v="USD"/>
    <x v="695"/>
    <x v="10"/>
    <x v="351"/>
    <s v="Water Damage Restoration, Fire Damage, Mold Remediation, Cleaning Services"/>
  </r>
  <r>
    <n v="150952"/>
    <x v="1"/>
    <x v="699"/>
    <s v="TRAD"/>
    <s v="1050 E CHICAGO ST;ELGIN IL 60120-7041;USA"/>
    <s v="USD"/>
    <x v="696"/>
    <x v="1"/>
    <x v="352"/>
    <s v="Environmental Remediation, Hazardous Waste, Site Assessment, Compliance Consulting"/>
  </r>
  <r>
    <n v="121598"/>
    <x v="1"/>
    <x v="700"/>
    <s v="TRAD"/>
    <s v="1160 South Highway 100;Suite 200;Minneapolis MN 55416;USA"/>
    <s v="USD"/>
    <x v="697"/>
    <x v="15"/>
    <x v="353"/>
    <s v="Digital Marketing, IT Staffing, UX Design, Software Development, Data Analytics"/>
  </r>
  <r>
    <n v="142271"/>
    <x v="1"/>
    <x v="701"/>
    <s v="RENT"/>
    <s v="323 North Avenue;Bridgeport CT 06606;USA"/>
    <s v="USD"/>
    <x v="698"/>
    <x v="8"/>
    <x v="28"/>
    <s v="Real Estate, Property Management"/>
  </r>
  <r>
    <n v="113639"/>
    <x v="1"/>
    <x v="702"/>
    <s v="TRAD"/>
    <s v="2230 E Orangethorpe Ave;Fullerton CA 92831-5329;USA"/>
    <s v="USD"/>
    <x v="699"/>
    <x v="3"/>
    <x v="354"/>
    <s v="Tire Repair, Towing, Roadside Service, Fleet Maintenance, Mobile Truck Repair"/>
  </r>
  <r>
    <n v="140073"/>
    <x v="1"/>
    <x v="703"/>
    <s v="TRAD"/>
    <s v="171 PARK CENTRAL DRIVE;Hutto TX 78634;USA"/>
    <s v="USD"/>
    <x v="700"/>
    <x v="3"/>
    <x v="355"/>
    <s v="Tire Service, Oil Change, Brakes, Alignment, Auto Repair, Inspection"/>
  </r>
  <r>
    <n v="150995"/>
    <x v="1"/>
    <x v="704"/>
    <s v="TRAD"/>
    <s v="Kastanie Alle 41;Farum 3520;DNK"/>
    <s v="USD"/>
    <x v="701"/>
    <x v="6"/>
    <x v="356"/>
    <s v="UX Best Practice Guidelines, Site Audits, Benchmarking, Training"/>
  </r>
  <r>
    <n v="128087"/>
    <x v="1"/>
    <x v="705"/>
    <s v="TRAD"/>
    <s v="91-554 Komohana St;Kapolei HI 96707-1751;USA"/>
    <s v="USD"/>
    <x v="702"/>
    <x v="3"/>
    <x v="90"/>
    <s v="Truck Sales, Parts, Service, Body Shop, Fleet Solutions"/>
  </r>
  <r>
    <n v="148742"/>
    <x v="1"/>
    <x v="706"/>
    <s v="RENT"/>
    <s v="PO Box 5060;Poplarville MS 39470;USA"/>
    <s v="USD"/>
    <x v="703"/>
    <x v="8"/>
    <x v="357"/>
    <s v="Workforce Training, Academic Programs, Technical Education, Continuing Education"/>
  </r>
  <r>
    <n v="141443"/>
    <x v="1"/>
    <x v="707"/>
    <s v="TRAD"/>
    <s v="780 S 52ND ST;APT 719;PHILADELPHIA PA 19143-3257;USA"/>
    <s v="USD"/>
    <x v="704"/>
    <x v="7"/>
    <x v="218"/>
    <s v="Consulting, Contracting Services"/>
  </r>
  <r>
    <n v="104286"/>
    <x v="1"/>
    <x v="708"/>
    <s v="TRAD"/>
    <s v="ATTN: Laura;1820 47TH TERRACE E.;Bradenton FL 34203;USA"/>
    <s v="USD"/>
    <x v="705"/>
    <x v="5"/>
    <x v="358"/>
    <s v="Supplemental Insurance, Health Insurance, Credit Insurance"/>
  </r>
  <r>
    <n v="141077"/>
    <x v="1"/>
    <x v="709"/>
    <s v="TRAD"/>
    <s v="1729 GUNSTON HALL RD;HIXSON TN 37343-2566;USA"/>
    <s v="USD"/>
    <x v="706"/>
    <x v="7"/>
    <x v="359"/>
    <s v="Sales Training, Talent Development, Strategy Consulting"/>
  </r>
  <r>
    <n v="123691"/>
    <x v="1"/>
    <x v="710"/>
    <s v="TRAD"/>
    <s v="62 Arden Way;Sacramento CA 95815-3624;USA"/>
    <s v="USD"/>
    <x v="707"/>
    <x v="11"/>
    <x v="37"/>
    <s v="Conveyor Systems, Warehouse Automation, Distribution Solutions, System Integration"/>
  </r>
  <r>
    <n v="143800"/>
    <x v="1"/>
    <x v="711"/>
    <s v="RENT"/>
    <s v="c/o Franklin Street Management Services;1311 North Westshore Blvd.;Suite 200;Tampa FL 33607;USA"/>
    <s v="USD"/>
    <x v="708"/>
    <x v="8"/>
    <x v="28"/>
    <s v="Real Estate, Property Management"/>
  </r>
  <r>
    <s v="001150"/>
    <x v="1"/>
    <x v="712"/>
    <s v="TRAD"/>
    <s v="17020 118th Ave;Edmonton AB T5S 1S4;CAN"/>
    <s v="CAD"/>
    <x v="709"/>
    <x v="3"/>
    <x v="90"/>
    <s v="Truck Sales, Parts, Fleet Service, Leasing"/>
  </r>
  <r>
    <n v="102965"/>
    <x v="1"/>
    <x v="713"/>
    <s v="TRAD"/>
    <s v="PO Box 3065;Boston MA 02241-3065;USA"/>
    <s v="USD"/>
    <x v="710"/>
    <x v="4"/>
    <x v="360"/>
    <s v="Plastic Extrusion, Custom Plastic Products, Packaging, Industrial Plastics"/>
  </r>
  <r>
    <n v="143369"/>
    <x v="1"/>
    <x v="714"/>
    <s v="TRAD"/>
    <s v="PO Box 60941;Charlotte NC 28260-0941;USA"/>
    <s v="USD"/>
    <x v="711"/>
    <x v="6"/>
    <x v="361"/>
    <s v="Ethics Hotline, Policy Management, Incident Management, Third-Party Risk, ESG"/>
  </r>
  <r>
    <n v="120247"/>
    <x v="1"/>
    <x v="715"/>
    <s v="LEGAL"/>
    <s v="181 Bay street ;Suite 4400;Toronto ON M5J 2T3;CAN"/>
    <s v="USD"/>
    <x v="712"/>
    <x v="12"/>
    <x v="48"/>
    <s v="Corporate/Commercial, Litigation, Capital Markets, M&amp;A, Employment, IP, Tax"/>
  </r>
  <r>
    <n v="122349"/>
    <x v="1"/>
    <x v="716"/>
    <s v="RENT"/>
    <s v="5745 Black Lake Belmore Rd SW;Olympia WA 98512-7051;USA"/>
    <s v="USD"/>
    <x v="713"/>
    <x v="8"/>
    <x v="28"/>
    <s v="Real Estate, Property Management"/>
  </r>
  <r>
    <n v="104283"/>
    <x v="1"/>
    <x v="717"/>
    <s v="TRAD"/>
    <s v="PO Box 730720;Dallas TX 75373;USA"/>
    <s v="USD"/>
    <x v="714"/>
    <x v="6"/>
    <x v="362"/>
    <s v="Network Monitoring, Database Management, ITSM, Log Analysis, Security, AIOps, Observability"/>
  </r>
  <r>
    <n v="129900"/>
    <x v="1"/>
    <x v="718"/>
    <s v="TRAD"/>
    <s v="1125 W Waterford Ave;Milwaukee WI 53221-1788;USA"/>
    <s v="USD"/>
    <x v="715"/>
    <x v="2"/>
    <x v="363"/>
    <s v="Container Transport, Trucking, Rail Drayage, Logistics"/>
  </r>
  <r>
    <n v="129089"/>
    <x v="1"/>
    <x v="719"/>
    <s v="TRAD"/>
    <s v="825 Harbor Oak Ln;Clearwater FL 33756-3933;USA"/>
    <s v="USD"/>
    <x v="716"/>
    <x v="7"/>
    <x v="230"/>
    <s v="Business Consulting, Professional Services, Training"/>
  </r>
  <r>
    <n v="127568"/>
    <x v="1"/>
    <x v="720"/>
    <s v="TRAD"/>
    <s v="5655 Highway 12;Maple Plain MN 55359-9401;USA"/>
    <s v="USD"/>
    <x v="717"/>
    <x v="11"/>
    <x v="37"/>
    <s v="Forklift Rentals, Aerial Lift Rentals, Equipment Sales, Repair &amp; Maintenance, Railcar Movers"/>
  </r>
  <r>
    <n v="148659"/>
    <x v="1"/>
    <x v="721"/>
    <s v="RENT"/>
    <s v="1 Belmont Ave ;Suite 520;Bala Cynwyd PA 19004;USA"/>
    <s v="USD"/>
    <x v="718"/>
    <x v="8"/>
    <x v="28"/>
    <s v="Real Estate, Property Management"/>
  </r>
  <r>
    <n v="115301"/>
    <x v="1"/>
    <x v="722"/>
    <s v="TRAD"/>
    <s v="PO Box 83017;Woburn MA 01813;USA"/>
    <s v="USD"/>
    <x v="719"/>
    <x v="6"/>
    <x v="364"/>
    <s v="Student Verification, Military Verification, Teacher Discounts, Gated Offers, Digital Verification"/>
  </r>
  <r>
    <n v="113315"/>
    <x v="1"/>
    <x v="723"/>
    <s v="TRAD"/>
    <s v="1055 Idlewild Dr N;Dunedin FL 34698-3102;USA"/>
    <s v="USD"/>
    <x v="720"/>
    <x v="10"/>
    <x v="258"/>
    <s v="Commercial Electrical, Residential Electrical, Wiring, Panel Upgrades, Lighting"/>
  </r>
  <r>
    <n v="119737"/>
    <x v="1"/>
    <x v="724"/>
    <s v="TRAD"/>
    <s v="PO Box 100711;Atlanta GA 30384-0711;USA"/>
    <s v="USD"/>
    <x v="721"/>
    <x v="4"/>
    <x v="255"/>
    <s v="Equipment Rental, Tool Rental, Aerial Lifts, Earthmoving, Power &amp; HVAC, Scaffolding, Trench Safety"/>
  </r>
  <r>
    <n v="148487"/>
    <x v="1"/>
    <x v="725"/>
    <s v="RENT"/>
    <s v="3620 Day St;Montgomery AL 36108;USA"/>
    <s v="USD"/>
    <x v="722"/>
    <x v="8"/>
    <x v="365"/>
    <m/>
  </r>
  <r>
    <n v="148271"/>
    <x v="1"/>
    <x v="726"/>
    <s v="RENT"/>
    <s v="PO Box 114;Ridgeland SC 29936;USA"/>
    <s v="USD"/>
    <x v="722"/>
    <x v="8"/>
    <x v="28"/>
    <s v="Real Estate, Property Management"/>
  </r>
  <r>
    <n v="146083"/>
    <x v="1"/>
    <x v="727"/>
    <s v="RENT"/>
    <s v="2780 E Fowler Ave;PMB 303;Tampa FL 33612;USA"/>
    <s v="USD"/>
    <x v="722"/>
    <x v="8"/>
    <x v="28"/>
    <s v="Real Estate, Property Management"/>
  </r>
  <r>
    <n v="130348"/>
    <x v="1"/>
    <x v="728"/>
    <s v="RENT"/>
    <s v="26227 Sherman Rd;Menifee CA 92585-9223;USA"/>
    <s v="USD"/>
    <x v="722"/>
    <x v="8"/>
    <x v="28"/>
    <s v="Real Estate, Property Management"/>
  </r>
  <r>
    <n v="140138"/>
    <x v="1"/>
    <x v="729"/>
    <s v="RENT"/>
    <s v="15438 Cuttysark Street;Corpus Christi TX 78418;USA"/>
    <s v="USD"/>
    <x v="722"/>
    <x v="8"/>
    <x v="28"/>
    <s v="Real Estate Investment, Property Management"/>
  </r>
  <r>
    <n v="113494"/>
    <x v="1"/>
    <x v="730"/>
    <s v="TRAD"/>
    <s v="1545 Saint James Church Rd;Newton NC 28658-8938;USA"/>
    <s v="USD"/>
    <x v="723"/>
    <x v="20"/>
    <x v="366"/>
    <s v="Mobile Maintenance, Preventive Maintenance, Roadside Repair, Trailer Service, Fleet Management"/>
  </r>
  <r>
    <n v="117102"/>
    <x v="1"/>
    <x v="731"/>
    <s v="TRAD"/>
    <s v="1901 E 119th St;Olathe KS 66061-9502;USA"/>
    <s v="USD"/>
    <x v="724"/>
    <x v="30"/>
    <x v="188"/>
    <s v="Garage Door Installation, Repair, Commercial Doors, Openers, Dock Equipment"/>
  </r>
  <r>
    <n v="147325"/>
    <x v="1"/>
    <x v="732"/>
    <s v="TRAD"/>
    <s v="600 Middle Street;Bristol CT 06010;USA"/>
    <s v="USD"/>
    <x v="725"/>
    <x v="24"/>
    <x v="115"/>
    <s v="Lawn Care, Garden Design, Grounds Maintenance"/>
  </r>
  <r>
    <n v="126383"/>
    <x v="1"/>
    <x v="733"/>
    <s v="TRAD"/>
    <s v="405 N. Reo Street, Suite 115;Tampa FL 33609;USA"/>
    <s v="USD"/>
    <x v="726"/>
    <x v="15"/>
    <x v="367"/>
    <s v="Executive Search, Talent Acquisition, Professional Recruiting, Staffing Solutions"/>
  </r>
  <r>
    <n v="132523"/>
    <x v="1"/>
    <x v="734"/>
    <s v="TRAD"/>
    <s v="21531 Prairie Crest Dr;Richmond TX 77406-5303;USA"/>
    <s v="USD"/>
    <x v="727"/>
    <x v="24"/>
    <x v="115"/>
    <s v="Landscape Design, Lawn Care, Grounds Maintenance"/>
  </r>
  <r>
    <n v="101884"/>
    <x v="1"/>
    <x v="735"/>
    <s v="TRAD"/>
    <s v="PO Box 1000;Dept 143;Memphis TN 38148-0001;USA"/>
    <s v="USD"/>
    <x v="728"/>
    <x v="3"/>
    <x v="368"/>
    <s v="Truck Tires, Retreading, Fleet Tire Management, Roadside Service, Alignment"/>
  </r>
  <r>
    <n v="148826"/>
    <x v="1"/>
    <x v="736"/>
    <s v="TRAD"/>
    <s v="2571 Shawnee Road;Auburn CA 95603;USA"/>
    <s v="USD"/>
    <x v="729"/>
    <x v="10"/>
    <x v="184"/>
    <s v="Residential Construction, Commercial Construction, Remodeling, Project Management"/>
  </r>
  <r>
    <n v="128470"/>
    <x v="1"/>
    <x v="737"/>
    <s v="TRAD"/>
    <s v="815 S Main St;Ste 446;Jacksonville FL 32207-9050;USA"/>
    <s v="USD"/>
    <x v="730"/>
    <x v="13"/>
    <x v="369"/>
    <s v="Employee Relocation, Household Goods Moving, Logistics, Destination Services, Storage"/>
  </r>
  <r>
    <n v="145348"/>
    <x v="1"/>
    <x v="738"/>
    <s v="RENT"/>
    <s v="2256 Broad Street;Frankfort NY 13340;USA"/>
    <s v="USD"/>
    <x v="731"/>
    <x v="8"/>
    <x v="28"/>
    <s v="Real Estate, Logistics Facilities, Property Management"/>
  </r>
  <r>
    <n v="143603"/>
    <x v="1"/>
    <x v="739"/>
    <s v="TRAD"/>
    <s v="47 Park Street;Farmingdale ME 04344;USA"/>
    <s v="USD"/>
    <x v="731"/>
    <x v="21"/>
    <x v="370"/>
    <s v="Lawn Care, Snow Removal, Grounds Maintenance"/>
  </r>
  <r>
    <n v="147292"/>
    <x v="1"/>
    <x v="740"/>
    <s v="TRAD"/>
    <s v="PO Box 71221;Charlotte NC 28272;USA"/>
    <s v="USD"/>
    <x v="732"/>
    <x v="4"/>
    <x v="371"/>
    <s v="Credit Monitoring, Identity Restoration, Dark Web Monitoring, Fraud Alerts"/>
  </r>
  <r>
    <n v="151225"/>
    <x v="1"/>
    <x v="741"/>
    <s v="TRAD"/>
    <s v="977 N OAKLAWN AVE;STE 300;ELMHURST IL 60126-1045;USA"/>
    <s v="USD"/>
    <x v="733"/>
    <x v="3"/>
    <x v="372"/>
    <s v="Glass Claims Processing, Managed Glass Network, Call Center Services, Claims Technology"/>
  </r>
  <r>
    <n v="132591"/>
    <x v="1"/>
    <x v="742"/>
    <s v="TRAD"/>
    <s v="32861 Chesley Dr;Farmington MI 48336-5117;USA"/>
    <s v="USD"/>
    <x v="734"/>
    <x v="11"/>
    <x v="373"/>
    <s v="Rivets, Fasteners, Assembly Tools, Industrial Supplies"/>
  </r>
  <r>
    <n v="108691"/>
    <x v="1"/>
    <x v="743"/>
    <s v="TRAD"/>
    <s v="1212 N 39TH ST;Ste 100;TAMPA FL 33605-5898;USA"/>
    <s v="USD"/>
    <x v="735"/>
    <x v="4"/>
    <x v="374"/>
    <s v="New &amp; Used Office Furniture, Space Planning, Installation, Liquidation"/>
  </r>
  <r>
    <n v="140127"/>
    <x v="1"/>
    <x v="744"/>
    <s v="TRAD"/>
    <s v="11 Lea Ave;Nashville TN 37210;USA"/>
    <s v="USD"/>
    <x v="736"/>
    <x v="4"/>
    <x v="375"/>
    <s v="Dynamic Email Content, Video in Email, Personalization, Email Marketing Technology"/>
  </r>
  <r>
    <n v="148964"/>
    <x v="1"/>
    <x v="745"/>
    <s v="TRAD"/>
    <s v="1816 W 27th St;Panama City FL 32405;USA"/>
    <s v="USD"/>
    <x v="737"/>
    <x v="3"/>
    <x v="376"/>
    <s v="Caterpillar Equipment, Parts, Service, Rental, Heavy Equipment Repair"/>
  </r>
  <r>
    <n v="103502"/>
    <x v="1"/>
    <x v="746"/>
    <s v="TRAD"/>
    <s v="PO Box 841272;Dallas TX 75284 1272;USA"/>
    <s v="USD"/>
    <x v="738"/>
    <x v="11"/>
    <x v="37"/>
    <s v="Forklift Sales &amp; Service, Rentals, Fleet Management"/>
  </r>
  <r>
    <n v="144937"/>
    <x v="1"/>
    <x v="747"/>
    <s v="TRAD"/>
    <s v="10415 47th Avenue;Beltsville MD 20705;USA"/>
    <s v="USD"/>
    <x v="739"/>
    <x v="20"/>
    <x v="309"/>
    <s v="Janitorial, Office Cleaning, Facility Maintenance"/>
  </r>
  <r>
    <n v="119882"/>
    <x v="1"/>
    <x v="748"/>
    <s v="RENT"/>
    <s v="50 Portland Pier;Suite 400;Portland ME 04101-4721;USA"/>
    <s v="USD"/>
    <x v="740"/>
    <x v="8"/>
    <x v="28"/>
    <s v="Real Estate, Property Management"/>
  </r>
  <r>
    <n v="151204"/>
    <x v="1"/>
    <x v="749"/>
    <s v="TRAD"/>
    <s v="80 LEETSDALE INDUSTRIAL DR;LEETSDALE PA 15056-1033;USA"/>
    <s v="USD"/>
    <x v="741"/>
    <x v="10"/>
    <x v="377"/>
    <s v="Structural Steel, Pipe Fabrication, Custom Metalwork"/>
  </r>
  <r>
    <n v="146774"/>
    <x v="1"/>
    <x v="750"/>
    <s v="RENT"/>
    <s v="300 Albert Mondou;Saint-Eustache QC J7R 7A7;CAN"/>
    <s v="CAD"/>
    <x v="742"/>
    <x v="29"/>
    <x v="285"/>
    <s v="Wholesale Auto Auctions, Fleet Remarketing, Transportation"/>
  </r>
  <r>
    <n v="107598"/>
    <x v="1"/>
    <x v="751"/>
    <s v="TRAD"/>
    <s v="PO Box 1993;Brattleboro VT 05302;USA"/>
    <s v="USD"/>
    <x v="743"/>
    <x v="3"/>
    <x v="378"/>
    <s v="Tire Sales, Auto Service, Alignment, Brakes, Oil Change, Fleet Service"/>
  </r>
  <r>
    <n v="148356"/>
    <x v="1"/>
    <x v="752"/>
    <s v="TRAD"/>
    <s v="131 Oak Street;Suite 5;Glastonbury CT 06033;USA"/>
    <s v="USD"/>
    <x v="744"/>
    <x v="5"/>
    <x v="379"/>
    <s v="Employer-Paid Life Insurance, Key Person Policies, Buy/Sell Agreements, Simplified Issue"/>
  </r>
  <r>
    <s v="000030"/>
    <x v="1"/>
    <x v="753"/>
    <s v="TRAD"/>
    <s v="PO Box 466 Stn D;Ottawa ON K1P 1C3;CAN"/>
    <s v="CAD"/>
    <x v="745"/>
    <x v="12"/>
    <x v="48"/>
    <s v="Corporate Law, Litigation, IP, Energy, Infrastructure, Tax, Real Estate"/>
  </r>
  <r>
    <n v="144850"/>
    <x v="1"/>
    <x v="754"/>
    <s v="TRAD"/>
    <s v="14375 Collection Center Drive;Chicago IL 60693;USA"/>
    <s v="USD"/>
    <x v="746"/>
    <x v="8"/>
    <x v="380"/>
    <s v="Residential Sales, Franchise Brands (Century 21, Coldwell Banker, Sotheby's), Relocation Services"/>
  </r>
  <r>
    <n v="130069"/>
    <x v="1"/>
    <x v="755"/>
    <s v="TRAD"/>
    <s v="PO Box 84023;410 Terry Ave N;Seattle WA 98124-8423;USA"/>
    <s v="USD"/>
    <x v="747"/>
    <x v="6"/>
    <x v="381"/>
    <s v="Cloud Infrastructure, Data Storage, Machine Learning, Database Services, Analytics"/>
  </r>
  <r>
    <n v="118487"/>
    <x v="1"/>
    <x v="756"/>
    <s v="TRAD"/>
    <s v="1642 Manufacturers Dr;Fenton MO 63026-2839;USA"/>
    <s v="USD"/>
    <x v="748"/>
    <x v="16"/>
    <x v="281"/>
    <s v="Heating, Cooling, HVAC Repair, Installation, Maintenance, Duct Cleaning"/>
  </r>
  <r>
    <n v="125600"/>
    <x v="1"/>
    <x v="757"/>
    <s v="TRAD"/>
    <s v="11095 Viking Drive;Suite 100;Eden Prairie MN 55344;USA"/>
    <s v="USD"/>
    <x v="749"/>
    <x v="26"/>
    <x v="382"/>
    <s v="Data Security, Brand Protection, Offensive Security, Email Security, Managed File Transfer"/>
  </r>
  <r>
    <n v="118645"/>
    <x v="1"/>
    <x v="758"/>
    <s v="TRAD"/>
    <s v="816 S Woodland Blvd;Deland FL 32720-6836;USA"/>
    <s v="USD"/>
    <x v="750"/>
    <x v="3"/>
    <x v="378"/>
    <s v="Tire Sales, Tire Repair, Auto Maintenance"/>
  </r>
  <r>
    <n v="107772"/>
    <x v="1"/>
    <x v="759"/>
    <s v="TRAD"/>
    <s v="PO Box 2279;Hammond IN 46323-0279;USA"/>
    <s v="USD"/>
    <x v="751"/>
    <x v="19"/>
    <x v="383"/>
    <s v="Bulk Fuel Delivery, Fleet Fueling, Lubricants, DEF"/>
  </r>
  <r>
    <n v="122186"/>
    <x v="1"/>
    <x v="760"/>
    <s v="UTIL"/>
    <s v="6109 Wilkinson Blvd;Belmont NC 28012-4800;USA"/>
    <s v="USD"/>
    <x v="752"/>
    <x v="19"/>
    <x v="299"/>
    <s v="Propane Delivery, Tank Installation, Commercial Propane"/>
  </r>
  <r>
    <n v="114169"/>
    <x v="1"/>
    <x v="761"/>
    <s v="TRAD"/>
    <s v="P.O. Box 88697;Milwaukee WI 53288;USA"/>
    <s v="USD"/>
    <x v="753"/>
    <x v="3"/>
    <x v="368"/>
    <s v="Tire Sales, Retreading, Fleet Service, Roadside Assistance, Alignment"/>
  </r>
  <r>
    <n v="146773"/>
    <x v="1"/>
    <x v="762"/>
    <s v="RENT"/>
    <s v="Box 19,GRP 242, RR#2;Winnipeg MB R3C 2E6;CAN"/>
    <s v="CAD"/>
    <x v="754"/>
    <x v="29"/>
    <x v="285"/>
    <s v="Wholesale Auto Auctions, Fleet Remarketing, Vehicle Inspections"/>
  </r>
  <r>
    <n v="116027"/>
    <x v="1"/>
    <x v="763"/>
    <s v="TRAD"/>
    <s v="42 E FUTURE WAY;DRAPER UT 84020-9858;USA"/>
    <s v="USD"/>
    <x v="755"/>
    <x v="6"/>
    <x v="384"/>
    <s v="Tech Skills Training, Cloud Certification Prep, Hands-On Labs, AI &amp; Data Science Courses, Cybersecurity Training"/>
  </r>
  <r>
    <n v="106433"/>
    <x v="1"/>
    <x v="764"/>
    <s v="TRAD"/>
    <s v="PO Box 740655;Atlanta GA 30374-0655;USA"/>
    <s v="USD"/>
    <x v="756"/>
    <x v="24"/>
    <x v="385"/>
    <s v="Landscape Design, Development, Maintenance, Snow &amp; Ice, Tree Care, Water Management"/>
  </r>
  <r>
    <n v="111099"/>
    <x v="1"/>
    <x v="765"/>
    <s v="TRAD"/>
    <s v="2200 Huntington Dr;Unit C;Fairfield CA 94533 9732;USA"/>
    <s v="USD"/>
    <x v="757"/>
    <x v="3"/>
    <x v="378"/>
    <s v="Commercial Tires, Retreading, Fleet Service, Alignment"/>
  </r>
  <r>
    <n v="147931"/>
    <x v="1"/>
    <x v="766"/>
    <s v="RENT"/>
    <s v="1155 S Telshor Blvd;Suite B-1;Las Cruces NM 88011;USA"/>
    <s v="USD"/>
    <x v="758"/>
    <x v="8"/>
    <x v="28"/>
    <s v="Real Estate, Property Management"/>
  </r>
  <r>
    <n v="148188"/>
    <x v="1"/>
    <x v="767"/>
    <s v="TRAD"/>
    <s v="9935D Rea Road #234;Charlotte NC 28277;USA"/>
    <s v="USD"/>
    <x v="758"/>
    <x v="6"/>
    <x v="386"/>
    <s v="Inbox Placement Testing, Email Rendering, Reputation Monitoring, DMARC Protection, SMS Delivery"/>
  </r>
  <r>
    <n v="150549"/>
    <x v="1"/>
    <x v="768"/>
    <s v="TRAD"/>
    <s v="839 RIVERWARD DR;MYRTLE BEACH SC 29588-6338;USA"/>
    <s v="USD"/>
    <x v="759"/>
    <x v="7"/>
    <x v="218"/>
    <s v="Consulting, Contracting Services"/>
  </r>
  <r>
    <n v="147131"/>
    <x v="1"/>
    <x v="769"/>
    <s v="RENT"/>
    <s v="1141 E MAIN ST;STE 100;EAST DUNDEE IL 60118-2440;USA"/>
    <s v="USD"/>
    <x v="760"/>
    <x v="8"/>
    <x v="28"/>
    <s v="Real Estate, Property Management"/>
  </r>
  <r>
    <n v="146432"/>
    <x v="1"/>
    <x v="770"/>
    <s v="TRAD"/>
    <s v="1848 Westphalia Strasse;PO Box 7140;Quincy IL 62305;USA"/>
    <s v="USD"/>
    <x v="761"/>
    <x v="3"/>
    <x v="387"/>
    <s v="Service Bodies, Platform Bodies, Dump Bodies, Van Bodies, Custom Truck Bodies"/>
  </r>
  <r>
    <n v="111574"/>
    <x v="1"/>
    <x v="771"/>
    <s v="TRAD"/>
    <s v="5656 Pasadena Avenue NE;Albuquerque NM 87113;USA"/>
    <s v="USD"/>
    <x v="762"/>
    <x v="30"/>
    <x v="188"/>
    <s v="Garage Door Installation, Repair, Commercial Doors, Openers"/>
  </r>
  <r>
    <n v="130247"/>
    <x v="1"/>
    <x v="772"/>
    <s v="TRAD"/>
    <s v="260 Palermo Ave;Coral Gables FL 33134-6606;USA"/>
    <s v="USD"/>
    <x v="763"/>
    <x v="7"/>
    <x v="200"/>
    <s v="Management Consulting, Strategy Advisory, Process Improvement"/>
  </r>
  <r>
    <n v="114232"/>
    <x v="1"/>
    <x v="773"/>
    <s v="TRAD"/>
    <s v="PO Box 2222;Decatur AL 35609-2222;USA"/>
    <s v="USD"/>
    <x v="764"/>
    <x v="3"/>
    <x v="388"/>
    <s v="Full-Service Truck Leasing, Contract Maintenance, Dedicated Fleet, Truck Rental"/>
  </r>
  <r>
    <n v="130439"/>
    <x v="1"/>
    <x v="774"/>
    <s v="RENT"/>
    <s v="PO Box 21509;Winston Salem NC 27120-1509;USA"/>
    <s v="USD"/>
    <x v="765"/>
    <x v="8"/>
    <x v="28"/>
    <s v="Real Estate, Property Management"/>
  </r>
  <r>
    <n v="149917"/>
    <x v="1"/>
    <x v="775"/>
    <s v="RENT"/>
    <s v="91 Ready Ave;Fort Walton Beach FL 32548;USA"/>
    <s v="USD"/>
    <x v="765"/>
    <x v="8"/>
    <x v="389"/>
    <s v="Awning Installation, Shade Structures, Custom Canopies"/>
  </r>
  <r>
    <n v="144772"/>
    <x v="1"/>
    <x v="776"/>
    <s v="RENT"/>
    <s v="13519 John Glenn Road;Apple Valley CA 92392;USA"/>
    <s v="USD"/>
    <x v="765"/>
    <x v="8"/>
    <x v="28"/>
    <s v="Transportation Facility, Property Management"/>
  </r>
  <r>
    <n v="149037"/>
    <x v="1"/>
    <x v="777"/>
    <s v="RENT"/>
    <s v="183 Faris Circle;Greenville SC 29605;USA"/>
    <s v="USD"/>
    <x v="765"/>
    <x v="8"/>
    <x v="28"/>
    <s v="Real Estate, Property Management"/>
  </r>
  <r>
    <n v="150819"/>
    <x v="1"/>
    <x v="778"/>
    <s v="TRAD"/>
    <s v="209 POLLOCK ST;NEW BERN NC 28560-4942;USA"/>
    <s v="USD"/>
    <x v="765"/>
    <x v="12"/>
    <x v="260"/>
    <s v="Litigation, Real Estate Law, Estate Planning"/>
  </r>
  <r>
    <n v="148163"/>
    <x v="1"/>
    <x v="779"/>
    <s v="RENT"/>
    <s v="180 Chatham Heights Rd;Fredericksburg VA 22405;USA"/>
    <s v="USD"/>
    <x v="765"/>
    <x v="18"/>
    <x v="152"/>
    <s v="VoIP, Voice Services, Cloud Computing, Network Services"/>
  </r>
  <r>
    <n v="103910"/>
    <x v="1"/>
    <x v="780"/>
    <s v="TRAD"/>
    <s v="PO Box 350430;Fort Lauderdale FL 33335 0430;USA"/>
    <s v="USD"/>
    <x v="766"/>
    <x v="2"/>
    <x v="24"/>
    <s v="Port Services, Container Drayage, Trucking, Warehousing"/>
  </r>
  <r>
    <n v="151786"/>
    <x v="1"/>
    <x v="781"/>
    <s v="TRAD"/>
    <s v="4160 FINCH RD SW;POWDER SPRINGS GA 30127-9121;USA"/>
    <s v="USD"/>
    <x v="767"/>
    <x v="10"/>
    <x v="283"/>
    <s v="Consulting Services"/>
  </r>
  <r>
    <n v="114217"/>
    <x v="1"/>
    <x v="782"/>
    <s v="TRAD"/>
    <s v="PO Box 70995;Charlotte NC 28272-0995;USA"/>
    <s v="USD"/>
    <x v="768"/>
    <x v="3"/>
    <x v="390"/>
    <s v="Fuel Cards, Fleet Management, Expense Tracking, Discount Fuel Programs"/>
  </r>
  <r>
    <n v="140185"/>
    <x v="1"/>
    <x v="783"/>
    <s v="TRAD"/>
    <s v="7915 Barnhill Drive;Houston TX 77338;USA"/>
    <s v="USD"/>
    <x v="769"/>
    <x v="7"/>
    <x v="218"/>
    <s v="Consulting, Contracting Services"/>
  </r>
  <r>
    <n v="129136"/>
    <x v="1"/>
    <x v="784"/>
    <s v="TRAD"/>
    <s v="PO Box 607;Calverton NY 11933-0607;USA"/>
    <s v="USD"/>
    <x v="770"/>
    <x v="19"/>
    <x v="299"/>
    <s v="Propane Delivery, Tank Installation, Residential &amp; Commercial Propane"/>
  </r>
  <r>
    <n v="100952"/>
    <x v="1"/>
    <x v="785"/>
    <s v="TRAD"/>
    <s v="5441 Provost Dr;Holiday FL 34690 2939;USA"/>
    <s v="USD"/>
    <x v="771"/>
    <x v="4"/>
    <x v="391"/>
    <s v="Print Procurement, Direct Mail, Marketing Materials, Promotional Products"/>
  </r>
  <r>
    <n v="144854"/>
    <x v="1"/>
    <x v="786"/>
    <s v="TRAD"/>
    <s v="PO Box 3789;Portland OR 97208;USA"/>
    <s v="USD"/>
    <x v="772"/>
    <x v="5"/>
    <x v="51"/>
    <s v="Life Insurance, Disability Insurance, Dental, Vision, Retirement Plans"/>
  </r>
  <r>
    <n v="132368"/>
    <x v="1"/>
    <x v="787"/>
    <s v="TRAD"/>
    <s v="6667 White Dr;West Palm Beach FL 33407-1236;USA"/>
    <s v="USD"/>
    <x v="773"/>
    <x v="2"/>
    <x v="392"/>
    <s v="Same-Day Delivery, Courier Services, Expedited Shipping, Last Mile Delivery"/>
  </r>
  <r>
    <n v="104275"/>
    <x v="1"/>
    <x v="788"/>
    <s v="TRAD"/>
    <s v="2101 S KELLY AVE;EDMOND OK 73013-3665;USA"/>
    <s v="USD"/>
    <x v="774"/>
    <x v="27"/>
    <x v="393"/>
    <s v="Cleaning Supplies, Industrial Products, Consumer Goods Distribution"/>
  </r>
  <r>
    <n v="118685"/>
    <x v="1"/>
    <x v="789"/>
    <s v="RENT"/>
    <s v="30 HUDSON ST;FL 15;FL 15;JERSEY CITY NJ 07302-4805;USA"/>
    <s v="USD"/>
    <x v="775"/>
    <x v="8"/>
    <x v="394"/>
    <s v="Commercial Real Estate, Property Investment, Leasing, Asset Management"/>
  </r>
  <r>
    <n v="150850"/>
    <x v="1"/>
    <x v="790"/>
    <s v="RENT"/>
    <s v="11452 E BENNETT RD;GRASS VALLEY CA 95945-9110;USA"/>
    <s v="USD"/>
    <x v="776"/>
    <x v="8"/>
    <x v="28"/>
    <s v="Real Estate, Property Management"/>
  </r>
  <r>
    <n v="140269"/>
    <x v="1"/>
    <x v="791"/>
    <s v="LEGAL"/>
    <s v="Po. Box 936937;Atlanta GA 31193;USA"/>
    <s v="USD"/>
    <x v="777"/>
    <x v="12"/>
    <x v="260"/>
    <s v="Litigation, Corporate Law, Real Estate, Government &amp; Public Policy, IP Law"/>
  </r>
  <r>
    <n v="130620"/>
    <x v="1"/>
    <x v="792"/>
    <s v="TRAD"/>
    <s v="555 N Congress Ave;Suite 301;Boynton Beach FL 33426-3469;USA"/>
    <s v="USD"/>
    <x v="778"/>
    <x v="24"/>
    <x v="115"/>
    <s v="Landscape Design, Installation, Maintenance"/>
  </r>
  <r>
    <n v="150155"/>
    <x v="1"/>
    <x v="793"/>
    <s v="RENT"/>
    <s v="6344 Hwy 27 South;Enterprise AL 36330;USA"/>
    <s v="USD"/>
    <x v="779"/>
    <x v="8"/>
    <x v="28"/>
    <s v="Real Estate, Property Management"/>
  </r>
  <r>
    <n v="151112"/>
    <x v="1"/>
    <x v="794"/>
    <s v="RENT"/>
    <s v="40 RAHLING CIR;LITTLE ROCK AR 72223-9187;USA"/>
    <s v="USD"/>
    <x v="780"/>
    <x v="8"/>
    <x v="28"/>
    <s v="Real Estate, Truck Parking, Property Management"/>
  </r>
  <r>
    <n v="113193"/>
    <x v="1"/>
    <x v="795"/>
    <s v="TRAD"/>
    <s v="DBS PerkSpot;Attn: Luke Van Drunen;320 W Ohio Street;Suite #1W;Chicago IL 60654;USA"/>
    <s v="USD"/>
    <x v="781"/>
    <x v="15"/>
    <x v="395"/>
    <s v="Corporate Benefits, Voluntary Benefits, Consumer Discounts"/>
  </r>
  <r>
    <n v="103424"/>
    <x v="1"/>
    <x v="796"/>
    <s v="TRAD"/>
    <s v="325 Mears Blvd;Ste 100;Oldsmar FL 34677 3048;USA"/>
    <s v="USD"/>
    <x v="782"/>
    <x v="16"/>
    <x v="396"/>
    <s v="Commercial Plumbing, Residential Plumbing, Drain Cleaning, Water Heater Service"/>
  </r>
  <r>
    <n v="131933"/>
    <x v="1"/>
    <x v="797"/>
    <s v="TRAD"/>
    <s v="PO Box 347284;Pittsburgh PA 15251-4284;USA"/>
    <s v="USD"/>
    <x v="783"/>
    <x v="6"/>
    <x v="397"/>
    <s v="Video Conferencing, Voice Calling, Team Messaging, Contact Center, Collaboration"/>
  </r>
  <r>
    <n v="113857"/>
    <x v="1"/>
    <x v="798"/>
    <s v="TRAD"/>
    <s v="3690 State Route 30;Latrobe PA 15650-4308;USA"/>
    <s v="USD"/>
    <x v="784"/>
    <x v="3"/>
    <x v="398"/>
    <s v="Truck Leasing, Fleet Rental, Contract Maintenance, Full-Service Leasing"/>
  </r>
  <r>
    <n v="141683"/>
    <x v="1"/>
    <x v="799"/>
    <s v="TRAD"/>
    <s v="1619 Bluff Road;Columbia SC 29201;USA"/>
    <s v="USD"/>
    <x v="785"/>
    <x v="10"/>
    <x v="69"/>
    <s v="Professional Services"/>
  </r>
  <r>
    <n v="127822"/>
    <x v="1"/>
    <x v="800"/>
    <s v="TRAD"/>
    <s v="94-171 Leonui St;Waipahu HI 96797-2217;USA"/>
    <s v="USD"/>
    <x v="786"/>
    <x v="19"/>
    <x v="299"/>
    <s v="Propane Delivery, Tank Installation, Residential &amp; Commercial Propane"/>
  </r>
  <r>
    <s v="000156"/>
    <x v="1"/>
    <x v="801"/>
    <s v="TRAD"/>
    <s v="Director, Provincial Sales Tax;1802 Douglas St;Victoria BC V8T 4K6;CAN"/>
    <s v="CAD"/>
    <x v="787"/>
    <x v="14"/>
    <x v="399"/>
    <s v="Tax Collection, Government Fees, Regulatory Compliance"/>
  </r>
  <r>
    <n v="107638"/>
    <x v="1"/>
    <x v="802"/>
    <s v="TRAD"/>
    <s v="PO Box 9464;Springfield MO 65801 9464;USA"/>
    <s v="USD"/>
    <x v="788"/>
    <x v="3"/>
    <x v="400"/>
    <s v="Auto Parts, Tools, Accessories, Paint, Fleet Parts Programs"/>
  </r>
  <r>
    <n v="143416"/>
    <x v="1"/>
    <x v="803"/>
    <s v="TRAD"/>
    <s v="Dept# 880097 PO Box 29650;Phoenix AZ 85038;USA"/>
    <s v="USD"/>
    <x v="789"/>
    <x v="3"/>
    <x v="401"/>
    <s v="Freightliner Truck Sales, Parts, Service, Leasing, Financing"/>
  </r>
  <r>
    <n v="101246"/>
    <x v="1"/>
    <x v="804"/>
    <s v="LEGAL"/>
    <s v="PO Box 6292;Carol Stream IL 60197-6292;USA"/>
    <s v="USD"/>
    <x v="790"/>
    <x v="12"/>
    <x v="402"/>
    <s v="Legal Research, Westlaw, Tax &amp; Accounting, Compliance, Reuters News, AI Legal Tools"/>
  </r>
  <r>
    <n v="102923"/>
    <x v="1"/>
    <x v="805"/>
    <s v="TRAD"/>
    <s v="PO Box 15100;Tampa FL 33684 5100;USA"/>
    <s v="USD"/>
    <x v="791"/>
    <x v="3"/>
    <x v="403"/>
    <s v="Process Automation, Valve Sales, Instrumentation, Control Systems"/>
  </r>
  <r>
    <n v="127409"/>
    <x v="1"/>
    <x v="806"/>
    <s v="TRAD"/>
    <s v="2771 Waiwai Loop;Honolulu HI 96819-1941;USA"/>
    <s v="USD"/>
    <x v="792"/>
    <x v="4"/>
    <x v="404"/>
    <s v="Uniform Rental, Linen Service, Restroom Supplies, Floor Mats, Facility Services"/>
  </r>
  <r>
    <n v="152373"/>
    <x v="1"/>
    <x v="807"/>
    <s v="TRAD"/>
    <s v="675 CREEKSIDE WAY;CAMPBELL CA 95008-0636;USA"/>
    <s v="USD"/>
    <x v="793"/>
    <x v="6"/>
    <x v="405"/>
    <s v="Contact Center, Unified Communications, Video Meetings, CPaaS APIs"/>
  </r>
  <r>
    <n v="100020"/>
    <x v="1"/>
    <x v="808"/>
    <s v="TRAD"/>
    <s v="PO BOX 4348;STATION A;Toronto ON M5W 7A6;CAN"/>
    <s v="CAD"/>
    <x v="794"/>
    <x v="7"/>
    <x v="17"/>
    <s v="Audit &amp; Assurance, Tax Advisory, Advisory Services, Risk Consulting, Deal Advisory, KPMG Law"/>
  </r>
  <r>
    <n v="100261"/>
    <x v="1"/>
    <x v="809"/>
    <s v="TRAD"/>
    <s v="FILE 1095 ;1801 W OLYMPIC BLVD;Pasadena CA 91199-1095;USA"/>
    <s v="USD"/>
    <x v="795"/>
    <x v="30"/>
    <x v="406"/>
    <s v="Rolling Doors, Security Gates, Fire Doors, Dock Equipment, Installation, Repair"/>
  </r>
  <r>
    <n v="141569"/>
    <x v="1"/>
    <x v="810"/>
    <s v="LEGAL"/>
    <s v="1724 Grand Oaks Drive;Woodstock GA 30188;USA"/>
    <s v="USD"/>
    <x v="796"/>
    <x v="10"/>
    <x v="283"/>
    <s v="Consulting Services"/>
  </r>
  <r>
    <n v="128855"/>
    <x v="1"/>
    <x v="811"/>
    <s v="TRAD"/>
    <s v="PO Box 24445;Seattle WA 98124-0445;USA"/>
    <s v="USD"/>
    <x v="797"/>
    <x v="2"/>
    <x v="407"/>
    <s v="Bottled Water Delivery, Filtration Systems, Water Coolers"/>
  </r>
  <r>
    <n v="128896"/>
    <x v="1"/>
    <x v="812"/>
    <s v="TRAD"/>
    <s v="15269 STONE HOUSE DR;BROOKSVILLE FL 34604-5834;USA"/>
    <s v="USD"/>
    <x v="798"/>
    <x v="10"/>
    <x v="302"/>
    <s v="General Trade Services, Contracting"/>
  </r>
  <r>
    <n v="150247"/>
    <x v="1"/>
    <x v="813"/>
    <s v="RENT"/>
    <s v="10719 Alpharetta Hwy;Ste 458;Roswell GA 30077;USA"/>
    <s v="USD"/>
    <x v="799"/>
    <x v="8"/>
    <x v="28"/>
    <s v="Real Estate, Property Management"/>
  </r>
  <r>
    <n v="119201"/>
    <x v="1"/>
    <x v="814"/>
    <s v="RENT"/>
    <s v="PO Box 119;Port Republic VA 24471-0119;USA"/>
    <s v="USD"/>
    <x v="800"/>
    <x v="8"/>
    <x v="28"/>
    <s v="Real Estate, Property Management"/>
  </r>
  <r>
    <n v="130761"/>
    <x v="1"/>
    <x v="815"/>
    <s v="TRAD"/>
    <s v="1111 19th St NW;floor 9;Washington DC 20036-3603;USA"/>
    <s v="USD"/>
    <x v="801"/>
    <x v="6"/>
    <x v="408"/>
    <s v="Board Portal, Compliance Management, ESG Reporting, Entity Management, Risk Analytics"/>
  </r>
  <r>
    <n v="115963"/>
    <x v="1"/>
    <x v="816"/>
    <s v="TRAD"/>
    <s v="USA"/>
    <s v="USD"/>
    <x v="802"/>
    <x v="4"/>
    <x v="409"/>
    <s v="International Trade, Import/Export, Distribution"/>
  </r>
  <r>
    <n v="144490"/>
    <x v="1"/>
    <x v="817"/>
    <s v="TRAD"/>
    <s v="2337 Watts Drive;Lancaster SC 29720;USA"/>
    <s v="USD"/>
    <x v="803"/>
    <x v="10"/>
    <x v="87"/>
    <s v="Handyman Services, Maintenance, Property Repairs"/>
  </r>
  <r>
    <s v="001349"/>
    <x v="1"/>
    <x v="818"/>
    <s v="TRAD"/>
    <s v="5425 Dixie Rd;Mississauga ON L4W 1E6;CAN"/>
    <s v="CAD"/>
    <x v="804"/>
    <x v="2"/>
    <x v="24"/>
    <s v="Cross-Border Shipping, LTL, FTL, Warehousing, Supply Chain Solutions"/>
  </r>
  <r>
    <n v="148376"/>
    <x v="1"/>
    <x v="819"/>
    <s v="TRAD"/>
    <s v="12828 S Ridgeway Ave;Alsip IL 60803;USA"/>
    <s v="USD"/>
    <x v="805"/>
    <x v="19"/>
    <x v="299"/>
    <s v="Propane Delivery, Tank Installation, Residential &amp; Commercial Propane"/>
  </r>
  <r>
    <n v="149815"/>
    <x v="1"/>
    <x v="820"/>
    <s v="TRAD"/>
    <s v="PO BOX 2127;Oldsmar FL 34677;USA"/>
    <s v="USD"/>
    <x v="806"/>
    <x v="28"/>
    <x v="410"/>
    <s v="Toner Cartridges, Ink Supplies, Printer Repair, Office Equipment"/>
  </r>
  <r>
    <n v="103277"/>
    <x v="1"/>
    <x v="821"/>
    <s v="TRAD"/>
    <s v="PO Box 35144;Seattle WA 98124-5144;USA"/>
    <s v="USD"/>
    <x v="807"/>
    <x v="11"/>
    <x v="37"/>
    <s v="Forklift Sales, Forklift Rental, Parts &amp; Service, Material Handling Equipment"/>
  </r>
  <r>
    <n v="146247"/>
    <x v="1"/>
    <x v="822"/>
    <s v="TRAD"/>
    <s v="107 N ARMENIA AVE;TAMPA FL 33609-2301;USA"/>
    <s v="USD"/>
    <x v="808"/>
    <x v="10"/>
    <x v="87"/>
    <s v="Construction, Renovation, Project Management"/>
  </r>
  <r>
    <s v="000585"/>
    <x v="1"/>
    <x v="823"/>
    <s v="TRAD"/>
    <s v="7100 Torbram Rd;Mississauga ON L4T 4B5;CAN"/>
    <s v="CAD"/>
    <x v="809"/>
    <x v="11"/>
    <x v="411"/>
    <s v="Fasteners, Industrial Hardware, Supply Distribution"/>
  </r>
  <r>
    <n v="126013"/>
    <x v="1"/>
    <x v="824"/>
    <s v="TRAD"/>
    <s v="6822 Oak Hall Ln;Ste C2;Columbia MD 21045-4882;USA"/>
    <s v="USD"/>
    <x v="810"/>
    <x v="4"/>
    <x v="412"/>
    <s v="Commercial Painting, Paint Products, Coatings, Wallcovering"/>
  </r>
  <r>
    <n v="110475"/>
    <x v="1"/>
    <x v="825"/>
    <s v="TRAD"/>
    <s v="PO Box 420;Tampa FL 33601 0420;USA"/>
    <s v="USD"/>
    <x v="811"/>
    <x v="14"/>
    <x v="413"/>
    <s v="Business Advocacy, Networking, Economic Development, Community Events"/>
  </r>
  <r>
    <n v="151946"/>
    <x v="1"/>
    <x v="826"/>
    <s v="TRAD"/>
    <s v="891 STRAITS TPKE;MIDDLEBURY CT 06762-2844;USA"/>
    <s v="USD"/>
    <x v="811"/>
    <x v="12"/>
    <x v="260"/>
    <s v="Personal Injury, Workers' Comp, General Practice"/>
  </r>
  <r>
    <n v="150524"/>
    <x v="1"/>
    <x v="827"/>
    <s v="TRAD"/>
    <s v="PLLC Trust Account F/B/O;Shannon Andrew Paul;Threlkeld Hagan and;Ashlee Hagan;USA"/>
    <s v="USD"/>
    <x v="811"/>
    <x v="12"/>
    <x v="414"/>
    <s v="Legal Representation, Trust Services, Real Estate Law"/>
  </r>
  <r>
    <n v="141952"/>
    <x v="1"/>
    <x v="828"/>
    <s v="TRAD"/>
    <s v="PO Box 24351;Seattle WA 98124;USA"/>
    <s v="USD"/>
    <x v="812"/>
    <x v="20"/>
    <x v="415"/>
    <s v="Vacuum Truck Services, Hydro Excavation, Industrial Waste Removal, Environmental Services"/>
  </r>
  <r>
    <n v="151719"/>
    <x v="1"/>
    <x v="829"/>
    <s v="LEGAL"/>
    <s v="9440 SANTA MONICA BLVD;Suite 301;BEVERLY HILLS CA 90210-4610;USA"/>
    <s v="USD"/>
    <x v="813"/>
    <x v="12"/>
    <x v="327"/>
    <s v="Attorney, Legal Counsel"/>
  </r>
  <r>
    <s v="000540"/>
    <x v="1"/>
    <x v="830"/>
    <s v="UTIL"/>
    <s v="201 Basaltic Rd;Concord ON L4K 1G4;CAN"/>
    <s v="CAD"/>
    <x v="814"/>
    <x v="11"/>
    <x v="416"/>
    <s v="Gas Distribution, Welding Gases, Specialty Gases"/>
  </r>
  <r>
    <n v="151041"/>
    <x v="1"/>
    <x v="831"/>
    <s v="TRAD"/>
    <s v="8306 CENTURY PARK CT;CP-41K;SAN DIEGO CA 92123-1530;USA"/>
    <s v="USD"/>
    <x v="815"/>
    <x v="19"/>
    <x v="417"/>
    <s v="Natural Gas Service, Electric Service, Utility Operations, Energy Programs"/>
  </r>
  <r>
    <n v="130665"/>
    <x v="1"/>
    <x v="832"/>
    <s v="TRAD"/>
    <s v="PO Box 414746;Boston MA 02241-4746;USA"/>
    <s v="USD"/>
    <x v="816"/>
    <x v="30"/>
    <x v="312"/>
    <s v="Loading Dock Equipment, Overhead Doors, Safety Equipment, Installation &amp; Service"/>
  </r>
  <r>
    <n v="150276"/>
    <x v="1"/>
    <x v="833"/>
    <s v="TRAD"/>
    <s v="977 N OAKLAWN AVE;STE 300;ELMHURST IL 60126-1062;USA"/>
    <s v="USD"/>
    <x v="817"/>
    <x v="3"/>
    <x v="418"/>
    <s v="Collision Repair, Auto Glass, Paintless Dent Repair, Fleet Services, Insurance Claims"/>
  </r>
  <r>
    <n v="151532"/>
    <x v="1"/>
    <x v="834"/>
    <s v="TRAD"/>
    <s v="3800 TABS DR;UNIONTOWN OH 44685-9564;USA"/>
    <s v="USD"/>
    <x v="818"/>
    <x v="26"/>
    <x v="419"/>
    <s v="Access Control, Video Surveillance, Intrusion Detection, Security Monitoring, Cloud Security"/>
  </r>
  <r>
    <n v="151248"/>
    <x v="1"/>
    <x v="835"/>
    <s v="TRAD"/>
    <s v="4010 W BOY SCOUT BLVD;Suite 600;TAMPA FL 33607-5727;USA"/>
    <s v="USD"/>
    <x v="819"/>
    <x v="26"/>
    <x v="420"/>
    <s v="SOC Audits, PCI DSS, ISO 27001, FedRAMP, HITRUST, Penetration Testing, CMMC"/>
  </r>
  <r>
    <n v="151562"/>
    <x v="1"/>
    <x v="836"/>
    <s v="TRAD"/>
    <s v="4115 2ND ST;RIVERSIDE CA 92501-2311;USA"/>
    <s v="USD"/>
    <x v="820"/>
    <x v="7"/>
    <x v="218"/>
    <s v="Consulting, Contracting Services"/>
  </r>
  <r>
    <n v="141923"/>
    <x v="1"/>
    <x v="837"/>
    <s v="TRAD"/>
    <s v="PO Box 1939;Lowell AR 72745;USA"/>
    <s v="USD"/>
    <x v="821"/>
    <x v="26"/>
    <x v="421"/>
    <s v="Fire Extinguishers, Fire Suppression, Safety Training, Inspections, Emergency Lighting"/>
  </r>
  <r>
    <n v="151083"/>
    <x v="1"/>
    <x v="838"/>
    <s v="RENT"/>
    <s v="411 STATE HIGHWAY 78;LAVON TX 75166-1201;USA"/>
    <s v="USD"/>
    <x v="822"/>
    <x v="8"/>
    <x v="28"/>
    <s v="Real Estate, Property Management"/>
  </r>
  <r>
    <n v="151089"/>
    <x v="1"/>
    <x v="839"/>
    <s v="TRAD"/>
    <s v="501 MINUET LN;CHARLOTTE NC 28217-2767;USA"/>
    <s v="USD"/>
    <x v="822"/>
    <x v="15"/>
    <x v="422"/>
    <s v="Direct Hire, Executive Search, Recruiting, Talent Acquisition, Staffing Solutions"/>
  </r>
  <r>
    <n v="128289"/>
    <x v="1"/>
    <x v="840"/>
    <s v="TRAD"/>
    <s v="23671 E EASTER DR;UNIT 107;AURORA CO 80016-2614;USA"/>
    <s v="USD"/>
    <x v="823"/>
    <x v="7"/>
    <x v="218"/>
    <s v="Consulting, Contracting Services"/>
  </r>
  <r>
    <n v="145191"/>
    <x v="1"/>
    <x v="841"/>
    <s v="TRAD"/>
    <s v="PO Box 2250;Decatur AL 35609;USA"/>
    <s v="CAD"/>
    <x v="824"/>
    <x v="11"/>
    <x v="423"/>
    <s v="Industrial Equipment, Construction Services, Facility Maintenance"/>
  </r>
  <r>
    <n v="104987"/>
    <x v="1"/>
    <x v="842"/>
    <s v="TRAD"/>
    <s v="15908 W Lake Burrell Dr;Unit A;Apt 103;Lutz FL 33549-3554;USA"/>
    <s v="USD"/>
    <x v="825"/>
    <x v="10"/>
    <x v="302"/>
    <s v="General Trade Services, Contracting"/>
  </r>
  <r>
    <n v="147187"/>
    <x v="1"/>
    <x v="843"/>
    <s v="TRAD"/>
    <s v="6940 Hall Street;Holland OH 43528;USA"/>
    <s v="USD"/>
    <x v="826"/>
    <x v="11"/>
    <x v="37"/>
    <s v="Forklift Sales &amp; Service, Equipment Rental, Parts"/>
  </r>
  <r>
    <n v="146229"/>
    <x v="1"/>
    <x v="844"/>
    <s v="TRAD"/>
    <s v="PO Box 3689;Poughkeepsie NY 12603;USA"/>
    <s v="USD"/>
    <x v="827"/>
    <x v="20"/>
    <x v="424"/>
    <s v="Building Maintenance, Janitorial, HVAC, Plumbing, Electrical Repairs"/>
  </r>
  <r>
    <n v="145605"/>
    <x v="1"/>
    <x v="845"/>
    <s v="TRAD"/>
    <s v="2801 South Valley View Blvd.;Suite 5;Las Vegas NV 89102;USA"/>
    <s v="USD"/>
    <x v="828"/>
    <x v="4"/>
    <x v="425"/>
    <s v="Custom Patches, Embroidered Patches, PVC Patches, Iron-On Patches, Promotional Products"/>
  </r>
  <r>
    <n v="150347"/>
    <x v="1"/>
    <x v="846"/>
    <s v="RENT"/>
    <s v="766 OROVILLE CHICO HWY;DURHAM CA 95938-9796;USA"/>
    <s v="USD"/>
    <x v="829"/>
    <x v="8"/>
    <x v="426"/>
    <s v="Manufacturing, Industrial Products"/>
  </r>
  <r>
    <n v="103907"/>
    <x v="1"/>
    <x v="847"/>
    <s v="TRAD"/>
    <s v="Attn: Michael Giacopassi;PO Box 31503;Hartford CT 06150;USA"/>
    <s v="USD"/>
    <x v="830"/>
    <x v="31"/>
    <x v="427"/>
    <s v="Catastrophic Case Management, Life Care Planning, Rehabilitation, Expert Witness Services"/>
  </r>
  <r>
    <n v="104040"/>
    <x v="1"/>
    <x v="848"/>
    <s v="TRAD"/>
    <s v="9780 NW 79th Ave;Hialeah Gardens FL 33016 2514;USA"/>
    <s v="USD"/>
    <x v="831"/>
    <x v="30"/>
    <x v="346"/>
    <s v="Rolling Steel Doors, Installation, Repair, Industrial Doors"/>
  </r>
  <r>
    <n v="107191"/>
    <x v="1"/>
    <x v="849"/>
    <s v="TRAD"/>
    <s v="PO Box 791045;Baltimore MD 21279-1045;USA"/>
    <s v="USD"/>
    <x v="832"/>
    <x v="26"/>
    <x v="292"/>
    <s v="Fire Extinguishers, Fire Suppression, Safety Equipment, Inspections"/>
  </r>
  <r>
    <n v="140618"/>
    <x v="1"/>
    <x v="850"/>
    <s v="TRAD"/>
    <s v="1603 Engle Creek Road;Barnhart MO 63012;USA"/>
    <s v="USD"/>
    <x v="833"/>
    <x v="3"/>
    <x v="376"/>
    <s v="Equipment Rental, Repair, Sales, Maintenance"/>
  </r>
  <r>
    <n v="152037"/>
    <x v="1"/>
    <x v="851"/>
    <s v="TRAD"/>
    <s v="8370 WILSHIRE BLVD;2nd Floor;BEVERLY HILLS CA 90211-2333;USA"/>
    <s v="USD"/>
    <x v="834"/>
    <x v="12"/>
    <x v="428"/>
    <s v="Auto Accidents, Slip &amp; Fall, Wrongful Death, Medical Malpractice"/>
  </r>
  <r>
    <n v="147721"/>
    <x v="1"/>
    <x v="852"/>
    <s v="RENT"/>
    <s v="1808 N Boise Ave;Loveland CO 80538;USA"/>
    <s v="USD"/>
    <x v="835"/>
    <x v="8"/>
    <x v="28"/>
    <s v="Real Estate, Property Management"/>
  </r>
  <r>
    <n v="142862"/>
    <x v="1"/>
    <x v="853"/>
    <s v="TRAD"/>
    <s v="PO Box 258859;Oklahoma City OK 73125;USA"/>
    <s v="USD"/>
    <x v="836"/>
    <x v="3"/>
    <x v="378"/>
    <s v="Tire Sales, Tire Repair, Fleet Tire Service, Retread Tires, Wheel Services"/>
  </r>
  <r>
    <n v="143802"/>
    <x v="1"/>
    <x v="854"/>
    <s v="TRAD"/>
    <s v="11864 Ottawa Avenue;Orlando FL 32837;USA"/>
    <s v="USD"/>
    <x v="837"/>
    <x v="10"/>
    <x v="429"/>
    <s v="Commercial Electrical, Installation, Repair, Low Voltage Systems"/>
  </r>
  <r>
    <n v="148414"/>
    <x v="1"/>
    <x v="855"/>
    <s v="TRAD"/>
    <s v="5636 HORATIO ST;UTICA NY 13502-1402;USA"/>
    <s v="USD"/>
    <x v="838"/>
    <x v="3"/>
    <x v="430"/>
    <s v="Truck Service, Trailer Repair, Fleet Maintenance, Parts"/>
  </r>
  <r>
    <n v="150002"/>
    <x v="1"/>
    <x v="856"/>
    <s v="RENT"/>
    <s v="590 rue Sagard;St-Bruno-de-Montarville;Saint-Bruno QC J3V 6C2;CAN"/>
    <s v="CAD"/>
    <x v="839"/>
    <x v="17"/>
    <x v="431"/>
    <s v="Lumber Supply, Wood Products, Forest Management"/>
  </r>
  <r>
    <n v="146458"/>
    <x v="1"/>
    <x v="857"/>
    <s v="TRAD"/>
    <s v="2400 Meadowbrook Parkway;Duluth GA 30096;USA"/>
    <s v="USD"/>
    <x v="840"/>
    <x v="6"/>
    <x v="432"/>
    <s v="Cloud Services, AI/ML, Cybersecurity, Data Analytics, IT Staffing, Digital Engineering"/>
  </r>
  <r>
    <n v="145654"/>
    <x v="1"/>
    <x v="858"/>
    <s v="TRAD"/>
    <s v="21300 MacArthur Blvd.;Warren MI 48089;USA"/>
    <s v="USD"/>
    <x v="841"/>
    <x v="3"/>
    <x v="286"/>
    <s v="Forklift Sales, Rental, Parts, Service, Material Handling"/>
  </r>
  <r>
    <n v="106420"/>
    <x v="1"/>
    <x v="859"/>
    <s v="TRAD"/>
    <s v="1221 S MO Pac Expy;Ste 400;Austin TX 78746-6819;USA"/>
    <s v="USD"/>
    <x v="842"/>
    <x v="8"/>
    <x v="433"/>
    <s v="Residential Sales, Commercial Real Estate, Agent Training, Property Management"/>
  </r>
  <r>
    <n v="145342"/>
    <x v="1"/>
    <x v="860"/>
    <s v="TRAD"/>
    <s v="600 North 75th Avenue;Phoenix AZ 85043;USA"/>
    <s v="USD"/>
    <x v="843"/>
    <x v="3"/>
    <x v="434"/>
    <s v="Truck Sales, Parts, Service, Leasing, Commercial Vehicles"/>
  </r>
  <r>
    <n v="140448"/>
    <x v="1"/>
    <x v="861"/>
    <s v="TRAD"/>
    <s v="Po Box 753;Safety Harbor FL 34695;USA"/>
    <s v="USD"/>
    <x v="844"/>
    <x v="24"/>
    <x v="435"/>
    <s v="Lawn Mowing, Yard Maintenance, Landscaping"/>
  </r>
  <r>
    <n v="114078"/>
    <x v="1"/>
    <x v="862"/>
    <s v="UTIL"/>
    <s v="PO Box 856158;Louisville KY 40285-6158;USA"/>
    <s v="USD"/>
    <x v="845"/>
    <x v="2"/>
    <x v="436"/>
    <s v="Bottled Water, Coffee, Beverage Delivery, Filtration, Break Room Supplies"/>
  </r>
  <r>
    <n v="129776"/>
    <x v="1"/>
    <x v="863"/>
    <s v="TRAD"/>
    <s v="18717 Templeville Rd;Marydel MD 21649-1429;USA"/>
    <s v="USD"/>
    <x v="846"/>
    <x v="30"/>
    <x v="437"/>
    <s v="Overhead Doors, Commercial Doors, Garage Doors, Repair"/>
  </r>
  <r>
    <n v="146042"/>
    <x v="1"/>
    <x v="864"/>
    <s v="TRAD"/>
    <s v="PO Box 627;Armonk NY 10504;USA"/>
    <s v="USD"/>
    <x v="847"/>
    <x v="24"/>
    <x v="115"/>
    <s v="Commercial Landscaping, Grounds Maintenance, Lawn Care"/>
  </r>
  <r>
    <n v="140091"/>
    <x v="1"/>
    <x v="865"/>
    <s v="TRAD"/>
    <s v="12 BRIDLE LN;SEWELL NJ 08080-3306;USA"/>
    <s v="USD"/>
    <x v="848"/>
    <x v="10"/>
    <x v="283"/>
    <s v="Consulting Services"/>
  </r>
  <r>
    <n v="128858"/>
    <x v="1"/>
    <x v="866"/>
    <s v="TRAD"/>
    <s v="PO Box 5191;Clinton NJ 08809-0191;USA"/>
    <s v="USD"/>
    <x v="849"/>
    <x v="23"/>
    <x v="438"/>
    <s v="Site Selection, Lease Administration, Portfolio Management"/>
  </r>
  <r>
    <n v="144815"/>
    <x v="1"/>
    <x v="867"/>
    <s v="TRAD"/>
    <s v="4076 Paysphere Circle;Chicago IL 60674;USA"/>
    <s v="USD"/>
    <x v="850"/>
    <x v="15"/>
    <x v="439"/>
    <s v="Unemployment Tax Management, Claims Processing, Tax Credit Services, Compliance"/>
  </r>
  <r>
    <n v="152362"/>
    <x v="1"/>
    <x v="868"/>
    <s v="TRAD"/>
    <s v="1507 LYNDON B JOHNSON FWY;Suite 400;FARMERS BRANCH TX 75234-6088;USA"/>
    <s v="USD"/>
    <x v="851"/>
    <x v="11"/>
    <x v="440"/>
    <s v="Warehouse Staffing, Manufacturing Staffing, Logistics Staffing, Temp-to-Hire, Direct Hire"/>
  </r>
  <r>
    <n v="117455"/>
    <x v="1"/>
    <x v="869"/>
    <s v="TRAD"/>
    <s v="PO Box 123421;Dept 3421;Dallas TX 75312-3421;USA"/>
    <s v="USD"/>
    <x v="852"/>
    <x v="15"/>
    <x v="441"/>
    <s v="Project Management, Resource Management, Collaboration, Workflow Automation, Dashboards, Gantt Charts"/>
  </r>
  <r>
    <n v="151039"/>
    <x v="1"/>
    <x v="870"/>
    <s v="RENT"/>
    <s v="93 TRIANGLE ST;DANBURY CT 06810-3715;USA"/>
    <s v="USD"/>
    <x v="852"/>
    <x v="8"/>
    <x v="28"/>
    <s v="Real Estate, Property Management"/>
  </r>
  <r>
    <n v="141450"/>
    <x v="1"/>
    <x v="871"/>
    <s v="TRAD"/>
    <s v="PO Box 919;Whiteville NC 28472;USA"/>
    <s v="USD"/>
    <x v="853"/>
    <x v="3"/>
    <x v="378"/>
    <s v="Tire Sales, Tire Repair, Fleet Services"/>
  </r>
  <r>
    <n v="148276"/>
    <x v="1"/>
    <x v="872"/>
    <s v="UTIL"/>
    <s v="1800 Wazee Street;Suite 500;Denver CO 80202;USA"/>
    <s v="USD"/>
    <x v="854"/>
    <x v="2"/>
    <x v="442"/>
    <s v="Warehouse &amp; Distribution, Industrial Space, Logistics Real Estate, Supply Chain Solutions"/>
  </r>
  <r>
    <n v="150464"/>
    <x v="1"/>
    <x v="873"/>
    <s v="RENT"/>
    <s v="65315 N HIGHWAY 97;BEND OR 97701-8849;USA"/>
    <s v="USD"/>
    <x v="855"/>
    <x v="8"/>
    <x v="28"/>
    <s v="Real Estate, Property Management"/>
  </r>
  <r>
    <n v="100458"/>
    <x v="1"/>
    <x v="874"/>
    <s v="TRAD"/>
    <s v="PO Box 27128;New York NY 10087 7128;USA"/>
    <s v="USD"/>
    <x v="856"/>
    <x v="4"/>
    <x v="443"/>
    <s v="Document Storage, Secure Shredding, Data Backup &amp; Recovery, Digital Transformation, Tape Vaulting"/>
  </r>
  <r>
    <n v="149543"/>
    <x v="1"/>
    <x v="875"/>
    <s v="RENT"/>
    <s v="1701 9th Street;Nisku AB T9E 8M8;CAN"/>
    <s v="CAD"/>
    <x v="857"/>
    <x v="29"/>
    <x v="285"/>
    <s v="Auto Auctions, Fleet Remarketing, Vehicle Sales"/>
  </r>
  <r>
    <n v="102432"/>
    <x v="1"/>
    <x v="876"/>
    <s v="TRAD"/>
    <s v="5067 Kennedy Rd;Forest Park GA 30297 2017;USA"/>
    <s v="USD"/>
    <x v="858"/>
    <x v="3"/>
    <x v="444"/>
    <s v="Tire Sales, Fleet Service, Tire Repair"/>
  </r>
  <r>
    <n v="150264"/>
    <x v="1"/>
    <x v="877"/>
    <s v="RENT"/>
    <s v="PO BOX 4175;Ontario CA 91761;USA"/>
    <s v="USD"/>
    <x v="859"/>
    <x v="8"/>
    <x v="28"/>
    <s v="Industrial Real Estate, Property Management"/>
  </r>
  <r>
    <n v="147434"/>
    <x v="1"/>
    <x v="878"/>
    <s v="TRAD"/>
    <m/>
    <s v="USD"/>
    <x v="860"/>
    <x v="4"/>
    <x v="445"/>
    <s v="Employee Rewards, Incentives, Corporate Gifts"/>
  </r>
  <r>
    <n v="115299"/>
    <x v="1"/>
    <x v="879"/>
    <s v="TRAD"/>
    <s v="Attn: Ryan Carrigan;PO Box 41;Athens GA 30603;USA"/>
    <s v="USD"/>
    <x v="861"/>
    <x v="13"/>
    <x v="446"/>
    <s v="Moving Company Comparison, Cost Estimates, Moving Guides, Reviews"/>
  </r>
  <r>
    <n v="151454"/>
    <x v="1"/>
    <x v="880"/>
    <s v="RENT"/>
    <s v="922 STATE ROUTE 33;STE 8 Suite 802;FREEHOLD NJ 07728-8439;USA"/>
    <s v="USD"/>
    <x v="862"/>
    <x v="8"/>
    <x v="28"/>
    <s v="Real Estate, Office/Retail Space"/>
  </r>
  <r>
    <n v="127316"/>
    <x v="1"/>
    <x v="881"/>
    <s v="TRAD"/>
    <s v="14616 Shepard St;Omaha NE 68138-4315;USA"/>
    <s v="USD"/>
    <x v="863"/>
    <x v="11"/>
    <x v="37"/>
    <s v="Forklift Sales &amp; Service, Parts, Rental, Fleet Management"/>
  </r>
  <r>
    <n v="148502"/>
    <x v="1"/>
    <x v="882"/>
    <s v="FRGT"/>
    <s v="PO Box 82128;Las Vegas NV 89180;USA"/>
    <s v="USD"/>
    <x v="864"/>
    <x v="2"/>
    <x v="24"/>
    <s v="Trucking, Hotshot Delivery, LTL Shipping"/>
  </r>
  <r>
    <n v="145548"/>
    <x v="1"/>
    <x v="883"/>
    <s v="RENT"/>
    <s v="PO Box 2661;Norcross GA 30091;USA"/>
    <s v="USD"/>
    <x v="865"/>
    <x v="29"/>
    <x v="447"/>
    <s v="Truck Parking, Vehicle Storage, Fleet Parking, Secure Storage"/>
  </r>
  <r>
    <n v="150762"/>
    <x v="1"/>
    <x v="884"/>
    <s v="RENT"/>
    <s v="PO BOX 2970;ACTON MA 01720-6970;USA"/>
    <s v="USD"/>
    <x v="866"/>
    <x v="8"/>
    <x v="28"/>
    <s v="Real Estate, Property Management"/>
  </r>
  <r>
    <n v="101716"/>
    <x v="1"/>
    <x v="885"/>
    <s v="TRAD"/>
    <s v="PO Box 7410166;Chicago IL 60674-0166;USA"/>
    <s v="USD"/>
    <x v="867"/>
    <x v="4"/>
    <x v="307"/>
    <s v="Customs Clearance, Trade Compliance, Freight Forwarding, Global Trade Management"/>
  </r>
  <r>
    <n v="150047"/>
    <x v="1"/>
    <x v="886"/>
    <s v="TRAD"/>
    <s v="1160 Gulf Blvd;Clearwater Beach FL 33767;USA"/>
    <s v="USD"/>
    <x v="868"/>
    <x v="22"/>
    <x v="448"/>
    <s v="Hotel Accommodations, Event Space, Resort Services"/>
  </r>
  <r>
    <n v="151386"/>
    <x v="1"/>
    <x v="887"/>
    <s v="TRAD"/>
    <s v="4563 TECHNOLOGY DR;STE 1;WILMINGTON NC 28405-2173;USA"/>
    <s v="USD"/>
    <x v="869"/>
    <x v="16"/>
    <x v="281"/>
    <s v="Heating, Air Conditioning, HVAC Installation"/>
  </r>
  <r>
    <n v="152194"/>
    <x v="1"/>
    <x v="888"/>
    <s v="LEGAL"/>
    <s v="920 5TH AVE;STE 3300;SEATTLE WA 98104-1189;USA"/>
    <s v="USD"/>
    <x v="870"/>
    <x v="12"/>
    <x v="260"/>
    <s v="Corporate Law, Litigation, IP, Privacy &amp; Cybersecurity, Employment Law"/>
  </r>
  <r>
    <n v="146519"/>
    <x v="1"/>
    <x v="889"/>
    <s v="RENT"/>
    <s v="8 Pond View;Montville NJ 07045;USA"/>
    <s v="USD"/>
    <x v="871"/>
    <x v="8"/>
    <x v="28"/>
    <s v="Real Estate, Property Management"/>
  </r>
  <r>
    <n v="122782"/>
    <x v="1"/>
    <x v="890"/>
    <s v="TRAD"/>
    <s v="P.O. Box 737894;Dallas TX 75373;USA"/>
    <s v="USD"/>
    <x v="872"/>
    <x v="27"/>
    <x v="449"/>
    <s v="Lubricant Sales, Mobil Distribution, Oil Analysis, Equipment Reliability Services, Blending"/>
  </r>
  <r>
    <n v="111171"/>
    <x v="1"/>
    <x v="891"/>
    <s v="TRAD"/>
    <s v="PO Box 30020;Salt Lake City UT 84130 0020;USA"/>
    <s v="USD"/>
    <x v="873"/>
    <x v="11"/>
    <x v="37"/>
    <s v="Forklift Sales &amp; Service, Parts, Warehouse Solutions, Rentals"/>
  </r>
  <r>
    <n v="150492"/>
    <x v="1"/>
    <x v="892"/>
    <s v="TRAD"/>
    <s v="195 MAXIM RD;HARTFORD CT 06114-1628;USA"/>
    <s v="USD"/>
    <x v="874"/>
    <x v="8"/>
    <x v="28"/>
    <s v="Real Estate, Property Management"/>
  </r>
  <r>
    <n v="115513"/>
    <x v="1"/>
    <x v="893"/>
    <s v="TRAD"/>
    <s v="708 3rd Ave;New York NY 10017-4201;USA"/>
    <s v="USD"/>
    <x v="875"/>
    <x v="1"/>
    <x v="450"/>
    <s v="Industry Networking, Marketing Resources, Advocacy"/>
  </r>
  <r>
    <n v="145303"/>
    <x v="1"/>
    <x v="894"/>
    <s v="TRAD"/>
    <s v="871 South Washington Avenue;Mobile AL 36603;USA"/>
    <s v="USD"/>
    <x v="876"/>
    <x v="3"/>
    <x v="451"/>
    <s v="Forklift Sales, Forklift Rental, Parts &amp; Service, Material Handling Equipment"/>
  </r>
  <r>
    <n v="142767"/>
    <x v="1"/>
    <x v="895"/>
    <s v="RENT"/>
    <s v="13045 Sawpit Road;Jacksonville FL 32226;USA"/>
    <s v="USD"/>
    <x v="877"/>
    <x v="8"/>
    <x v="109"/>
    <s v="Storage Units, Climate-Controlled Storage, Moving Supplies"/>
  </r>
  <r>
    <n v="149686"/>
    <x v="1"/>
    <x v="896"/>
    <s v="TRAD"/>
    <s v="1 Embankment Place;London WCR2R;GBR"/>
    <s v="USD"/>
    <x v="878"/>
    <x v="7"/>
    <x v="17"/>
    <s v="Audit &amp; Assurance, Tax Advisory, Consulting, Deals Advisory, Risk Management, ESG, Digital Transformation"/>
  </r>
  <r>
    <n v="150774"/>
    <x v="1"/>
    <x v="897"/>
    <s v="TRAD"/>
    <s v="1470 AMHERST RD;KNOXVILLE TN 37909-1264;USA"/>
    <s v="USD"/>
    <x v="879"/>
    <x v="11"/>
    <x v="452"/>
    <s v="Hydraulic Hoses, Brass Fittings, Industrial Supplies, Fluid Power"/>
  </r>
  <r>
    <s v="001128"/>
    <x v="1"/>
    <x v="898"/>
    <s v="TRAD"/>
    <s v="16215 - 118 Avenue;Edmonton AB T5V 1C7;CAN"/>
    <s v="CAD"/>
    <x v="880"/>
    <x v="3"/>
    <x v="453"/>
    <s v="Automotive Parts, Industrial Supplies, Safety Equipment, Tools, Hydraulics"/>
  </r>
  <r>
    <n v="124576"/>
    <x v="1"/>
    <x v="899"/>
    <s v="TRAD"/>
    <s v="PO Box 734028;Chicago IL 60673-4028;USA"/>
    <s v="USD"/>
    <x v="881"/>
    <x v="3"/>
    <x v="378"/>
    <s v="Tire Sales, Tire Repair, Wheel Services, Auto Maintenance"/>
  </r>
  <r>
    <n v="150702"/>
    <x v="1"/>
    <x v="900"/>
    <s v="FRGT"/>
    <s v="10720 E US HIGHWAY 84;ASHFORD AL 36312-4497;USA"/>
    <s v="USD"/>
    <x v="882"/>
    <x v="2"/>
    <x v="2"/>
    <s v="Trucking, Logistics, Hotshot Delivery"/>
  </r>
  <r>
    <n v="110538"/>
    <x v="1"/>
    <x v="901"/>
    <s v="TRAD"/>
    <s v="PO BOX 749259;ATLANTA GA 30374-9259;USA"/>
    <s v="USD"/>
    <x v="883"/>
    <x v="26"/>
    <x v="454"/>
    <s v="Fire Alarms, Sprinkler Systems, Security Systems, Monitoring, Suppression, Inspections"/>
  </r>
  <r>
    <n v="143435"/>
    <x v="1"/>
    <x v="442"/>
    <s v="TRAD"/>
    <s v="PO Box 220;Moncton NB E1C 8L3;CAN"/>
    <s v="CAD"/>
    <x v="884"/>
    <x v="5"/>
    <x v="203"/>
    <s v="Group Benefits, Travel Insurance, Individual Health Plans, Pharmacy Benefits"/>
  </r>
  <r>
    <n v="107209"/>
    <x v="1"/>
    <x v="902"/>
    <s v="TRAD"/>
    <s v="PO Box 602727;Charlotte NC 28260-2727;USA"/>
    <s v="USD"/>
    <x v="885"/>
    <x v="11"/>
    <x v="37"/>
    <s v="Forklift Sales &amp; Service, Parts, Rental, Fleet Management, Warehouse Solutions"/>
  </r>
  <r>
    <n v="151995"/>
    <x v="1"/>
    <x v="903"/>
    <s v="TRAD"/>
    <s v="7925 EVIES WAY;PORT RICHEY FL 34668-6819;USA"/>
    <s v="USD"/>
    <x v="886"/>
    <x v="26"/>
    <x v="455"/>
    <s v="CCTV Systems, Alarm Systems, Loss Prevention Technology, Security Consulting"/>
  </r>
  <r>
    <n v="121441"/>
    <x v="1"/>
    <x v="904"/>
    <s v="TRAD"/>
    <s v="13075 US Highway 19 N;Clearwater FL 33764-7224;USA"/>
    <s v="USD"/>
    <x v="887"/>
    <x v="26"/>
    <x v="292"/>
    <s v="Fire Sprinkler Systems, Fire Alarm Installation, Backflow Prevention, Inspections"/>
  </r>
  <r>
    <n v="150851"/>
    <x v="1"/>
    <x v="905"/>
    <s v="TRAD"/>
    <s v="8601 E CHURCH ST;HASTINGS FL 32145-3901;USA"/>
    <s v="USD"/>
    <x v="888"/>
    <x v="3"/>
    <x v="456"/>
    <s v="Trailer Sales, Trailer Repair, Parts, Rental, Flatbed Trailers"/>
  </r>
  <r>
    <s v="000978"/>
    <x v="1"/>
    <x v="906"/>
    <s v="TRAD"/>
    <s v="4143 78 Avenue;Edmonton AB T6B 2N3;CAN"/>
    <s v="CAD"/>
    <x v="889"/>
    <x v="10"/>
    <x v="250"/>
    <s v="HVAC, Plumbing, Piping, Refrigeration, Mechanical Service"/>
  </r>
  <r>
    <n v="146634"/>
    <x v="1"/>
    <x v="907"/>
    <s v="TRAD"/>
    <s v="373 South Willow Street;#300;Manchester NH 03103;USA"/>
    <s v="USD"/>
    <x v="890"/>
    <x v="24"/>
    <x v="457"/>
    <s v="Commercial Landscaping, Lawn Maintenance, Irrigation, Snow Removal, Grounds Care"/>
  </r>
  <r>
    <n v="145367"/>
    <x v="1"/>
    <x v="908"/>
    <s v="RENT"/>
    <s v="10 Beach Rd;Dunkirk NY 14048;USA"/>
    <s v="USD"/>
    <x v="891"/>
    <x v="8"/>
    <x v="28"/>
    <s v="Real Estate Development, Property Management"/>
  </r>
  <r>
    <n v="145704"/>
    <x v="1"/>
    <x v="909"/>
    <s v="TRAD"/>
    <s v="PO Box 13604;Philadelphia PA 19101;USA"/>
    <s v="USD"/>
    <x v="892"/>
    <x v="0"/>
    <x v="345"/>
    <s v="Equipment Loans, Technology Leasing, Capital Finance, Asset Management"/>
  </r>
  <r>
    <n v="130256"/>
    <x v="1"/>
    <x v="910"/>
    <s v="TRAD"/>
    <s v="1785 Greensboro Station 8th Floor;Mc Lean VA 22102;USA"/>
    <s v="USD"/>
    <x v="893"/>
    <x v="0"/>
    <x v="458"/>
    <s v="Business Banking, Treasury Management, Commercial Lending"/>
  </r>
  <r>
    <n v="150737"/>
    <x v="1"/>
    <x v="911"/>
    <s v="TRAD"/>
    <s v="1390 FM 1960 BYPASS RD E;HUMBLE TX 77338-3908;USA"/>
    <s v="USD"/>
    <x v="894"/>
    <x v="10"/>
    <x v="459"/>
    <s v="Hardwood, Tile, Carpet, Vinyl Flooring Installation, Floor Refinishing"/>
  </r>
  <r>
    <n v="147055"/>
    <x v="1"/>
    <x v="912"/>
    <s v="TRAD"/>
    <s v="1210 St Charles St;Houma LA 70360;USA"/>
    <s v="USD"/>
    <x v="895"/>
    <x v="11"/>
    <x v="426"/>
    <s v="Fabrication, Welding, Manufacturing, Marine Industrial Services"/>
  </r>
  <r>
    <n v="145624"/>
    <x v="1"/>
    <x v="913"/>
    <s v="TRAD"/>
    <s v="3125 INTERTECH DR;BROOKFIELD WI 53045-5113;USA"/>
    <s v="USD"/>
    <x v="896"/>
    <x v="11"/>
    <x v="37"/>
    <s v="Forklift Sales &amp; Service, Parts, Rentals, Material Handling, Warehouse Equipment, Battery Service"/>
  </r>
  <r>
    <n v="145816"/>
    <x v="1"/>
    <x v="914"/>
    <s v="TRAD"/>
    <s v="60 E Rio Salado Parkway;Suite 1000;Tempe AZ 85281;USA"/>
    <s v="USD"/>
    <x v="897"/>
    <x v="26"/>
    <x v="460"/>
    <s v="Norton Antivirus, LifeLock Identity Protection, Avast, AVG, VPN, CCleaner"/>
  </r>
  <r>
    <n v="142912"/>
    <x v="1"/>
    <x v="915"/>
    <s v="RENT"/>
    <s v="PO Box 142;Grand Coteau LA 70541;USA"/>
    <s v="USD"/>
    <x v="897"/>
    <x v="8"/>
    <x v="28"/>
    <s v="Real Estate, Property Management"/>
  </r>
  <r>
    <n v="131952"/>
    <x v="1"/>
    <x v="916"/>
    <s v="TRAD"/>
    <s v="101 Sunset St.;Rochester NY 14606;USA"/>
    <s v="USD"/>
    <x v="897"/>
    <x v="10"/>
    <x v="461"/>
    <s v="Commercial Painting, Residential Painting, Interior/Exterior Painting"/>
  </r>
  <r>
    <n v="126726"/>
    <x v="1"/>
    <x v="917"/>
    <s v="RENT"/>
    <s v="2111 E Hawthorne Rd;Spokane WA 99218;USA"/>
    <s v="USD"/>
    <x v="897"/>
    <x v="25"/>
    <x v="462"/>
    <s v="Recycling Services, Waste Collection, Scrap Metal, Property Management"/>
  </r>
  <r>
    <n v="150490"/>
    <x v="1"/>
    <x v="918"/>
    <s v="RENT"/>
    <s v="5550 TRIANGLE PKWY;STE 210;PEACHTREE CORNERS GA 30092-6527;USA"/>
    <s v="USD"/>
    <x v="897"/>
    <x v="8"/>
    <x v="28"/>
    <s v="Real Estate, Property Management"/>
  </r>
  <r>
    <n v="150469"/>
    <x v="1"/>
    <x v="919"/>
    <s v="TRAD"/>
    <s v="Level 6, 341 George St.;Sydney ACT NSW 2000;AUS"/>
    <s v="USD"/>
    <x v="898"/>
    <x v="15"/>
    <x v="463"/>
    <s v="Jira Project Management, Confluence Documentation, Trello, Bitbucket"/>
  </r>
  <r>
    <n v="129941"/>
    <x v="1"/>
    <x v="920"/>
    <s v="TRAD"/>
    <s v="6655 Blanding Blvd;Jacksonville FL 32244-3713;USA"/>
    <s v="USD"/>
    <x v="899"/>
    <x v="24"/>
    <x v="457"/>
    <s v="Lawn Mowing, Landscaping, Irrigation, Tree Service, Commercial Grounds Maintenance"/>
  </r>
  <r>
    <n v="152360"/>
    <x v="1"/>
    <x v="921"/>
    <s v="LEGAL"/>
    <s v="20 3RD ST SW;STE 209;WINTER HAVEN FL 33880-2966;USA"/>
    <s v="USD"/>
    <x v="900"/>
    <x v="12"/>
    <x v="260"/>
    <s v="Litigation, Real Estate Law, Family Law, Estate Planning, Business Law"/>
  </r>
  <r>
    <n v="107016"/>
    <x v="1"/>
    <x v="922"/>
    <s v="UTIL"/>
    <s v="P.O. BOX 735777;Dallas TX 75373;USA"/>
    <s v="USD"/>
    <x v="901"/>
    <x v="4"/>
    <x v="464"/>
    <s v="Bottleless Water Coolers, Filtration, Sparkling Water, Coffee Service"/>
  </r>
  <r>
    <n v="117105"/>
    <x v="1"/>
    <x v="923"/>
    <s v="TRAD"/>
    <s v="Processing Center;PO Box 60457;Charlotte NC 28260;USA"/>
    <s v="USD"/>
    <x v="902"/>
    <x v="3"/>
    <x v="122"/>
    <s v="CAT Equipment, Construction Equipment, Power Systems, Parts, Rental"/>
  </r>
  <r>
    <n v="127772"/>
    <x v="1"/>
    <x v="924"/>
    <s v="TRAD"/>
    <s v="1661 Nakula St;Apt B;Wahiawa HI 96786-2630;USA"/>
    <s v="USD"/>
    <x v="903"/>
    <x v="4"/>
    <x v="465"/>
    <s v="Appliance Repair, Equipment Maintenance, General Repair Services"/>
  </r>
  <r>
    <n v="150441"/>
    <x v="1"/>
    <x v="925"/>
    <s v="RENT"/>
    <s v="8221 RANCH BLVD;STE A-1;LITTLE ROCK AR 72223-4616;USA"/>
    <s v="USD"/>
    <x v="904"/>
    <x v="8"/>
    <x v="28"/>
    <s v="Real Estate, Property Management"/>
  </r>
  <r>
    <n v="140840"/>
    <x v="1"/>
    <x v="926"/>
    <s v="TRAD"/>
    <s v="PO Box 163;25 Longview Lane;Hamburg NJ 07419;USA"/>
    <s v="USD"/>
    <x v="905"/>
    <x v="10"/>
    <x v="44"/>
    <s v="Construction, Maintenance, Renovation, Building Services"/>
  </r>
  <r>
    <n v="150491"/>
    <x v="1"/>
    <x v="927"/>
    <s v="TRAD"/>
    <s v="Level 8, 210 George Street,;Sydney ACT NSW 2000;AUS"/>
    <s v="USD"/>
    <x v="906"/>
    <x v="6"/>
    <x v="466"/>
    <s v="Safety Inspections, Audits, Compliance Management, Quality Assurance, Incident Reporting"/>
  </r>
  <r>
    <n v="128380"/>
    <x v="1"/>
    <x v="928"/>
    <s v="TRAD"/>
    <s v="Attn: Noa Nijamkin;19495 Biscayne Blvd;Ste 300;Aventura FL 33180-2319;USA"/>
    <s v="USD"/>
    <x v="907"/>
    <x v="15"/>
    <x v="467"/>
    <s v="Employee Discount Programs, Theme Park Tickets, Travel Deals, Corporate Perks Platform"/>
  </r>
  <r>
    <n v="140328"/>
    <x v="1"/>
    <x v="929"/>
    <s v="TRAD"/>
    <s v="27152 Evergreen Chase Drive;Wesley Chapel FL 33544;USA"/>
    <s v="USD"/>
    <x v="908"/>
    <x v="22"/>
    <x v="468"/>
    <s v="Party Supplies, Event Rentals, Event Coordination"/>
  </r>
  <r>
    <n v="145322"/>
    <x v="1"/>
    <x v="930"/>
    <s v="TRAD"/>
    <s v="201 Spear Street;Suite 1100;San Francisco CA 94105;USA"/>
    <s v="USD"/>
    <x v="909"/>
    <x v="15"/>
    <x v="469"/>
    <s v="Visual Collaboration, Diagramming, Brainstorming, Agile Workflows, Meetings &amp; Workshops, Project Management"/>
  </r>
  <r>
    <n v="144574"/>
    <x v="1"/>
    <x v="931"/>
    <s v="RENT"/>
    <s v="4425 Rue Saint Martin;Kenner LA 70065;USA"/>
    <s v="USD"/>
    <x v="910"/>
    <x v="8"/>
    <x v="28"/>
    <s v="Real Estate, Property Management"/>
  </r>
  <r>
    <n v="131216"/>
    <x v="1"/>
    <x v="932"/>
    <s v="TRAD"/>
    <s v="PO Box 188;Norma NJ 08347-0188;USA"/>
    <s v="USD"/>
    <x v="911"/>
    <x v="3"/>
    <x v="470"/>
    <s v="Tire Retreading, Commercial Tires, Fleet Services"/>
  </r>
  <r>
    <n v="152350"/>
    <x v="1"/>
    <x v="933"/>
    <s v="TRAD"/>
    <s v="7076 SOLUTIONS CTR;CHICAGO IL 60677-7000;USA"/>
    <s v="USD"/>
    <x v="912"/>
    <x v="15"/>
    <x v="179"/>
    <s v="Temporary Staffing, Workforce Solutions, Recruiting"/>
  </r>
  <r>
    <n v="142234"/>
    <x v="1"/>
    <x v="934"/>
    <s v="TRAD"/>
    <s v="5921 Thomas Road;Houston TX 77041;USA"/>
    <s v="USD"/>
    <x v="913"/>
    <x v="16"/>
    <x v="281"/>
    <s v="Air Conditioning, Heating, Ventilation, Repair, Installation"/>
  </r>
  <r>
    <n v="127830"/>
    <x v="1"/>
    <x v="935"/>
    <s v="TRAD"/>
    <s v="405 Lexington Ave;Floor 9;New York NY 10174-0002;USA"/>
    <s v="USD"/>
    <x v="914"/>
    <x v="0"/>
    <x v="471"/>
    <s v="Financial Software, Payment Processing, Capital Markets Technology, SaaS Solutions"/>
  </r>
  <r>
    <n v="145052"/>
    <x v="1"/>
    <x v="936"/>
    <s v="TRAD"/>
    <s v="2302 East 12th Street;Austin TX 78702;USA"/>
    <s v="USD"/>
    <x v="915"/>
    <x v="18"/>
    <x v="472"/>
    <s v="Brand Strategy, Content Creation, Digital Marketing"/>
  </r>
  <r>
    <n v="127311"/>
    <x v="1"/>
    <x v="937"/>
    <s v="RENT"/>
    <s v="PO Box 306;Seneca SC 29679-0306;USA"/>
    <s v="USD"/>
    <x v="916"/>
    <x v="8"/>
    <x v="28"/>
    <s v="Real Estate, Property Management"/>
  </r>
  <r>
    <n v="126379"/>
    <x v="1"/>
    <x v="938"/>
    <s v="TRAD"/>
    <s v="2101 Perimeter Rd;Mobile AL 36615-1129;USA"/>
    <s v="USD"/>
    <x v="917"/>
    <x v="3"/>
    <x v="90"/>
    <s v="International Trucks, Parts, Service, Truck Sales, Leasing"/>
  </r>
  <r>
    <n v="108723"/>
    <x v="1"/>
    <x v="939"/>
    <s v="TRAD"/>
    <s v="1201 W Euless Blvd;Euless TX 76040 4914;USA"/>
    <s v="USD"/>
    <x v="918"/>
    <x v="3"/>
    <x v="473"/>
    <s v="Vehicle Towing, Roadside Assistance, Accident Recovery, Impound Services"/>
  </r>
  <r>
    <n v="132283"/>
    <x v="1"/>
    <x v="940"/>
    <s v="TRAD"/>
    <s v="2519 N McMullen Booth Rd;Suit 510-130;Clearwater FL 33761-4173;USA"/>
    <s v="USD"/>
    <x v="919"/>
    <x v="22"/>
    <x v="474"/>
    <s v="Stage Rental, Lighting, Sound, AV Equipment, Event Production, Decor"/>
  </r>
  <r>
    <n v="117531"/>
    <x v="1"/>
    <x v="941"/>
    <s v="TRAD"/>
    <s v="32 George St;NSW ;AUS"/>
    <s v="USD"/>
    <x v="920"/>
    <x v="7"/>
    <x v="218"/>
    <s v="Consulting, Business Advisory"/>
  </r>
  <r>
    <n v="128857"/>
    <x v="1"/>
    <x v="942"/>
    <s v="TRAD"/>
    <s v="PO Box 601879;Charlotte NC 28260-1879;USA"/>
    <s v="USD"/>
    <x v="921"/>
    <x v="12"/>
    <x v="48"/>
    <s v="Litigation, Corporate Transactions, IP, Real Estate, Employment Law, Data Privacy, M&amp;A"/>
  </r>
  <r>
    <n v="141547"/>
    <x v="1"/>
    <x v="943"/>
    <s v="TRAD"/>
    <s v="131 Comstock Parkway;Cranston RI 02921;USA"/>
    <s v="USD"/>
    <x v="922"/>
    <x v="11"/>
    <x v="37"/>
    <s v="Forklift Sales &amp; Service, Parts, Rental, Fleet Management"/>
  </r>
  <r>
    <n v="104464"/>
    <x v="1"/>
    <x v="944"/>
    <s v="RENT"/>
    <s v="7908 Sweet Iron Court SE;Tumwater WA 98501;USA"/>
    <s v="USD"/>
    <x v="923"/>
    <x v="8"/>
    <x v="28"/>
    <s v="Real Estate, Property Management"/>
  </r>
  <r>
    <n v="101915"/>
    <x v="1"/>
    <x v="945"/>
    <s v="UTIL"/>
    <s v="111 S 4th St;Bay Shore NY 11706 1230;USA"/>
    <s v="USD"/>
    <x v="924"/>
    <x v="19"/>
    <x v="475"/>
    <s v="Electric Service, Utility Billing, Power Distribution"/>
  </r>
  <r>
    <n v="106508"/>
    <x v="1"/>
    <x v="946"/>
    <s v="TRAD"/>
    <s v="58 Brunswick Ave;Edison NJ 08817 2513;USA"/>
    <s v="USD"/>
    <x v="925"/>
    <x v="3"/>
    <x v="378"/>
    <s v="Tire Sales, Tire Repair, Wheel Alignment, Fleet Tire Services"/>
  </r>
  <r>
    <n v="151925"/>
    <x v="1"/>
    <x v="947"/>
    <s v="RENT"/>
    <s v="922 STATE ROUTE 33;STE 8 Suite 802;FREEHOLD NJ 07728-8439;USA"/>
    <s v="USD"/>
    <x v="926"/>
    <x v="8"/>
    <x v="28"/>
    <s v="Real Estate, Property Management"/>
  </r>
  <r>
    <n v="145371"/>
    <x v="1"/>
    <x v="948"/>
    <s v="TRAD"/>
    <s v="4512 Legacy Drive;Suite 100;Plano TX 75024;USA"/>
    <s v="USD"/>
    <x v="927"/>
    <x v="6"/>
    <x v="476"/>
    <s v="Cross-Browser Testing, Mobile App Testing, Automated Testing, Visual Testing"/>
  </r>
  <r>
    <n v="100089"/>
    <x v="1"/>
    <x v="949"/>
    <s v="TRAD"/>
    <s v="PO Box 20681;Tampa FL 33622-0681;USA"/>
    <s v="USD"/>
    <x v="928"/>
    <x v="10"/>
    <x v="477"/>
    <s v="Pavers, Retaining Walls, Outdoor Living Products"/>
  </r>
  <r>
    <n v="121979"/>
    <x v="1"/>
    <x v="950"/>
    <s v="TRAD"/>
    <s v="550 W 162nd St;South Holland IL 60473-2072;USA"/>
    <s v="USD"/>
    <x v="929"/>
    <x v="24"/>
    <x v="478"/>
    <s v="Fence Installation, Repair, Custom Fencing"/>
  </r>
  <r>
    <n v="145959"/>
    <x v="1"/>
    <x v="951"/>
    <s v="TRAD"/>
    <s v="1602 Fuller Road;Colorado Springs CO 80920;USA"/>
    <s v="USD"/>
    <x v="930"/>
    <x v="24"/>
    <x v="115"/>
    <s v="Landscape Maintenance, Grounds Care, Commercial Landscaping"/>
  </r>
  <r>
    <n v="101498"/>
    <x v="1"/>
    <x v="952"/>
    <s v="TRAD"/>
    <s v="PO Box 7685;Fremont CA 94537 7685;USA"/>
    <s v="USD"/>
    <x v="931"/>
    <x v="11"/>
    <x v="37"/>
    <s v="Forklift Sales &amp; Service, Parts, Rental, Warehouse Solutions"/>
  </r>
  <r>
    <n v="143366"/>
    <x v="1"/>
    <x v="953"/>
    <s v="RENT"/>
    <s v="227 Sussex Street;Pewaukee WI 53072;USA"/>
    <s v="USD"/>
    <x v="932"/>
    <x v="8"/>
    <x v="28"/>
    <s v="Real Estate, Property Management"/>
  </r>
  <r>
    <n v="106348"/>
    <x v="1"/>
    <x v="954"/>
    <s v="RENT"/>
    <s v="PO Box 1233;New Albany IN 47150;USA"/>
    <s v="USD"/>
    <x v="932"/>
    <x v="8"/>
    <x v="28"/>
    <s v="Real Estate, Property Management"/>
  </r>
  <r>
    <n v="148460"/>
    <x v="1"/>
    <x v="955"/>
    <s v="RENT"/>
    <s v="15115 Forest Rd;Forest VA 24551;USA"/>
    <s v="USD"/>
    <x v="932"/>
    <x v="8"/>
    <x v="28"/>
    <s v="Real Estate, Property Management"/>
  </r>
  <r>
    <n v="143496"/>
    <x v="1"/>
    <x v="956"/>
    <s v="TRAD"/>
    <s v="17414 Riverside Lane;Tickfaw LA 70466;USA"/>
    <s v="USD"/>
    <x v="933"/>
    <x v="7"/>
    <x v="479"/>
    <s v="Marine Consulting, Energy Services, Environmental Compliance"/>
  </r>
  <r>
    <n v="143874"/>
    <x v="1"/>
    <x v="957"/>
    <s v="TRAD"/>
    <s v="818 WIDGEON RD;NORFOLK VA 23513-3041;USA"/>
    <s v="USD"/>
    <x v="934"/>
    <x v="11"/>
    <x v="37"/>
    <s v="Forklift Sales &amp; Service, Equipment Rental"/>
  </r>
  <r>
    <n v="130030"/>
    <x v="1"/>
    <x v="958"/>
    <s v="TRAD"/>
    <s v="4606 Mary Ave;Baltimore MD 21206-2815;USA"/>
    <s v="USD"/>
    <x v="935"/>
    <x v="20"/>
    <x v="349"/>
    <s v="Residential Cleaning, Commercial Cleaning, Deep Cleaning"/>
  </r>
  <r>
    <n v="107296"/>
    <x v="1"/>
    <x v="959"/>
    <s v="TRAD"/>
    <s v="PO Box 371967;Pittsburgh PA 15250-7967;USA"/>
    <s v="USD"/>
    <x v="936"/>
    <x v="26"/>
    <x v="131"/>
    <s v="Access Control, Video Surveillance, Intrusion Detection, Fire Alarms, Cybersecurity"/>
  </r>
  <r>
    <n v="145381"/>
    <x v="1"/>
    <x v="960"/>
    <s v="TRAD"/>
    <s v="3531 Santa Rosa Avenue;Santa Rosa CA 95407;USA"/>
    <s v="USD"/>
    <x v="937"/>
    <x v="30"/>
    <x v="480"/>
    <s v="Loading Dock Equipment, Overhead Doors, Installation, Service &amp; Repair"/>
  </r>
  <r>
    <n v="149810"/>
    <x v="1"/>
    <x v="961"/>
    <s v="TRAD"/>
    <s v="11239 Ventura Blvd. #103-1023;Studio City CA 91604;USA"/>
    <s v="USD"/>
    <x v="938"/>
    <x v="6"/>
    <x v="291"/>
    <s v="Performance Marketing, Paid Media, Creative Services, Social Media, Brand Strategy"/>
  </r>
  <r>
    <n v="150329"/>
    <x v="1"/>
    <x v="962"/>
    <s v="TRAD"/>
    <s v="1600 Rosecrans Avenue, Media Center, 4th Floor,;Manhattan Beach CA 90266;USA"/>
    <s v="USD"/>
    <x v="938"/>
    <x v="15"/>
    <x v="481"/>
    <s v="Fashion Modeling, Acting Talent, Print &amp; Commercial, Talent Representation"/>
  </r>
  <r>
    <n v="103699"/>
    <x v="1"/>
    <x v="963"/>
    <s v="TRAD"/>
    <s v="65 Jetson Ln;Central Islip NY 11722 1202;USA"/>
    <s v="USD"/>
    <x v="939"/>
    <x v="3"/>
    <x v="444"/>
    <s v="Tire Sales, Fleet Service, Tire Repair, Wheel Services"/>
  </r>
  <r>
    <n v="111471"/>
    <x v="1"/>
    <x v="964"/>
    <s v="BENEFITS"/>
    <s v="Attn: Matthew Condron;2910 Hannah Ave.;Norristown PA 19401;USA"/>
    <s v="USD"/>
    <x v="940"/>
    <x v="15"/>
    <x v="284"/>
    <s v="Union Representation, Labor Relations, Dues Administration, Collective Bargaining"/>
  </r>
  <r>
    <n v="149253"/>
    <x v="1"/>
    <x v="965"/>
    <s v="TRAD"/>
    <s v="5 Giralda Farms;Madison NJ 07940;USA"/>
    <s v="USD"/>
    <x v="941"/>
    <x v="28"/>
    <x v="482"/>
    <s v="Custom Packaging, Display Solutions, Contract Manufacturing, Supply Chain Services"/>
  </r>
  <r>
    <n v="112841"/>
    <x v="1"/>
    <x v="966"/>
    <s v="TRAD"/>
    <s v="28883 Network Pl;Chicago IL 60673-1288;USA"/>
    <s v="USD"/>
    <x v="942"/>
    <x v="28"/>
    <x v="483"/>
    <s v="Secure Shredding, Records Management, Hard Drive Destruction, Compliance Services"/>
  </r>
  <r>
    <n v="140331"/>
    <x v="1"/>
    <x v="967"/>
    <s v="RENT"/>
    <s v="152 Wheeler Rd;Stonington CT 06378;USA"/>
    <s v="USD"/>
    <x v="943"/>
    <x v="8"/>
    <x v="28"/>
    <s v="Real Estate, Property Management"/>
  </r>
  <r>
    <n v="145282"/>
    <x v="1"/>
    <x v="968"/>
    <s v="TRAD"/>
    <s v="51 Main Street;Suite 2;Stoneham MA 02180;USA"/>
    <s v="USD"/>
    <x v="944"/>
    <x v="6"/>
    <x v="484"/>
    <s v="IT Consulting, Navigation Solutions, Software Development"/>
  </r>
  <r>
    <n v="150317"/>
    <x v="1"/>
    <x v="969"/>
    <s v="TRAD"/>
    <s v="1445 N STANLEY AVE;2nd Floor;LOS ANGELES CA 90046-4015;USA"/>
    <s v="USD"/>
    <x v="944"/>
    <x v="15"/>
    <x v="485"/>
    <s v="Talent Representation, Entertainment Production, Commercial Casting"/>
  </r>
  <r>
    <n v="143537"/>
    <x v="1"/>
    <x v="970"/>
    <s v="TRAD"/>
    <s v="PO Box 817;Lombard IL 60148;USA"/>
    <s v="USD"/>
    <x v="945"/>
    <x v="30"/>
    <x v="486"/>
    <s v="Sectional Steel Doors, Rolling Steel Doors, Fire-Rated Doors, 24/7 Emergency Service"/>
  </r>
  <r>
    <n v="150176"/>
    <x v="1"/>
    <x v="971"/>
    <s v="TRAD"/>
    <s v="1740 West 5th Avenue;Eugene OR 97402;USA"/>
    <s v="USD"/>
    <x v="946"/>
    <x v="10"/>
    <x v="91"/>
    <s v="Plywood, Panel Products, Specialty Wood, Wholesale Distribution"/>
  </r>
  <r>
    <n v="100625"/>
    <x v="1"/>
    <x v="972"/>
    <s v="TRAD"/>
    <s v="4535 Sunbelt Dr;Addison TX 75001 5204;USA"/>
    <s v="USD"/>
    <x v="947"/>
    <x v="20"/>
    <x v="344"/>
    <s v="Asset Management, Workforce Development, Capital Planning, Maintenance"/>
  </r>
  <r>
    <n v="118514"/>
    <x v="1"/>
    <x v="973"/>
    <s v="TRAD"/>
    <s v="PO BOX 412007;BOSTON MA 02241-2007;USA"/>
    <s v="USD"/>
    <x v="948"/>
    <x v="26"/>
    <x v="320"/>
    <s v="Fire Protection, Sprinkler Installation, Inspection &amp; Testing"/>
  </r>
  <r>
    <n v="151489"/>
    <x v="1"/>
    <x v="974"/>
    <s v="TRAD"/>
    <s v="8733 COLBY LAKE RD;LAINGSBURG MI 48848-9726;USA"/>
    <s v="USD"/>
    <x v="949"/>
    <x v="30"/>
    <x v="188"/>
    <s v="Garage Door Repair, Installation, Commercial &amp; Residential Doors"/>
  </r>
  <r>
    <n v="151067"/>
    <x v="1"/>
    <x v="975"/>
    <s v="TRAD"/>
    <s v="6725 ITASKA ST;SAINT LOUIS MO 63109-3012;USA"/>
    <s v="USD"/>
    <x v="950"/>
    <x v="10"/>
    <x v="487"/>
    <s v="Interior/Exterior Painting, Residential &amp; Commercial, Surface Prep"/>
  </r>
  <r>
    <n v="104288"/>
    <x v="1"/>
    <x v="976"/>
    <s v="TRAD"/>
    <s v="355 Gus Hipp Blvd;Ste 9;Rockledge FL 32955-4806;USA"/>
    <s v="USD"/>
    <x v="951"/>
    <x v="6"/>
    <x v="488"/>
    <s v="UPS Systems, Power Distribution, IT Infrastructure, Data Center Solutions"/>
  </r>
  <r>
    <s v="000564"/>
    <x v="1"/>
    <x v="977"/>
    <s v="TRAD"/>
    <s v="1525 Kingsway Ave;Port Coquitlam BC V3C 1S2;CAN"/>
    <s v="CAD"/>
    <x v="952"/>
    <x v="3"/>
    <x v="206"/>
    <s v="Auto Parts, Tools, Equipment, Accessories, Wholesale &amp; Retail"/>
  </r>
  <r>
    <n v="145163"/>
    <x v="1"/>
    <x v="978"/>
    <s v="TRAD"/>
    <s v="PO Box 727;Kirkland WA 98083;USA"/>
    <s v="USD"/>
    <x v="953"/>
    <x v="15"/>
    <x v="489"/>
    <s v="Corporate Discount Programs, Employee Benefits, Travel Deals, Entertainment Tickets"/>
  </r>
  <r>
    <n v="125395"/>
    <x v="1"/>
    <x v="979"/>
    <s v="UTIL"/>
    <s v="PO Box 660579;Dallas TX 75266-0579;USA"/>
    <s v="USD"/>
    <x v="954"/>
    <x v="2"/>
    <x v="490"/>
    <s v="Water Dispensers, Office Water Service, Filtration Systems"/>
  </r>
  <r>
    <n v="144867"/>
    <x v="1"/>
    <x v="980"/>
    <s v="TRAD"/>
    <s v="1901 East 19th Street;Olathe KS 66061;USA"/>
    <s v="USD"/>
    <x v="955"/>
    <x v="30"/>
    <x v="491"/>
    <s v="Overhead Doors, Loading Dock Equipment, Automatic Doors, Access Solutions"/>
  </r>
  <r>
    <n v="107256"/>
    <x v="1"/>
    <x v="981"/>
    <s v="TRAD"/>
    <s v="25538 Network Pl;Chicago IL 60673-1255;USA"/>
    <s v="USD"/>
    <x v="956"/>
    <x v="11"/>
    <x v="37"/>
    <s v="Forklift Sales &amp; Service, Rentals, Parts, Fleet Management, Motive Power"/>
  </r>
  <r>
    <n v="152040"/>
    <x v="1"/>
    <x v="982"/>
    <s v="TRAD"/>
    <s v="1100 MARKET ST;Suite 600;CHATTANOOGA TN 37402-2893;USA"/>
    <s v="USD"/>
    <x v="957"/>
    <x v="6"/>
    <x v="492"/>
    <s v="Email Analytics, Audience Insights, Marketing Intelligence"/>
  </r>
  <r>
    <n v="122516"/>
    <x v="1"/>
    <x v="983"/>
    <s v="TRAD"/>
    <s v="633 Folsom St;San Francisco CA 94107;USA"/>
    <s v="USD"/>
    <x v="958"/>
    <x v="6"/>
    <x v="493"/>
    <s v="Task Management, Workflow Automation, Team Collaboration, Goal Tracking"/>
  </r>
  <r>
    <n v="114266"/>
    <x v="1"/>
    <x v="984"/>
    <s v="RENT"/>
    <s v="10220 W Reno Ave;Oklahoma City OK 73127-7155;USA"/>
    <s v="USD"/>
    <x v="959"/>
    <x v="8"/>
    <x v="494"/>
    <s v="Trailer Storage, Parking Lot Management, Trailer Maintenance"/>
  </r>
  <r>
    <n v="124638"/>
    <x v="1"/>
    <x v="985"/>
    <s v="TRAD"/>
    <s v="PO Box 52026;Riverside CA 92517-3026;USA"/>
    <s v="USD"/>
    <x v="960"/>
    <x v="20"/>
    <x v="309"/>
    <s v="Janitorial, Office Cleaning, Floor Care"/>
  </r>
  <r>
    <n v="151186"/>
    <x v="1"/>
    <x v="986"/>
    <s v="RENT"/>
    <s v="660 LEGENDS CREST DR;FRANKLIN TN 37069-4656;USA"/>
    <s v="USD"/>
    <x v="961"/>
    <x v="8"/>
    <x v="28"/>
    <s v="Real Estate, Property Management"/>
  </r>
  <r>
    <n v="144368"/>
    <x v="1"/>
    <x v="987"/>
    <s v="TRAD"/>
    <s v="107 North Jefferson Street;Tampa FL 33602;USA"/>
    <s v="USD"/>
    <x v="962"/>
    <x v="1"/>
    <x v="495"/>
    <s v="Commercial Printing, Direct Mail, Graphic Design, Signage"/>
  </r>
  <r>
    <n v="145450"/>
    <x v="1"/>
    <x v="988"/>
    <s v="TRAD"/>
    <s v="100 Essex Drive;Winterville NC 28590;USA"/>
    <s v="USD"/>
    <x v="963"/>
    <x v="20"/>
    <x v="496"/>
    <s v="Lawn Mowing, Landscape Design, Irrigation, Grounds Maintenance"/>
  </r>
  <r>
    <n v="111985"/>
    <x v="1"/>
    <x v="989"/>
    <s v="UTIL"/>
    <s v="PO Box 2590;Clinton NC 28329;USA"/>
    <s v="USD"/>
    <x v="964"/>
    <x v="19"/>
    <x v="299"/>
    <s v="Propane Delivery, Tank Installation, Residential &amp; Commercial Gas Service"/>
  </r>
  <r>
    <n v="125507"/>
    <x v="1"/>
    <x v="990"/>
    <s v="TRAD"/>
    <s v="PO Box 21987;Waco TX 76702-1987;USA"/>
    <s v="USD"/>
    <x v="965"/>
    <x v="30"/>
    <x v="188"/>
    <s v="Garage Door Installation, Repair, Commercial Doors, Openers"/>
  </r>
  <r>
    <n v="141031"/>
    <x v="1"/>
    <x v="991"/>
    <s v="TRAD"/>
    <s v="401A WESTON ST;WINNIPEG MB R3E 3H4;CAN"/>
    <s v="CAD"/>
    <x v="966"/>
    <x v="10"/>
    <x v="497"/>
    <s v="Mechanical Services, Electrical, Facility Maintenance, Construction"/>
  </r>
  <r>
    <n v="120130"/>
    <x v="1"/>
    <x v="992"/>
    <s v="TRAD"/>
    <s v="Dept CH10660;Palatine IL 60055;USA"/>
    <s v="USD"/>
    <x v="967"/>
    <x v="11"/>
    <x v="498"/>
    <s v="Industrial Gases, Welding Supplies, Gas Distribution, Equipment Sales"/>
  </r>
  <r>
    <n v="148441"/>
    <x v="1"/>
    <x v="993"/>
    <s v="TRAD"/>
    <s v="501 N Morton St;Suite 212;Bloomington IN 47404;USA"/>
    <s v="USD"/>
    <x v="968"/>
    <x v="6"/>
    <x v="291"/>
    <s v="Paid Media, SEO, Analytics, Performance Marketing, Influencer Marketing"/>
  </r>
  <r>
    <n v="149585"/>
    <x v="1"/>
    <x v="994"/>
    <s v="TRAD"/>
    <s v="7291 Cottage Hill Rd;Mobile AL 36695;USA"/>
    <s v="USD"/>
    <x v="969"/>
    <x v="11"/>
    <x v="499"/>
    <s v="Industrial Fasteners, Hardware, Supply Distribution"/>
  </r>
  <r>
    <n v="113251"/>
    <x v="1"/>
    <x v="995"/>
    <s v="RENT"/>
    <s v="89 Old Henry Grady Rd;Dawsonville GA 30534-2433;USA"/>
    <s v="USD"/>
    <x v="970"/>
    <x v="8"/>
    <x v="28"/>
    <s v="Real Estate, Property Rental"/>
  </r>
  <r>
    <n v="144440"/>
    <x v="1"/>
    <x v="996"/>
    <s v="RENT"/>
    <s v="39 Fairway View Drive;Sutton MA 01590;USA"/>
    <s v="USD"/>
    <x v="970"/>
    <x v="8"/>
    <x v="28"/>
    <s v="Real Estate, Property Management"/>
  </r>
  <r>
    <n v="127124"/>
    <x v="1"/>
    <x v="997"/>
    <s v="TRAD"/>
    <s v="7685 St Rt 48 #5;Maineville OH 45039;USA"/>
    <s v="USD"/>
    <x v="971"/>
    <x v="12"/>
    <x v="327"/>
    <s v="Insurance Defense, Workers' Compensation, Litigation"/>
  </r>
  <r>
    <n v="122120"/>
    <x v="1"/>
    <x v="998"/>
    <s v="RENT"/>
    <s v="14110 Castle Brook Rd;Evansville IN 47725-8320;USA"/>
    <s v="USD"/>
    <x v="972"/>
    <x v="8"/>
    <x v="28"/>
    <s v="Real Estate, Property Management"/>
  </r>
  <r>
    <n v="151281"/>
    <x v="1"/>
    <x v="999"/>
    <s v="TRAD"/>
    <s v="77 ILLINOIS AVE S;MANSFIELD OH 44905-2824;USA"/>
    <s v="USD"/>
    <x v="973"/>
    <x v="4"/>
    <x v="500"/>
    <s v="Hot Water Pressure Washers, Parts, Cleaning Chemicals, Equipment Repair"/>
  </r>
  <r>
    <n v="130354"/>
    <x v="1"/>
    <x v="1000"/>
    <s v="RENT"/>
    <s v="2121 Vista Pkwy;West Palm Beach FL 33411-2706;USA"/>
    <s v="USD"/>
    <x v="974"/>
    <x v="4"/>
    <x v="501"/>
    <s v="Custom Signs, Banners, Vehicle Wraps, Digital Printing, Trade Show Displays"/>
  </r>
  <r>
    <n v="144456"/>
    <x v="1"/>
    <x v="1001"/>
    <s v="TRAD"/>
    <s v="191 Poplar Place, Unit 4;North Aurora IL 60542;USA"/>
    <s v="USD"/>
    <x v="975"/>
    <x v="11"/>
    <x v="502"/>
    <s v="Metal Fabrication, Industrial Components, Custom Manufacturing"/>
  </r>
  <r>
    <n v="150789"/>
    <x v="1"/>
    <x v="1002"/>
    <s v="TRAD"/>
    <s v="9578 NIMS LN;PENSACOLA FL 32534-1302;USA"/>
    <s v="USD"/>
    <x v="976"/>
    <x v="10"/>
    <x v="258"/>
    <s v="Commercial Electrical, Residential Electrical, Wiring, Panel Upgrades, Service"/>
  </r>
  <r>
    <n v="150374"/>
    <x v="1"/>
    <x v="1003"/>
    <s v="TRAD"/>
    <s v="2142 AUSTIN DR;TROY MI 48083-2238;USA"/>
    <s v="USD"/>
    <x v="977"/>
    <x v="30"/>
    <x v="437"/>
    <s v="Commercial Doors, Overhead Doors, Loading Dock Equipment, Repair"/>
  </r>
  <r>
    <s v="000966"/>
    <x v="1"/>
    <x v="1004"/>
    <s v="TRAD"/>
    <s v="PO Box 7406, STN Terminal;C/O V7406;Vancouver BC V6B 4E2;CAN"/>
    <s v="CAD"/>
    <x v="978"/>
    <x v="4"/>
    <x v="255"/>
    <s v="Equipment Rental, Tool Rental, Aerial Lifts, Earthmoving, Scaffolding"/>
  </r>
  <r>
    <n v="102110"/>
    <x v="1"/>
    <x v="1005"/>
    <s v="LEGAL"/>
    <s v="Bin 88895;Milwaukee WI 53288;USA"/>
    <s v="USD"/>
    <x v="979"/>
    <x v="12"/>
    <x v="48"/>
    <s v="Corporate Law, Litigation, Intellectual Property, Labor &amp; Employment, Real Estate, Healthcare"/>
  </r>
  <r>
    <n v="123133"/>
    <x v="1"/>
    <x v="1006"/>
    <s v="TRAD"/>
    <s v="5808 Shawood Dr;Raleigh NC 27609-3832;USA"/>
    <s v="USD"/>
    <x v="980"/>
    <x v="10"/>
    <x v="429"/>
    <s v="Commercial Electrical, Installation, Repair, Maintenance"/>
  </r>
  <r>
    <n v="101042"/>
    <x v="1"/>
    <x v="1007"/>
    <s v="TRAD"/>
    <s v="4605 E. Vine Ave;Fresno CA 93725;USA"/>
    <s v="USD"/>
    <x v="981"/>
    <x v="19"/>
    <x v="503"/>
    <s v="Fuel Delivery, Diesel Supply, Fleet Fueling"/>
  </r>
  <r>
    <n v="119805"/>
    <x v="1"/>
    <x v="1008"/>
    <s v="TRAD"/>
    <s v="222 Capitol Ct;Ocoee FL 34761-3019;USA"/>
    <s v="USD"/>
    <x v="982"/>
    <x v="26"/>
    <x v="320"/>
    <s v="Fire Sprinkler Installation, Inspection, Design, Repair, Fire Protection"/>
  </r>
  <r>
    <n v="144517"/>
    <x v="1"/>
    <x v="1009"/>
    <s v="TRAD"/>
    <s v="6766 Hokaday Road;Slaughter LA 70777;USA"/>
    <s v="USD"/>
    <x v="983"/>
    <x v="3"/>
    <x v="504"/>
    <s v="Equipment Maintenance, Field Service, Welding, Fabrication"/>
  </r>
  <r>
    <n v="142059"/>
    <x v="1"/>
    <x v="1010"/>
    <s v="RENT"/>
    <s v="239 New Bridge Street;Jacksonville NC 28540;USA"/>
    <s v="USD"/>
    <x v="984"/>
    <x v="17"/>
    <x v="184"/>
    <s v="Commercial Construction, Property Maintenance, Facility Renovation"/>
  </r>
  <r>
    <n v="148162"/>
    <x v="1"/>
    <x v="1011"/>
    <s v="RENT"/>
    <s v="8850 SW State Highway 3;Bremerton WA 98312;USA"/>
    <s v="USD"/>
    <x v="985"/>
    <x v="8"/>
    <x v="505"/>
    <s v="Marina Operations, Public Moorage, Airport Operations, Economic Development"/>
  </r>
  <r>
    <n v="106489"/>
    <x v="1"/>
    <x v="1012"/>
    <s v="TRAD"/>
    <s v="PO Box 1125;Wilkes Barre PA 18703 1125;USA"/>
    <s v="USD"/>
    <x v="986"/>
    <x v="3"/>
    <x v="368"/>
    <s v="Truck Tires, Retreading, Fleet Tire Management, 24-Hour Road Service"/>
  </r>
  <r>
    <s v="000770"/>
    <x v="1"/>
    <x v="1013"/>
    <s v="TRAD"/>
    <s v="CAN"/>
    <s v="CAD"/>
    <x v="987"/>
    <x v="0"/>
    <x v="506"/>
    <s v="Corporate Banking, Treasury Services, Investment Banking, Trade Finance"/>
  </r>
  <r>
    <n v="126414"/>
    <x v="1"/>
    <x v="1014"/>
    <s v="TRAD"/>
    <s v="21731 SE 259th St;Maple Valley WA 98038-7568;USA"/>
    <s v="USD"/>
    <x v="988"/>
    <x v="4"/>
    <x v="507"/>
    <s v="Water Purification, Wastewater Treatment, Environmental Services"/>
  </r>
  <r>
    <n v="147045"/>
    <x v="1"/>
    <x v="1015"/>
    <s v="TRAD"/>
    <s v="PO Box 120499;East Haven CT 06512;USA"/>
    <s v="USD"/>
    <x v="989"/>
    <x v="3"/>
    <x v="286"/>
    <s v="Forklift Sales, Forklift Repair, Equipment Rental, Parts"/>
  </r>
  <r>
    <n v="103376"/>
    <x v="1"/>
    <x v="1016"/>
    <s v="UTIL"/>
    <s v="PO Box 173940;Denver CO 80217-3940;USA"/>
    <s v="USD"/>
    <x v="990"/>
    <x v="19"/>
    <x v="299"/>
    <s v="Propane Delivery, Tank Installation, Auto Fill, Forklift Fuel, Agricultural Propane"/>
  </r>
  <r>
    <n v="152039"/>
    <x v="1"/>
    <x v="1017"/>
    <s v="LEGAL"/>
    <s v="127 PUBLIC SQ;STE 4900;CLEVELAND OH 44114-1217;USA"/>
    <s v="USD"/>
    <x v="991"/>
    <x v="12"/>
    <x v="508"/>
    <s v="Corporate &amp; Securities, Litigation, Healthcare Law, Real Estate, IP"/>
  </r>
  <r>
    <n v="116978"/>
    <x v="1"/>
    <x v="1018"/>
    <s v="RENT"/>
    <s v="PO Box 407;Blacksburg VA 24063-0407;USA"/>
    <s v="USD"/>
    <x v="992"/>
    <x v="8"/>
    <x v="28"/>
    <s v="Real Estate, Property Management"/>
  </r>
  <r>
    <n v="149255"/>
    <x v="1"/>
    <x v="1019"/>
    <s v="TRAD"/>
    <s v="PO Box 1036 ;Elk Grove CA 95759;USA"/>
    <s v="USD"/>
    <x v="993"/>
    <x v="4"/>
    <x v="509"/>
    <s v="Wood Pallets, Custom Pallets, Pallet Recycling"/>
  </r>
  <r>
    <n v="140094"/>
    <x v="1"/>
    <x v="1020"/>
    <s v="LEGAL"/>
    <s v="PO Box 89;Columbia SC 29202;USA"/>
    <s v="USD"/>
    <x v="994"/>
    <x v="12"/>
    <x v="510"/>
    <s v="Employment Law, Workplace Safety, Immigration, Benefits, Litigation"/>
  </r>
  <r>
    <n v="140343"/>
    <x v="1"/>
    <x v="1021"/>
    <s v="TRAD"/>
    <s v="PO Box 139;Fishkill NY 12524;USA"/>
    <s v="USD"/>
    <x v="995"/>
    <x v="20"/>
    <x v="511"/>
    <s v="Truck Repair, Fleet Maintenance, Parts &amp; Service, Diesel Repair"/>
  </r>
  <r>
    <n v="127528"/>
    <x v="1"/>
    <x v="1022"/>
    <s v="TRAD"/>
    <s v="PO Box 0766;Lockport IL 60441;USA"/>
    <s v="USD"/>
    <x v="996"/>
    <x v="8"/>
    <x v="28"/>
    <s v="Real Estate, Construction"/>
  </r>
  <r>
    <n v="132090"/>
    <x v="1"/>
    <x v="1023"/>
    <s v="TRAD"/>
    <s v="1823 N Hamilton St;PO Box 90308;Richmond VA 23230-4005;USA"/>
    <s v="USD"/>
    <x v="997"/>
    <x v="16"/>
    <x v="512"/>
    <s v="Heating Oil, HVAC, Plumbing, Electrical, Generator Service, Home Comfort Plans"/>
  </r>
  <r>
    <n v="130783"/>
    <x v="1"/>
    <x v="1024"/>
    <s v="TRAD"/>
    <s v="8061 Tyler Blvd;Mentor OH 44060-4809;USA"/>
    <s v="USD"/>
    <x v="998"/>
    <x v="20"/>
    <x v="344"/>
    <s v="Building Maintenance, Janitorial, Facility Services"/>
  </r>
  <r>
    <n v="149256"/>
    <x v="1"/>
    <x v="1025"/>
    <s v="TRAD"/>
    <s v="5716 S Jordan Canal Rd;Taylorsville UT 84129;USA"/>
    <s v="USD"/>
    <x v="999"/>
    <x v="0"/>
    <x v="513"/>
    <s v="Office Equipment Financing, Technology Leasing, Dealer Financing Programs"/>
  </r>
  <r>
    <n v="142408"/>
    <x v="1"/>
    <x v="1026"/>
    <s v="TRAD"/>
    <s v="29191 Groesbeck Highway;Roseville MI 48066;USA"/>
    <s v="USD"/>
    <x v="1000"/>
    <x v="3"/>
    <x v="514"/>
    <s v="Vehicle Towing, Transport, Heavy-Duty Towing, Roadside Assistance"/>
  </r>
  <r>
    <s v="000659"/>
    <x v="1"/>
    <x v="1027"/>
    <s v="TRAD"/>
    <s v="C/O T04446C PO Box 4446;Toronto ON M5W 4A3;CAN"/>
    <s v="CAD"/>
    <x v="1001"/>
    <x v="28"/>
    <x v="150"/>
    <s v="Office Supplies, Furniture, Technology, Print &amp; Copy, Breakroom Supplies"/>
  </r>
  <r>
    <n v="124931"/>
    <x v="1"/>
    <x v="1028"/>
    <s v="TRAD"/>
    <s v="PO Box 16483;Denver CO 80216-0483;USA"/>
    <s v="USD"/>
    <x v="1002"/>
    <x v="10"/>
    <x v="515"/>
    <s v="Concrete Work, Landscaping, Hardscaping, Demolition"/>
  </r>
  <r>
    <n v="122924"/>
    <x v="1"/>
    <x v="1029"/>
    <s v="TRAD"/>
    <s v="PO Box 73399;Puyallup WA 98373-0399;USA"/>
    <s v="USD"/>
    <x v="1003"/>
    <x v="17"/>
    <x v="516"/>
    <s v="Portable Restrooms, Handwash Stations, Event Sanitation, Construction Sanitation"/>
  </r>
  <r>
    <n v="106220"/>
    <x v="1"/>
    <x v="1030"/>
    <s v="TRAD"/>
    <s v="13348 Sayre St;Sylmar CA 91342;USA"/>
    <s v="USD"/>
    <x v="1004"/>
    <x v="7"/>
    <x v="218"/>
    <s v="Consulting, Contracting Services"/>
  </r>
  <r>
    <n v="146250"/>
    <x v="1"/>
    <x v="1031"/>
    <s v="TRAD"/>
    <s v="PO Box 36014;Newark NJ 07188;USA"/>
    <s v="USD"/>
    <x v="1005"/>
    <x v="20"/>
    <x v="517"/>
    <s v="Truck Washing, Building Exterior Cleaning, Pressure Washing, Fleet Maintenance"/>
  </r>
  <r>
    <n v="151207"/>
    <x v="1"/>
    <x v="1032"/>
    <s v="TRAD"/>
    <s v="72 E HOFFMAN AVE;LINDENHURST NY 11757-5001;USA"/>
    <s v="USD"/>
    <x v="1006"/>
    <x v="10"/>
    <x v="44"/>
    <s v="Construction, Maintenance, Building Services"/>
  </r>
  <r>
    <n v="149289"/>
    <x v="1"/>
    <x v="1033"/>
    <s v="TRAD"/>
    <s v="70 Bacon St.;Pawtucket RI 02860;USA"/>
    <s v="USD"/>
    <x v="1007"/>
    <x v="26"/>
    <x v="292"/>
    <s v="Fire Sprinkler Installation, Inspection, Fire Alarm Systems"/>
  </r>
  <r>
    <n v="132440"/>
    <x v="1"/>
    <x v="1034"/>
    <s v="TRAD"/>
    <s v="2544 South County Trail ;North Kingstown RI 02892;USA"/>
    <s v="USD"/>
    <x v="1008"/>
    <x v="3"/>
    <x v="518"/>
    <s v="Auto Repair, Maintenance, Inspection, Diagnostics"/>
  </r>
  <r>
    <n v="129660"/>
    <x v="1"/>
    <x v="1035"/>
    <s v="TRAD"/>
    <s v="6405 Kirby Oaks Dr;Memphis TN 38119-6515;USA"/>
    <s v="USD"/>
    <x v="1009"/>
    <x v="7"/>
    <x v="218"/>
    <s v="Consulting, Contracting Services"/>
  </r>
  <r>
    <n v="150763"/>
    <x v="1"/>
    <x v="1036"/>
    <s v="TRAD"/>
    <s v="2300 CONTRA COSTA BLVD;STE 310;PLEASANT HILL CA 94523-3918;USA"/>
    <s v="USD"/>
    <x v="1010"/>
    <x v="10"/>
    <x v="302"/>
    <s v="General Trade Services, Contracting"/>
  </r>
  <r>
    <n v="109685"/>
    <x v="1"/>
    <x v="1037"/>
    <s v="TRAD"/>
    <s v="Attn: NFS Team 3350 Peachtree Rd;Atlanta GA 30326;USA"/>
    <s v="USD"/>
    <x v="1011"/>
    <x v="10"/>
    <x v="519"/>
    <s v="New Home Construction, Community Development, Mortgage Services, Home Design"/>
  </r>
  <r>
    <s v="000719"/>
    <x v="1"/>
    <x v="1038"/>
    <s v="TRAD"/>
    <s v="123 Wescar Lane;Ottawaw ON K0A 1L0;CAN"/>
    <s v="CAD"/>
    <x v="1012"/>
    <x v="11"/>
    <x v="520"/>
    <s v="Forklift Repair, Equipment Rental, Material Handling"/>
  </r>
  <r>
    <n v="124653"/>
    <x v="1"/>
    <x v="1039"/>
    <s v="TRAD"/>
    <s v="4518 Industrial St;Simi Valley CA 93063-3411;USA"/>
    <s v="USD"/>
    <x v="1013"/>
    <x v="12"/>
    <x v="327"/>
    <s v="Legal Counsel, Attorney Services"/>
  </r>
  <r>
    <n v="148123"/>
    <x v="1"/>
    <x v="1040"/>
    <s v="TRAD"/>
    <s v="153 Remsen St;Brooklyn NY 11201;USA"/>
    <s v="USD"/>
    <x v="1014"/>
    <x v="4"/>
    <x v="521"/>
    <s v="Consumer Research, Brand Strategy, Data Analytics, Competitive Intelligence"/>
  </r>
  <r>
    <n v="149493"/>
    <x v="1"/>
    <x v="1041"/>
    <s v="TRAD"/>
    <s v="900 E 8TH AVE;STE 106;KING OF PRUSSIA PA 19406-1324;USA"/>
    <s v="USD"/>
    <x v="1015"/>
    <x v="16"/>
    <x v="522"/>
    <s v="HVAC Installation, Plumbing, Electrical, Indoor Air Quality, Home Comfort"/>
  </r>
  <r>
    <n v="115435"/>
    <x v="1"/>
    <x v="1042"/>
    <s v="TRAD"/>
    <s v="2514 Deans Bridge Rd;Augusta GA 30906-2202;USA"/>
    <s v="USD"/>
    <x v="1016"/>
    <x v="3"/>
    <x v="523"/>
    <s v="Tire Sales, Brake Service, Oil Change, Auto Maintenance"/>
  </r>
  <r>
    <n v="117088"/>
    <x v="1"/>
    <x v="1043"/>
    <s v="TRAD"/>
    <s v="989 E Hillsdale Blvd;Ste 20;Foster City CA 94404-2113;USA"/>
    <s v="USD"/>
    <x v="1017"/>
    <x v="6"/>
    <x v="524"/>
    <s v="IDE (IntelliJ, PyCharm, WebStorm), Code Analysis, CI/CD (TeamCity), Project Management (YouTrack)"/>
  </r>
  <r>
    <n v="148256"/>
    <x v="1"/>
    <x v="1044"/>
    <s v="RENT"/>
    <s v="12247 Margaret Dr;Fenton MI 48430;USA"/>
    <s v="USD"/>
    <x v="1018"/>
    <x v="8"/>
    <x v="28"/>
    <s v="Real Estate, Property Management"/>
  </r>
  <r>
    <n v="149122"/>
    <x v="1"/>
    <x v="1045"/>
    <s v="TRAD"/>
    <s v="695 Boston Mills Rd;Hudson OH 44236;USA"/>
    <s v="USD"/>
    <x v="1019"/>
    <x v="4"/>
    <x v="255"/>
    <s v="Equipment Rental, Party Rentals, Construction Equipment, Event Supplies"/>
  </r>
  <r>
    <n v="150414"/>
    <x v="1"/>
    <x v="1046"/>
    <s v="TRAD"/>
    <s v="201 59TH ST SW;Apt A;ALBUQUERQUE NM 87121-2551;USA"/>
    <s v="USD"/>
    <x v="1020"/>
    <x v="7"/>
    <x v="218"/>
    <s v="Consulting, Contracting Services"/>
  </r>
  <r>
    <n v="145957"/>
    <x v="1"/>
    <x v="1047"/>
    <s v="TRAD"/>
    <s v="760 Market Street;Floor 10;San Francisco CA 94102;USA"/>
    <s v="USD"/>
    <x v="1021"/>
    <x v="15"/>
    <x v="525"/>
    <s v="UI/UX Design, Prototyping, Design Systems, Dev Mode, Collaborative Whiteboard"/>
  </r>
  <r>
    <n v="142042"/>
    <x v="1"/>
    <x v="1048"/>
    <s v="TRAD"/>
    <s v="10675 Lois Lane;Montgomery TX 77316;USA"/>
    <s v="USD"/>
    <x v="1022"/>
    <x v="7"/>
    <x v="218"/>
    <s v="Consulting, Contracting Services"/>
  </r>
  <r>
    <n v="141649"/>
    <x v="1"/>
    <x v="1049"/>
    <s v="TRAD"/>
    <s v="2345 Urban Road;Jacksonville FL 32210;USA"/>
    <s v="USD"/>
    <x v="1023"/>
    <x v="10"/>
    <x v="258"/>
    <s v="Commercial Electrical, Residential Electrical, Wiring, Repairs"/>
  </r>
  <r>
    <n v="129940"/>
    <x v="1"/>
    <x v="1050"/>
    <s v="TRAD"/>
    <s v="136 Forest Rd E;Mastic Beach NY 11951-5534;USA"/>
    <s v="USD"/>
    <x v="1024"/>
    <x v="20"/>
    <x v="526"/>
    <s v="Power Washing, Auto Detailing, Commercial Cleaning, Janitorial Services"/>
  </r>
  <r>
    <n v="152093"/>
    <x v="1"/>
    <x v="1051"/>
    <s v="TRAD"/>
    <s v="14 CENTER ST;SAINT AUGUSTINE FL 32084-2758;USA"/>
    <s v="USD"/>
    <x v="1025"/>
    <x v="4"/>
    <x v="527"/>
    <s v="Electric Motor Repair, Rewinding, Pump Repair, Generator Service"/>
  </r>
  <r>
    <n v="149008"/>
    <x v="1"/>
    <x v="1052"/>
    <s v="TRAD"/>
    <s v="234 East 1800 South;Unit F234;Clearfield UT 84015;USA"/>
    <s v="USD"/>
    <x v="1026"/>
    <x v="10"/>
    <x v="528"/>
    <s v="Professional Services"/>
  </r>
  <r>
    <n v="152036"/>
    <x v="1"/>
    <x v="1053"/>
    <s v="TRAD"/>
    <s v="PO BOX 17256;ROCHESTER NY 14617-0256;USA"/>
    <s v="USD"/>
    <x v="1026"/>
    <x v="7"/>
    <x v="218"/>
    <s v="Consulting, Contracting Services"/>
  </r>
  <r>
    <n v="125433"/>
    <x v="1"/>
    <x v="1054"/>
    <s v="TRAD"/>
    <s v="PO Box 733746;Dallas TX 75373-3745;USA"/>
    <s v="USD"/>
    <x v="1027"/>
    <x v="4"/>
    <x v="529"/>
    <s v="Medical Billing, Collections, Revenue Cycle"/>
  </r>
  <r>
    <n v="148850"/>
    <x v="1"/>
    <x v="1055"/>
    <s v="RENT"/>
    <s v="1434 Flightline;Mojave CA 93501;USA"/>
    <s v="USD"/>
    <x v="1028"/>
    <x v="8"/>
    <x v="530"/>
    <s v="Aircraft Hangars, Flight Testing, Aerospace Facilities, Leasing"/>
  </r>
  <r>
    <n v="125907"/>
    <x v="1"/>
    <x v="1056"/>
    <s v="TRAD"/>
    <s v="PO Box 21918;New York NY 10087;USA"/>
    <s v="USD"/>
    <x v="1029"/>
    <x v="15"/>
    <x v="72"/>
    <s v="IT Services, Staff Augmentation, Digital Transformation, Application Development"/>
  </r>
  <r>
    <n v="116597"/>
    <x v="1"/>
    <x v="1057"/>
    <s v="TRAD"/>
    <s v="3400 Delaware Ave;Des Moines IA 50313-4765;USA"/>
    <s v="USD"/>
    <x v="1030"/>
    <x v="11"/>
    <x v="531"/>
    <s v="Hydraulic Cylinder Repair, Hose Assembly, Fluid Power Components, Pump &amp; Motor Repair"/>
  </r>
  <r>
    <n v="104397"/>
    <x v="1"/>
    <x v="1058"/>
    <s v="UTIL"/>
    <s v="9402 150th St;Jamaica NY 11435-4525;USA"/>
    <s v="USD"/>
    <x v="1031"/>
    <x v="4"/>
    <x v="532"/>
    <s v="Commercial Waste Hauling, Recycling, Roll-Off Containers, Debris Removal"/>
  </r>
  <r>
    <n v="149927"/>
    <x v="1"/>
    <x v="1059"/>
    <s v="TRAD"/>
    <s v="9712 Somerset Blvd, ;Bellflower CA 90706;USA"/>
    <s v="USD"/>
    <x v="1032"/>
    <x v="10"/>
    <x v="87"/>
    <s v="Roofing, Commercial Construction, Tenant Improvements, Painting"/>
  </r>
  <r>
    <n v="126882"/>
    <x v="1"/>
    <x v="1060"/>
    <s v="RENT"/>
    <s v="2901 E Stan Schlueter Loop;Killeen TX 76542-4593;USA"/>
    <s v="USD"/>
    <x v="1033"/>
    <x v="8"/>
    <x v="28"/>
    <s v="Real Estate, Property Management"/>
  </r>
  <r>
    <n v="129784"/>
    <x v="1"/>
    <x v="1061"/>
    <s v="TRAD"/>
    <s v="1201 Wills St;Ste 600;Baltimore MD 21231-3805;USA"/>
    <s v="USD"/>
    <x v="1033"/>
    <x v="6"/>
    <x v="291"/>
    <s v="Paid Search, SEO, Social Media, Analytics, Creative, Programmatic, AI Solutions"/>
  </r>
  <r>
    <n v="151022"/>
    <x v="1"/>
    <x v="1062"/>
    <s v="RENT"/>
    <s v="W1540 SAWYER LN;EAST TROY WI 53120-2109;USA"/>
    <s v="USD"/>
    <x v="1033"/>
    <x v="8"/>
    <x v="533"/>
    <s v="Self-Storage Units, Climate Controlled, Vehicle Storage"/>
  </r>
  <r>
    <n v="112529"/>
    <x v="1"/>
    <x v="1063"/>
    <s v="RENT"/>
    <s v="PO BOX 1328;FORESTDALE MA 02644-0716;USA"/>
    <s v="USD"/>
    <x v="1033"/>
    <x v="24"/>
    <x v="534"/>
    <s v="Bark Mulch, Landscaping, Lawn Care, Snow Removal"/>
  </r>
  <r>
    <n v="151634"/>
    <x v="1"/>
    <x v="1064"/>
    <s v="RENT"/>
    <s v="PO BOX 151;MCDONOUGH GA 30253-0151;USA"/>
    <s v="USD"/>
    <x v="1033"/>
    <x v="8"/>
    <x v="28"/>
    <s v="Real Estate, Property Management"/>
  </r>
  <r>
    <n v="147086"/>
    <x v="1"/>
    <x v="1065"/>
    <s v="TRAD"/>
    <s v="2005 Fletcher Creek Drive;Memphis TN 38133;USA"/>
    <s v="USD"/>
    <x v="1034"/>
    <x v="11"/>
    <x v="37"/>
    <s v="Forklift Sales &amp; Service, Rentals, Parts &amp; Repair"/>
  </r>
  <r>
    <n v="150511"/>
    <x v="1"/>
    <x v="1066"/>
    <s v="TRAD"/>
    <s v="2101 W PEORIA AVE;STE 100;PHOENIX AZ 85029-4934;USA"/>
    <s v="USD"/>
    <x v="1035"/>
    <x v="9"/>
    <x v="535"/>
    <s v="Kiosks, Access Control, Call Center Services, Payment Processing, Tenant Insurance"/>
  </r>
  <r>
    <n v="116936"/>
    <x v="1"/>
    <x v="1067"/>
    <s v="TRAD"/>
    <s v="82 County Rd 639;Wantage NJ 07461-3119;USA"/>
    <s v="USD"/>
    <x v="1036"/>
    <x v="10"/>
    <x v="536"/>
    <s v="Welding, Custom Fabrication, Equipment Repair, Structural Steel"/>
  </r>
  <r>
    <n v="106388"/>
    <x v="1"/>
    <x v="1068"/>
    <s v="RENT"/>
    <s v="80 Washington St;Bldg J-40;Norwell MA 02061 1740;USA"/>
    <s v="USD"/>
    <x v="1037"/>
    <x v="8"/>
    <x v="28"/>
    <s v="Industrial Real Estate, Distribution Facilities"/>
  </r>
  <r>
    <n v="128185"/>
    <x v="1"/>
    <x v="1069"/>
    <s v="TRAD"/>
    <s v="PO Box 1011;Azusa CA 91702-1011;USA"/>
    <s v="USD"/>
    <x v="1038"/>
    <x v="11"/>
    <x v="537"/>
    <s v="Hydraulic Hoses, Fittings, Mobile Hose Repair, Industrial Hose, Adapters"/>
  </r>
  <r>
    <n v="124147"/>
    <x v="1"/>
    <x v="1070"/>
    <s v="TRAD"/>
    <s v="51 Suttons Ln;Piscataway NJ 08854-5716;USA"/>
    <s v="USD"/>
    <x v="1039"/>
    <x v="26"/>
    <x v="538"/>
    <s v="Alarm Systems, Video Surveillance, Access Control"/>
  </r>
  <r>
    <n v="105360"/>
    <x v="1"/>
    <x v="1071"/>
    <s v="RENT"/>
    <s v="405 Marsh Ln;Ste 1;Wilmington DE 19804 2445;USA"/>
    <s v="USD"/>
    <x v="1040"/>
    <x v="8"/>
    <x v="28"/>
    <s v="Real Estate, Business Park, Property Management"/>
  </r>
  <r>
    <n v="131909"/>
    <x v="1"/>
    <x v="1072"/>
    <s v="TRAD"/>
    <s v="2045 W Sylvania Ave;Toledo OH 43613-4526;USA"/>
    <s v="USD"/>
    <x v="1041"/>
    <x v="3"/>
    <x v="378"/>
    <s v="Tire Sales, Oil Change, Fleet Service, Tire Retreading, Automotive Repair"/>
  </r>
  <r>
    <n v="151088"/>
    <x v="1"/>
    <x v="1073"/>
    <s v="TRAD"/>
    <s v="Attn. Damage Claims,;5690 DTC Blvd, Suite 650 E;Greenwood Village CO 80111;USA"/>
    <s v="USD"/>
    <x v="1042"/>
    <x v="13"/>
    <x v="539"/>
    <s v="Corporate Relocation, Household Goods Moving, Employee Transfer, Destination Services"/>
  </r>
  <r>
    <n v="113235"/>
    <x v="1"/>
    <x v="1074"/>
    <s v="TRAD"/>
    <s v="PO Box 223125;Pittsburgh PA 15251-2125;USA"/>
    <s v="USD"/>
    <x v="1043"/>
    <x v="2"/>
    <x v="118"/>
    <s v="LTL Freight, Truckload Shipping, Supply Chain, Freight Management"/>
  </r>
  <r>
    <n v="128254"/>
    <x v="1"/>
    <x v="1075"/>
    <s v="TRAD"/>
    <s v="12 E 49th St;New York NY 10017-1028;USA"/>
    <s v="USD"/>
    <x v="1044"/>
    <x v="5"/>
    <x v="540"/>
    <s v="Executive Benefits, Corporate Insurance, Retirement Planning, Wealth Management"/>
  </r>
  <r>
    <n v="127873"/>
    <x v="1"/>
    <x v="1076"/>
    <s v="TRAD"/>
    <s v="12011 Amedicus Ln;Unit 1;Fort Myers FL 33907-4056;USA"/>
    <s v="USD"/>
    <x v="1045"/>
    <x v="24"/>
    <x v="115"/>
    <s v="Lawn Care, Landscape Maintenance, Grounds Care"/>
  </r>
  <r>
    <n v="104791"/>
    <x v="1"/>
    <x v="1077"/>
    <s v="TRAD"/>
    <s v="PO Box 313071;Jamaica NY 11431;USA"/>
    <s v="USD"/>
    <x v="1046"/>
    <x v="30"/>
    <x v="541"/>
    <s v="Gate Installation, Fence Installation, Automated Gates, Security Fencing"/>
  </r>
  <r>
    <n v="149500"/>
    <x v="1"/>
    <x v="1078"/>
    <s v="TRAD"/>
    <s v="10 Locust street ;New Britain CT 06051;USA"/>
    <s v="USD"/>
    <x v="1047"/>
    <x v="20"/>
    <x v="309"/>
    <s v="Janitorial, Office Cleaning, Facility Maintenance"/>
  </r>
  <r>
    <n v="112539"/>
    <x v="1"/>
    <x v="1079"/>
    <s v="UTIL"/>
    <s v="PO Box 12027;Fresno CA 93776-2027;USA"/>
    <s v="USD"/>
    <x v="1048"/>
    <x v="19"/>
    <x v="299"/>
    <s v="Propane Delivery, Tank Installation, Heating, Commercial Propane"/>
  </r>
  <r>
    <n v="141922"/>
    <x v="1"/>
    <x v="1080"/>
    <s v="TRAD"/>
    <s v="PO Box 830;Union KY 41091;USA"/>
    <s v="USD"/>
    <x v="1049"/>
    <x v="24"/>
    <x v="457"/>
    <s v="Lawn Mowing, Landscaping, Mulching, Snow Removal, Commercial Grounds"/>
  </r>
  <r>
    <n v="147520"/>
    <x v="1"/>
    <x v="1081"/>
    <s v="LEGAL"/>
    <s v="777 E Wisconsin Ave;Milwaukee WI 53202;USA"/>
    <s v="USD"/>
    <x v="1050"/>
    <x v="12"/>
    <x v="542"/>
    <s v="Corporate Law, IP &amp; Patent, Litigation, Tax, Employment, M&amp;A, Real Estate"/>
  </r>
  <r>
    <n v="150013"/>
    <x v="1"/>
    <x v="1082"/>
    <s v="TRAD"/>
    <s v="PO BOX 5280;Orange CA 92863;USA"/>
    <s v="USD"/>
    <x v="1051"/>
    <x v="21"/>
    <x v="370"/>
    <s v="Property Management, Grounds Maintenance, Facility Services"/>
  </r>
  <r>
    <n v="110699"/>
    <x v="1"/>
    <x v="1083"/>
    <s v="TRAD"/>
    <s v="5517 Wellington Rd;Gainesville VA 20155-1614;USA"/>
    <s v="USD"/>
    <x v="1052"/>
    <x v="3"/>
    <x v="13"/>
    <s v="Vehicle Repair, Off-road Vehicles, Auto Maintenance"/>
  </r>
  <r>
    <n v="143399"/>
    <x v="1"/>
    <x v="1084"/>
    <s v="TRAD"/>
    <s v="PO Box 518;Baker LA 70704;USA"/>
    <s v="USD"/>
    <x v="1053"/>
    <x v="20"/>
    <x v="309"/>
    <s v="Janitorial Services, Facility Maintenance, Office Cleaning"/>
  </r>
  <r>
    <n v="119084"/>
    <x v="1"/>
    <x v="1085"/>
    <s v="TRAD"/>
    <s v="284 Sayville Blvd;Sayville NY 11782-2012;USA"/>
    <s v="USD"/>
    <x v="1054"/>
    <x v="33"/>
    <x v="543"/>
    <s v="Architectural Design, Interior Design, Planning, Commercial Architecture, Renovations"/>
  </r>
  <r>
    <n v="143857"/>
    <x v="1"/>
    <x v="1086"/>
    <s v="TRAD"/>
    <s v="PO Box 7209;Scarborough ME 04070;USA"/>
    <s v="USD"/>
    <x v="1055"/>
    <x v="26"/>
    <x v="544"/>
    <s v="Security Guards, Patrol Services, Event Security, Alarm Response"/>
  </r>
  <r>
    <n v="125538"/>
    <x v="1"/>
    <x v="1087"/>
    <s v="TRAD"/>
    <s v="PO Box 96713;Charlotte NC 28296-0713;USA"/>
    <s v="USD"/>
    <x v="1056"/>
    <x v="3"/>
    <x v="378"/>
    <s v="Commercial Tires, Fleet Tire Management, Retreading, Road Service"/>
  </r>
  <r>
    <n v="148476"/>
    <x v="1"/>
    <x v="1088"/>
    <s v="RENT"/>
    <s v="2320 Carver Dr;Leesburg FL 34748;USA"/>
    <s v="USD"/>
    <x v="1057"/>
    <x v="29"/>
    <x v="430"/>
    <s v="Truck Repair, Trailer Service, Fleet Maintenance, Welding"/>
  </r>
  <r>
    <n v="125247"/>
    <x v="1"/>
    <x v="1089"/>
    <s v="TRAD"/>
    <s v="PO Box 154;Knoxville TN 37901-0154;USA"/>
    <s v="USD"/>
    <x v="1058"/>
    <x v="10"/>
    <x v="184"/>
    <s v="General Contracting, Construction Management, Renovation, Project Management"/>
  </r>
  <r>
    <n v="129091"/>
    <x v="1"/>
    <x v="1090"/>
    <s v="TRAD"/>
    <s v="137 Troy Breland Dr;Ovett MS 39464-3907;USA"/>
    <s v="USD"/>
    <x v="1059"/>
    <x v="11"/>
    <x v="545"/>
    <s v="Industrial Equipment, Parts Distribution, Sales, Service"/>
  </r>
  <r>
    <n v="150463"/>
    <x v="1"/>
    <x v="1091"/>
    <s v="TRAD"/>
    <s v="PO BOX 988;WOLFFORTH TX 79382-0988;USA"/>
    <s v="USD"/>
    <x v="1060"/>
    <x v="25"/>
    <x v="116"/>
    <s v="Trash Collection, Roll-Off Dumpsters, Recycling, Debris Removal"/>
  </r>
  <r>
    <n v="114437"/>
    <x v="1"/>
    <x v="1092"/>
    <s v="TRAD"/>
    <s v="20637 Krick Road;Walton Hills OH 44146;USA"/>
    <s v="USD"/>
    <x v="1061"/>
    <x v="5"/>
    <x v="546"/>
    <s v="Business Insurance, Employee Benefits, Cybersecurity, Payroll"/>
  </r>
  <r>
    <n v="144650"/>
    <x v="1"/>
    <x v="1093"/>
    <s v="TRAD"/>
    <s v="PO Box 7410115;Chicago IL 60674;USA"/>
    <s v="USD"/>
    <x v="1062"/>
    <x v="6"/>
    <x v="547"/>
    <s v="Ad Delivery, Talent Payments, Rights Management, Asset Management, Creative Workflow"/>
  </r>
  <r>
    <n v="100744"/>
    <x v="1"/>
    <x v="1094"/>
    <s v="FRGT"/>
    <s v="PO BOX 405069;Atlanta GA 30384-5069;USA"/>
    <s v="USD"/>
    <x v="1063"/>
    <x v="10"/>
    <x v="69"/>
    <s v="Professional Services"/>
  </r>
  <r>
    <n v="121525"/>
    <x v="1"/>
    <x v="1095"/>
    <s v="TRAD"/>
    <s v="PO Box 8148;Northfield IL 60093;USA"/>
    <s v="USD"/>
    <x v="1064"/>
    <x v="6"/>
    <x v="548"/>
    <s v="Textbooks, Digital Learning Platforms, Course Materials"/>
  </r>
  <r>
    <n v="147088"/>
    <x v="1"/>
    <x v="1096"/>
    <s v="TRAD"/>
    <s v="920 Aldrin Drive;Saint Paul MN 55121;USA"/>
    <s v="USD"/>
    <x v="1065"/>
    <x v="20"/>
    <x v="549"/>
    <s v="Truck Repair, Fleet Maintenance, Diesel Service, Trailer Repair, Mobile Service"/>
  </r>
  <r>
    <n v="129952"/>
    <x v="1"/>
    <x v="1097"/>
    <s v="RENT"/>
    <s v="6518 W Plank Rd;Peoria IL 61604-5239;USA"/>
    <s v="USD"/>
    <x v="1066"/>
    <x v="8"/>
    <x v="28"/>
    <s v="Industrial Real Estate, Manufacturing Space, Property Management"/>
  </r>
  <r>
    <n v="145414"/>
    <x v="1"/>
    <x v="1098"/>
    <s v="TRAD"/>
    <s v="73769 South Delleker Road;Portola CA 96122;USA"/>
    <s v="USD"/>
    <x v="1067"/>
    <x v="19"/>
    <x v="299"/>
    <s v="Propane Delivery, Tank Installation, Residential &amp; Commercial Propane"/>
  </r>
  <r>
    <n v="132472"/>
    <x v="1"/>
    <x v="1099"/>
    <s v="TRAD"/>
    <s v="PO Box 635;Hutto TX 78634-0635;USA"/>
    <s v="USD"/>
    <x v="1068"/>
    <x v="10"/>
    <x v="87"/>
    <s v="Property Maintenance, Handyman, Repairs"/>
  </r>
  <r>
    <n v="142350"/>
    <x v="1"/>
    <x v="1100"/>
    <s v="RENT"/>
    <s v="61 Waterbury Street;Brooklyn NY 11206;USA"/>
    <s v="USD"/>
    <x v="1069"/>
    <x v="8"/>
    <x v="28"/>
    <s v="Real Estate, Commercial/Retail Space"/>
  </r>
  <r>
    <n v="149817"/>
    <x v="1"/>
    <x v="1101"/>
    <s v="TRAD"/>
    <s v="9000 Sunset Blvd;SUITE 700;West Hollywood CA 90069;USA"/>
    <s v="USD"/>
    <x v="1070"/>
    <x v="15"/>
    <x v="550"/>
    <s v="Artist Management, Entertainment Services"/>
  </r>
  <r>
    <n v="150309"/>
    <x v="1"/>
    <x v="1102"/>
    <s v="TRAD"/>
    <s v="2323 Boul.Du Versant Nord Unite 114;Quebec QC G1N 4P4;CAN"/>
    <s v="CAD"/>
    <x v="1071"/>
    <x v="20"/>
    <x v="309"/>
    <s v="Janitorial, Office Cleaning, Disinfection, Floor Care"/>
  </r>
  <r>
    <n v="151771"/>
    <x v="1"/>
    <x v="1103"/>
    <s v="TRAD"/>
    <s v="15 MARTERA PL;PITTSBURGH PA 15205-3428;USA"/>
    <s v="USD"/>
    <x v="1072"/>
    <x v="10"/>
    <x v="528"/>
    <s v="Professional Services"/>
  </r>
  <r>
    <n v="130406"/>
    <x v="1"/>
    <x v="1104"/>
    <s v="TRAD"/>
    <s v="1230 N Jefferson St ;#G;Anaheim CA 92807;USA"/>
    <s v="USD"/>
    <x v="1073"/>
    <x v="16"/>
    <x v="551"/>
    <s v="Air Conditioning, Heating Equipment, HVAC Parts, Wholesale Distribution"/>
  </r>
  <r>
    <n v="140012"/>
    <x v="1"/>
    <x v="1105"/>
    <s v="TRAD"/>
    <s v="26 Broadway;Floor 3;New York NY 10004;USA"/>
    <s v="USD"/>
    <x v="1074"/>
    <x v="6"/>
    <x v="552"/>
    <s v="Sentiment Analysis, Open-End Survey Analysis, Social Listening, NLP"/>
  </r>
  <r>
    <n v="131312"/>
    <x v="1"/>
    <x v="1106"/>
    <s v="TRAD"/>
    <s v="PO Box 180681;Richland MS 39218-0681;USA"/>
    <s v="USD"/>
    <x v="1075"/>
    <x v="20"/>
    <x v="309"/>
    <s v="Janitorial, Office Cleaning, Floor Care"/>
  </r>
  <r>
    <n v="150401"/>
    <x v="1"/>
    <x v="1107"/>
    <s v="TRAD"/>
    <s v="19765 Telegraph Trail;Langley BC V1M 3E6;CAN"/>
    <s v="CAD"/>
    <x v="1076"/>
    <x v="3"/>
    <x v="553"/>
    <s v="Truck Parts, Fleet Service, Commercial Vehicle Repair"/>
  </r>
  <r>
    <s v="000506"/>
    <x v="1"/>
    <x v="1108"/>
    <s v="TRAD"/>
    <s v="Attn: Kelly Sanders ;3080 Younge Street Ste 4010;Toronto ON M4N 3N1;CAN"/>
    <s v="CAD"/>
    <x v="1077"/>
    <x v="15"/>
    <x v="489"/>
    <s v="Corporate Discounts, Employee Perks, Entertainment Deals, Travel Savings"/>
  </r>
  <r>
    <n v="125390"/>
    <x v="1"/>
    <x v="1109"/>
    <s v="TRAD"/>
    <s v="214 Overlook Drive;Riverhead NY 11901;USA"/>
    <s v="USD"/>
    <x v="1078"/>
    <x v="24"/>
    <x v="115"/>
    <s v="Commercial Landscaping, Lawn Maintenance, Grounds Care"/>
  </r>
  <r>
    <n v="120020"/>
    <x v="1"/>
    <x v="1110"/>
    <s v="TRAD"/>
    <s v="4535 Sunbelt Dr;Addison TX 75001-5204;USA"/>
    <s v="USD"/>
    <x v="1079"/>
    <x v="20"/>
    <x v="309"/>
    <s v="Janitorial, Office Cleaning, Green Cleaning, Floor Care"/>
  </r>
  <r>
    <n v="141594"/>
    <x v="1"/>
    <x v="1111"/>
    <s v="TRAD"/>
    <s v="25650 1-45 N;Suite 1006;Spring TX 77386;USA"/>
    <s v="USD"/>
    <x v="1080"/>
    <x v="30"/>
    <x v="346"/>
    <s v="Overhead Doors, Door Installation, Repair, Industrial Doors"/>
  </r>
  <r>
    <s v="000707"/>
    <x v="1"/>
    <x v="1112"/>
    <s v="TRAD"/>
    <s v="PO Box 6000 Station Main;Welland ON L3B 6A2;CAN"/>
    <s v="CAD"/>
    <x v="1081"/>
    <x v="4"/>
    <x v="554"/>
    <s v="Janitorial Supplies, Cleaning Equipment, Facility Products"/>
  </r>
  <r>
    <n v="151312"/>
    <x v="1"/>
    <x v="1113"/>
    <s v="TRAD"/>
    <s v="20930 PARTHENIA ST;UNIT 107;CANOGA PARK CA 91304-2051;USA"/>
    <s v="USD"/>
    <x v="1082"/>
    <x v="7"/>
    <x v="218"/>
    <s v="Consulting, Contracting Services"/>
  </r>
  <r>
    <n v="132278"/>
    <x v="1"/>
    <x v="1114"/>
    <s v="TRAD"/>
    <s v="2630 Winnemissett Oaks Dr;Deland FL 32724-4863;USA"/>
    <s v="USD"/>
    <x v="1083"/>
    <x v="24"/>
    <x v="115"/>
    <s v="Commercial Landscaping, Lawn Maintenance, Irrigation, Mulching"/>
  </r>
  <r>
    <s v="000676"/>
    <x v="1"/>
    <x v="1115"/>
    <s v="TRAD"/>
    <s v="2450 Lancaster Rd;Unit #43;Ottawa ON K1B 5N3;CAN"/>
    <s v="CAD"/>
    <x v="1084"/>
    <x v="26"/>
    <x v="555"/>
    <s v="Alarm Systems, Home Automation, Video Surveillance, Home Theater"/>
  </r>
  <r>
    <n v="148515"/>
    <x v="1"/>
    <x v="1116"/>
    <s v="TRAD"/>
    <s v="145 Lantana Crossing;Dallas GA 30132;USA"/>
    <s v="USD"/>
    <x v="1085"/>
    <x v="32"/>
    <x v="556"/>
    <s v="Electrical Installation, Repair, Commercial Electrical, Residential Electrical, Generator Service"/>
  </r>
  <r>
    <n v="109999"/>
    <x v="1"/>
    <x v="1117"/>
    <s v="TRAD"/>
    <s v="1601 Cloverfield Blvd;# 620;Santa Monica CA 90404 4082;USA"/>
    <s v="USD"/>
    <x v="1086"/>
    <x v="15"/>
    <x v="557"/>
    <s v="LMS, Performance Management, Succession Planning, Recruiting"/>
  </r>
  <r>
    <n v="102002"/>
    <x v="1"/>
    <x v="1118"/>
    <s v="TRAD"/>
    <s v="4981 72nd Ave N;Pinellas Park FL 33781-4443;USA"/>
    <s v="USD"/>
    <x v="1087"/>
    <x v="18"/>
    <x v="558"/>
    <s v="Phone Systems, VoIP, Network Cabling, Telecommunications Equipment, Installation"/>
  </r>
  <r>
    <n v="146765"/>
    <x v="1"/>
    <x v="1119"/>
    <s v="TRAD"/>
    <s v="385 Science Park Road;State College PA 16803;USA"/>
    <s v="USD"/>
    <x v="1088"/>
    <x v="4"/>
    <x v="559"/>
    <s v="Forecasting, Severe Weather Alerts, Predictive Analytics"/>
  </r>
  <r>
    <n v="131908"/>
    <x v="1"/>
    <x v="1120"/>
    <s v="TRAD"/>
    <s v="PO Box 347977;Pittsburgh PA 15251-4977;USA"/>
    <s v="USD"/>
    <x v="1089"/>
    <x v="0"/>
    <x v="560"/>
    <s v="Tax Reporting, VAT Compliance, E-Invoicing, 1099 Reporting, Sales &amp; Use Tax, IPT"/>
  </r>
  <r>
    <n v="130926"/>
    <x v="1"/>
    <x v="1121"/>
    <s v="TRAD"/>
    <s v="217 W Victory Ave;Temple TX 76501-1716;USA"/>
    <s v="USD"/>
    <x v="1090"/>
    <x v="7"/>
    <x v="54"/>
    <s v="Management Consulting, Advisory Services"/>
  </r>
  <r>
    <n v="150940"/>
    <x v="1"/>
    <x v="1122"/>
    <s v="RENT"/>
    <s v="1621 JAMES AVE;WACO TX 76706-2005;USA"/>
    <s v="USD"/>
    <x v="1091"/>
    <x v="8"/>
    <x v="561"/>
    <m/>
  </r>
  <r>
    <n v="145388"/>
    <x v="1"/>
    <x v="1123"/>
    <s v="TRAD"/>
    <s v="128 Milestone Way;Greenville SC 29615;USA"/>
    <s v="USD"/>
    <x v="1092"/>
    <x v="20"/>
    <x v="562"/>
    <s v="Building Maintenance, Janitorial, Property Services"/>
  </r>
  <r>
    <n v="144001"/>
    <x v="1"/>
    <x v="1124"/>
    <s v="TRAD"/>
    <s v="17910 Dunbridge Road;Bowling Green OH 43402;USA"/>
    <s v="USD"/>
    <x v="1093"/>
    <x v="10"/>
    <x v="302"/>
    <s v="General Trade Services, Contracting"/>
  </r>
  <r>
    <n v="106540"/>
    <x v="1"/>
    <x v="1125"/>
    <s v="TRAD"/>
    <s v="730 Lorain Ave;Dayton OH 45410-2425;USA"/>
    <s v="USD"/>
    <x v="1094"/>
    <x v="10"/>
    <x v="563"/>
    <s v="Structural Steel Fabrication, Welding, Industrial Installation, Maintenance"/>
  </r>
  <r>
    <n v="140543"/>
    <x v="1"/>
    <x v="1126"/>
    <s v="TRAD"/>
    <s v="226 Winton Rd N;Rochester NY 14610;USA"/>
    <s v="USD"/>
    <x v="1095"/>
    <x v="11"/>
    <x v="564"/>
    <s v="Paint, Stains, Sundries, Hardware, Contractor Supplies"/>
  </r>
  <r>
    <n v="151063"/>
    <x v="1"/>
    <x v="1127"/>
    <s v="FRGT"/>
    <s v="46 Copperstone Close SE;Calgary AB T2Z 0P5;CAN"/>
    <s v="CAD"/>
    <x v="1096"/>
    <x v="2"/>
    <x v="2"/>
    <s v="Trucking, Cross-Border Shipping, Logistics"/>
  </r>
  <r>
    <n v="111813"/>
    <x v="1"/>
    <x v="1128"/>
    <s v="TRAD"/>
    <s v="2312 13th Street Ensley;Birmingham AL 35208-1102;USA"/>
    <s v="USD"/>
    <x v="1097"/>
    <x v="20"/>
    <x v="366"/>
    <s v="Truck Repair, Preventive Maintenance, Fleet Maintenance, Mobile Service"/>
  </r>
  <r>
    <n v="150373"/>
    <x v="1"/>
    <x v="1129"/>
    <s v="TRAD"/>
    <s v="PO BOX 1561;EASTLAKE CO 80614-1561;USA"/>
    <s v="USD"/>
    <x v="1098"/>
    <x v="10"/>
    <x v="87"/>
    <s v="Construction, Maintenance, Building Services"/>
  </r>
  <r>
    <n v="132084"/>
    <x v="1"/>
    <x v="1130"/>
    <s v="TRAD"/>
    <s v="555 E North Ln;Ste 5045;Conshohocken PA 19428-2233;USA"/>
    <s v="USD"/>
    <x v="1099"/>
    <x v="6"/>
    <x v="565"/>
    <s v="Paid Search Monitoring, Trademark Protection, Affiliate Compliance, Web Compliance"/>
  </r>
  <r>
    <n v="132500"/>
    <x v="1"/>
    <x v="1131"/>
    <s v="TRAD"/>
    <s v="10 GEORGE ST;HOLYOKE MA 01040-2031;USA"/>
    <s v="USD"/>
    <x v="1100"/>
    <x v="10"/>
    <x v="566"/>
    <s v="Brickwork, Stonework, Concrete, Masonry Repair, Restoration"/>
  </r>
  <r>
    <s v="001223"/>
    <x v="1"/>
    <x v="1132"/>
    <s v="UTIL"/>
    <s v="PO Box 4568, Stn A;Toronto ON M5W 0J5;CAN"/>
    <s v="CAD"/>
    <x v="1101"/>
    <x v="19"/>
    <x v="299"/>
    <s v="Propane Delivery, Tank Installation, Heating, Commercial Propane, Auto Propane"/>
  </r>
  <r>
    <n v="150267"/>
    <x v="1"/>
    <x v="1133"/>
    <s v="TRAD"/>
    <s v="7064 Patillo Rd.;Beaumont TX 77705;USA"/>
    <s v="USD"/>
    <x v="1102"/>
    <x v="20"/>
    <x v="567"/>
    <s v="Hydroblasting, Tank Cleaning, Pipeline Services, Vacuum Truck Services, Industrial Maintenance"/>
  </r>
  <r>
    <n v="111178"/>
    <x v="1"/>
    <x v="1134"/>
    <s v="TRAD"/>
    <s v="PO Box 88005;Chicago IL 60680-1005;USA"/>
    <s v="USD"/>
    <x v="1103"/>
    <x v="10"/>
    <x v="568"/>
    <s v="Commercial Roofing, Sheet Metal Fabrication, Installation"/>
  </r>
  <r>
    <s v="000575"/>
    <x v="1"/>
    <x v="1135"/>
    <s v="TRAD"/>
    <s v="8 Highland Cres;Cambridge ON N1S 1L6;CAN"/>
    <s v="CAD"/>
    <x v="1104"/>
    <x v="20"/>
    <x v="569"/>
    <s v="Janitorial Services, Building Maintenance, Cleaning, Facility Services"/>
  </r>
  <r>
    <n v="142106"/>
    <x v="1"/>
    <x v="1136"/>
    <s v="RENT"/>
    <s v="1843 Senator Gasque Road;Marion SC 29571;USA"/>
    <s v="USD"/>
    <x v="1105"/>
    <x v="8"/>
    <x v="109"/>
    <s v="Personal Storage, Business Storage, Vehicle Storage"/>
  </r>
  <r>
    <n v="152351"/>
    <x v="1"/>
    <x v="1137"/>
    <s v="TRAD"/>
    <s v="110 ROCK CLIFF CT;STE D;SAINT LOUIS MO 63123-1161;USA"/>
    <s v="USD"/>
    <x v="1106"/>
    <x v="3"/>
    <x v="570"/>
    <s v="Auto Relocation, Fleet Delivery, Drive-Away Services, Vehicle Storage"/>
  </r>
  <r>
    <n v="151285"/>
    <x v="1"/>
    <x v="1138"/>
    <s v="TRAD"/>
    <s v="500 WINDERLEY PL;STE 222;MAITLAND FL 32751-7247;USA"/>
    <s v="USD"/>
    <x v="1107"/>
    <x v="20"/>
    <x v="571"/>
    <s v="Landscaping, Ground Maintenance, Site Services"/>
  </r>
  <r>
    <n v="125022"/>
    <x v="1"/>
    <x v="1139"/>
    <s v="TRAD"/>
    <s v="1560 Broadway;Ste 800;New York NY 10036-1537;USA"/>
    <s v="USD"/>
    <x v="1108"/>
    <x v="4"/>
    <x v="572"/>
    <s v="Public Safety, Sanitation, Streetscape Improvement, Marketing &amp; Events, Advocacy"/>
  </r>
  <r>
    <n v="151114"/>
    <x v="1"/>
    <x v="1140"/>
    <s v="TRAD"/>
    <s v="USA"/>
    <s v="USD"/>
    <x v="1108"/>
    <x v="10"/>
    <x v="69"/>
    <s v="Professional Services"/>
  </r>
  <r>
    <n v="152101"/>
    <x v="1"/>
    <x v="1141"/>
    <s v="TRAD"/>
    <s v="1010 N UNIVERSITY PARKS DR;WACO TX 76707-3854;USA"/>
    <s v="USD"/>
    <x v="1108"/>
    <x v="0"/>
    <x v="573"/>
    <s v="Real Estate Investments, Business Holdings, Property Management"/>
  </r>
  <r>
    <n v="148655"/>
    <x v="1"/>
    <x v="1142"/>
    <s v="TRAD"/>
    <s v="5060 Parete Rd S;Jacksonville FL 32218;USA"/>
    <s v="USD"/>
    <x v="1108"/>
    <x v="20"/>
    <x v="574"/>
    <s v="Commercial Cleaning, Floor Care, Facility Maintenance"/>
  </r>
  <r>
    <n v="150770"/>
    <x v="1"/>
    <x v="1143"/>
    <s v="TRAD"/>
    <s v="CAMP ROBINSON BLDG 5305;NORTH LITTLE ROCK AR 72199-0001;USA"/>
    <s v="USD"/>
    <x v="1108"/>
    <x v="14"/>
    <x v="575"/>
    <s v="Morale &amp; Welfare Programs, Community Support"/>
  </r>
  <r>
    <n v="146809"/>
    <x v="1"/>
    <x v="1144"/>
    <s v="TRAD"/>
    <s v="PO Box 120485;Dept 0485;Dallas TX 75312;USA"/>
    <s v="USD"/>
    <x v="1109"/>
    <x v="15"/>
    <x v="576"/>
    <s v="API Testing, API Design, API Documentation, Mock Servers, API Monitoring, AI Agent Builder"/>
  </r>
  <r>
    <s v="000538"/>
    <x v="1"/>
    <x v="1145"/>
    <s v="TRAD"/>
    <s v="#113-12332 Pattullo Place;Surrey BC V3V 8C3;CAN"/>
    <s v="CAD"/>
    <x v="1110"/>
    <x v="11"/>
    <x v="577"/>
    <s v="On-Site Hydraulic Hose Repair, Fittings, Mobile Service"/>
  </r>
  <r>
    <n v="148213"/>
    <x v="1"/>
    <x v="1146"/>
    <s v="TRAD"/>
    <s v="227 Highway 90A West;Rosenberg TX 77471;USA"/>
    <s v="USD"/>
    <x v="1111"/>
    <x v="11"/>
    <x v="578"/>
    <s v="Hydraulic Repair, Custom Hoses, Fittings, Cylinder Service"/>
  </r>
  <r>
    <n v="123511"/>
    <x v="1"/>
    <x v="1147"/>
    <s v="TRAD"/>
    <s v="7606 Thurston Ln;Manassas VA 20111-1766;USA"/>
    <s v="USD"/>
    <x v="1112"/>
    <x v="20"/>
    <x v="309"/>
    <s v="Janitorial, Office Cleaning, Floor Care, Window Cleaning"/>
  </r>
  <r>
    <n v="151314"/>
    <x v="1"/>
    <x v="1148"/>
    <s v="TRAD"/>
    <s v="79141 KEATING RD;COVINGTON LA 70435-7804;USA"/>
    <s v="USD"/>
    <x v="1113"/>
    <x v="10"/>
    <x v="579"/>
    <s v="Custom Welding, Fabrication, Structural Welding"/>
  </r>
  <r>
    <n v="131278"/>
    <x v="1"/>
    <x v="1149"/>
    <s v="TRAD"/>
    <s v="PO Box 406469;Atlanta GA 30384-6469;USA"/>
    <s v="USD"/>
    <x v="1114"/>
    <x v="10"/>
    <x v="85"/>
    <s v="HVAC Systems, Heating, Cooling, Building Automation, Energy Solutions, Controls"/>
  </r>
  <r>
    <n v="151453"/>
    <x v="1"/>
    <x v="1150"/>
    <s v="RENT"/>
    <s v="3003 N PERKINS RD;STILLWATER OK 74075-2218;USA"/>
    <s v="USD"/>
    <x v="1115"/>
    <x v="8"/>
    <x v="580"/>
    <s v="Structural Components, Precision Machining, Assembly Services"/>
  </r>
  <r>
    <n v="149819"/>
    <x v="1"/>
    <x v="1151"/>
    <s v="TRAD"/>
    <s v="1541 Ocean Ave., Suite 200;Santa Monica CA 90401;USA"/>
    <s v="USD"/>
    <x v="1116"/>
    <x v="15"/>
    <x v="581"/>
    <s v="Executive Search, Staffing, Talent Acquisition, HR Consulting"/>
  </r>
  <r>
    <n v="142775"/>
    <x v="1"/>
    <x v="1152"/>
    <s v="TRAD"/>
    <s v="PO Box 116067;Atlanta GA 30368;USA"/>
    <s v="USD"/>
    <x v="1117"/>
    <x v="3"/>
    <x v="582"/>
    <s v="Automotive Parts, DIY Supplies, Batteries, Accessories"/>
  </r>
  <r>
    <n v="132522"/>
    <x v="1"/>
    <x v="1153"/>
    <s v="TRAD"/>
    <s v="15102 Sommermeyer St;Suite 100;Houston TX 77041-5307;USA"/>
    <s v="USD"/>
    <x v="1118"/>
    <x v="26"/>
    <x v="583"/>
    <s v="Fire Sprinkler Systems, Fire Alarm Installation, Inspection, Suppression Systems"/>
  </r>
  <r>
    <n v="102978"/>
    <x v="1"/>
    <x v="1154"/>
    <s v="TRAD"/>
    <s v="ATTN: Linda Wortham;9033 GENERAL DRIVE;Plymouth MI 48170;USA"/>
    <s v="USD"/>
    <x v="1119"/>
    <x v="6"/>
    <x v="584"/>
    <s v="Custom Keypads, Membrane Switches, Touch Screens, Graphic Overlays"/>
  </r>
  <r>
    <n v="116086"/>
    <x v="1"/>
    <x v="1155"/>
    <s v="TRAD"/>
    <s v="PO Box 931097;Cleveland OH 44193-0004;USA"/>
    <s v="USD"/>
    <x v="1120"/>
    <x v="8"/>
    <x v="28"/>
    <s v="Real Estate, Property Management"/>
  </r>
  <r>
    <n v="150951"/>
    <x v="1"/>
    <x v="1156"/>
    <s v="TRAD"/>
    <s v="1406 N MURRAY CT;WICHITA KS 67212-4216;USA"/>
    <s v="USD"/>
    <x v="1121"/>
    <x v="4"/>
    <x v="585"/>
    <s v="Farm Services, Equipment, Agricultural Supplies"/>
  </r>
  <r>
    <n v="145661"/>
    <x v="1"/>
    <x v="1157"/>
    <s v="TRAD"/>
    <s v="Leipziger Str. 51;Berlin 10117;DEU"/>
    <s v="USD"/>
    <x v="1122"/>
    <x v="6"/>
    <x v="586"/>
    <s v="PowerPoint Charts, Data Visualization, Slide Design, Automated Charting, Excel Integration"/>
  </r>
  <r>
    <n v="140342"/>
    <x v="1"/>
    <x v="1158"/>
    <s v="TRAD"/>
    <s v="25 Industrial Park Rd;Albany NY 12206;USA"/>
    <s v="USD"/>
    <x v="1123"/>
    <x v="16"/>
    <x v="587"/>
    <s v="Plumbing Repair, Heating Installation, Water Heaters, Drain Cleaning"/>
  </r>
  <r>
    <n v="141306"/>
    <x v="1"/>
    <x v="1159"/>
    <s v="TRAD"/>
    <s v="1885 South Main Street;Middletown CT 06457;USA"/>
    <s v="USD"/>
    <x v="1124"/>
    <x v="30"/>
    <x v="588"/>
    <s v="Garage Doors, Installation, Repair, Industrial Doors, Dock Equipment"/>
  </r>
  <r>
    <n v="111461"/>
    <x v="1"/>
    <x v="1160"/>
    <s v="RENT"/>
    <s v="36124 HIGHWAY 315;BATESVILLE MS 38606-9151;USA"/>
    <s v="USD"/>
    <x v="1125"/>
    <x v="8"/>
    <x v="28"/>
    <s v="Real Estate, Property Management"/>
  </r>
  <r>
    <n v="151192"/>
    <x v="1"/>
    <x v="1161"/>
    <s v="TRAD"/>
    <s v="1800 CONTINENTAL BLVD;STE 400;CHARLOTTE NC 28273-6388;USA"/>
    <s v="USD"/>
    <x v="1126"/>
    <x v="27"/>
    <x v="589"/>
    <s v="Soft Drink Manufacturing, Wholesale Distribution, Vending Services"/>
  </r>
  <r>
    <n v="140974"/>
    <x v="1"/>
    <x v="1162"/>
    <s v="TRAD"/>
    <s v="310 10th Ave N;Safety Harbor FL 34695;USA"/>
    <s v="USD"/>
    <x v="1127"/>
    <x v="6"/>
    <x v="590"/>
    <s v="Web Design, Social Media, Brand Strategy, Content Marketing"/>
  </r>
  <r>
    <n v="150306"/>
    <x v="1"/>
    <x v="1163"/>
    <s v="TRAD"/>
    <s v="153 DIXIE PLZ;RICHMOND KY 40475-3474;USA"/>
    <s v="USD"/>
    <x v="1127"/>
    <x v="24"/>
    <x v="591"/>
    <s v="Lawn Mowing, Landscaping, Yard Maintenance, Seasonal Cleanup"/>
  </r>
  <r>
    <n v="147937"/>
    <x v="1"/>
    <x v="1164"/>
    <s v="TRAD"/>
    <s v="PO Box 223862;Chantilly VA 20153;USA"/>
    <s v="USD"/>
    <x v="1128"/>
    <x v="16"/>
    <x v="592"/>
    <s v="HVAC Systems, Building Automation, Energy Services, Maintenance"/>
  </r>
  <r>
    <n v="128867"/>
    <x v="1"/>
    <x v="1165"/>
    <s v="TRAD"/>
    <s v="1 Shipyard Way;Ste 306;Medford MA 02155-3816;USA"/>
    <s v="USD"/>
    <x v="1129"/>
    <x v="20"/>
    <x v="309"/>
    <s v="Janitorial, Office Cleaning, Facility Maintenance"/>
  </r>
  <r>
    <s v="000675"/>
    <x v="1"/>
    <x v="1166"/>
    <s v="TRAD"/>
    <s v="105 Silvercreek Pky N Ste 200;Guelph ON N1H 8M1;CAN"/>
    <s v="CAD"/>
    <x v="1130"/>
    <x v="19"/>
    <x v="593"/>
    <s v="Fuel Distribution, Heating Oil, Lubricants, Propane, Fleet Fueling"/>
  </r>
  <r>
    <n v="111265"/>
    <x v="1"/>
    <x v="1167"/>
    <s v="TRAD"/>
    <s v="916 Cherry Blossom;Anna TX 75409;USA"/>
    <s v="USD"/>
    <x v="1131"/>
    <x v="20"/>
    <x v="594"/>
    <s v="Property Maintenance, Handyman, Cleaning Services"/>
  </r>
  <r>
    <n v="148348"/>
    <x v="1"/>
    <x v="1168"/>
    <s v="TRAD"/>
    <s v="PO Box 735381;Chicago IL 60673;USA"/>
    <s v="USD"/>
    <x v="1132"/>
    <x v="6"/>
    <x v="595"/>
    <s v="Managed IT, Cloud Services, Cybersecurity, Network Support"/>
  </r>
  <r>
    <n v="148202"/>
    <x v="1"/>
    <x v="1169"/>
    <s v="TRAD"/>
    <s v="75 Debbie Lee Lane;Bohemia NY 11716;USA"/>
    <s v="USD"/>
    <x v="1133"/>
    <x v="10"/>
    <x v="596"/>
    <s v="Stone Setting, Masonry Contracting, Concrete Work"/>
  </r>
  <r>
    <n v="148869"/>
    <x v="1"/>
    <x v="1170"/>
    <s v="TRAD"/>
    <s v="3004 141st Street;Blue Island IL 60406;USA"/>
    <s v="USD"/>
    <x v="1134"/>
    <x v="20"/>
    <x v="344"/>
    <s v="Building Maintenance, Janitorial, HVAC Support"/>
  </r>
  <r>
    <n v="130149"/>
    <x v="1"/>
    <x v="1171"/>
    <s v="TRAD"/>
    <s v="1615 William St;Buffalo NY 14206-1345;USA"/>
    <s v="USD"/>
    <x v="1135"/>
    <x v="20"/>
    <x v="597"/>
    <s v="Fleet Repair, Truck Maintenance, Diesel Service"/>
  </r>
  <r>
    <n v="143570"/>
    <x v="1"/>
    <x v="1172"/>
    <s v="TRAD"/>
    <s v="9537 Alt US-264;Farmville NC 27828;USA"/>
    <s v="USD"/>
    <x v="1136"/>
    <x v="30"/>
    <x v="598"/>
    <s v="Overhead Doors, Dock Levelers, Installation &amp; Repair"/>
  </r>
  <r>
    <n v="126486"/>
    <x v="1"/>
    <x v="1173"/>
    <s v="UTIL"/>
    <s v="PO Box 981045;Boston MA 02298;USA"/>
    <s v="USD"/>
    <x v="1137"/>
    <x v="19"/>
    <x v="299"/>
    <s v="Propane Delivery, Tank Installation, Residential &amp; Commercial Propane"/>
  </r>
  <r>
    <n v="146112"/>
    <x v="1"/>
    <x v="1174"/>
    <s v="TRAD"/>
    <s v="158-2 Remington Road;Ronkonkoma NY 11779;USA"/>
    <s v="USD"/>
    <x v="1138"/>
    <x v="2"/>
    <x v="599"/>
    <s v="Courier, Delivery, Logistics"/>
  </r>
  <r>
    <n v="131689"/>
    <x v="1"/>
    <x v="1175"/>
    <s v="TRAD"/>
    <s v="PO BOX 154093;IRVING TX 75015-4093;USA"/>
    <s v="USD"/>
    <x v="1139"/>
    <x v="11"/>
    <x v="600"/>
    <s v="Rivets, Fasteners, Industrial Supply, Assembly Tools"/>
  </r>
  <r>
    <n v="123312"/>
    <x v="1"/>
    <x v="1176"/>
    <s v="TRAD"/>
    <s v="8321 Bandford Way;Suite #003;Raleigh NC 27615-2759;USA"/>
    <s v="USD"/>
    <x v="1140"/>
    <x v="20"/>
    <x v="309"/>
    <s v="Janitorial, Office Cleaning, Disinfection, Floor Care"/>
  </r>
  <r>
    <n v="141944"/>
    <x v="1"/>
    <x v="1177"/>
    <s v="TRAD"/>
    <s v="775 South Kerr Avenue;Wilmington NC 28403;USA"/>
    <s v="USD"/>
    <x v="1141"/>
    <x v="20"/>
    <x v="309"/>
    <s v="Janitorial, Office Cleaning, Disinfection, Floor Care"/>
  </r>
  <r>
    <n v="150218"/>
    <x v="1"/>
    <x v="1178"/>
    <s v="TRAD"/>
    <s v="120 Dorman Drive;Elizabeth PA 15037;USA"/>
    <s v="USD"/>
    <x v="1142"/>
    <x v="10"/>
    <x v="528"/>
    <s v="Professional Services"/>
  </r>
  <r>
    <n v="129695"/>
    <x v="1"/>
    <x v="1179"/>
    <s v="TRAD"/>
    <s v="2914 Orville Wright Way;Wilmington NC 28405-8635;USA"/>
    <s v="USD"/>
    <x v="1143"/>
    <x v="30"/>
    <x v="601"/>
    <s v="Garage Doors, Commercial Doors, Dock Equipment, Installation, Repair, Maintenance"/>
  </r>
  <r>
    <n v="150037"/>
    <x v="1"/>
    <x v="1180"/>
    <s v="TRAD"/>
    <s v="106 Sewell Rd;Sewell NJ 08080;USA"/>
    <s v="USD"/>
    <x v="1144"/>
    <x v="20"/>
    <x v="366"/>
    <s v="Mobile Fleet Repair, Preventive Maintenance, Truck Service, On-Site Repair"/>
  </r>
  <r>
    <n v="100154"/>
    <x v="1"/>
    <x v="1181"/>
    <s v="TRAD"/>
    <s v="2902 E Sligh Ave;Tampa FL 33610-1412;USA"/>
    <s v="USD"/>
    <x v="1145"/>
    <x v="11"/>
    <x v="602"/>
    <s v="Saw Blades, Cutting Tools, Sharpening Services, Industrial Equipment"/>
  </r>
  <r>
    <n v="152200"/>
    <x v="1"/>
    <x v="1182"/>
    <s v="TRAD"/>
    <s v="4255 73RD AVE N;UNIT D;PINELLAS PARK FL 33781-4546;USA"/>
    <s v="USD"/>
    <x v="1146"/>
    <x v="16"/>
    <x v="281"/>
    <s v="Heating, Air Conditioning, Repair, Installation, Maintenance"/>
  </r>
  <r>
    <n v="145321"/>
    <x v="1"/>
    <x v="1183"/>
    <s v="TRAD"/>
    <s v="80, route 158;Saint-Thomas QC J0K 3L0;CAN"/>
    <s v="CAD"/>
    <x v="1147"/>
    <x v="19"/>
    <x v="603"/>
    <s v="Fuel Delivery, Gas Station Operations, Propane, Petroleum Distribution"/>
  </r>
  <r>
    <n v="142354"/>
    <x v="1"/>
    <x v="1184"/>
    <s v="RENT"/>
    <s v="8595 Pelham Road;Suite 400-132;Greenville SC 29615;USA"/>
    <s v="USD"/>
    <x v="1148"/>
    <x v="8"/>
    <x v="28"/>
    <s v="Industrial Real Estate, Warehouse Space"/>
  </r>
  <r>
    <n v="104417"/>
    <x v="1"/>
    <x v="1185"/>
    <s v="RENT"/>
    <s v="211 Anderson Rd;Mount Vernon WA 98273 9032;USA"/>
    <s v="USD"/>
    <x v="1148"/>
    <x v="8"/>
    <x v="28"/>
    <s v="Real Estate, Property Investment"/>
  </r>
  <r>
    <n v="147979"/>
    <x v="1"/>
    <x v="1186"/>
    <s v="RENT"/>
    <s v="388 Q St;Springfield OR 97477;USA"/>
    <s v="USD"/>
    <x v="1148"/>
    <x v="8"/>
    <x v="28"/>
    <s v="Real Estate Investment, Property Management"/>
  </r>
  <r>
    <n v="123177"/>
    <x v="1"/>
    <x v="1187"/>
    <s v="RENT"/>
    <s v="PO Box 25836;Colorado Springs CO 80936-5836;USA"/>
    <s v="USD"/>
    <x v="1148"/>
    <x v="34"/>
    <x v="604"/>
    <s v="Concrete Pouring, Flatwork, Driveways, Foundations, Demolition"/>
  </r>
  <r>
    <n v="150357"/>
    <x v="1"/>
    <x v="1188"/>
    <s v="TRAD"/>
    <s v="430 91ST AVE NE;STE 13;LAKE STEVENS WA 98258-2534;USA"/>
    <s v="USD"/>
    <x v="1148"/>
    <x v="10"/>
    <x v="87"/>
    <s v="Construction, Maintenance, Building Services"/>
  </r>
  <r>
    <n v="148809"/>
    <x v="1"/>
    <x v="1189"/>
    <s v="TRAD"/>
    <s v="633 3rd Street NW;Suite 500;Washington DC 20001;USA"/>
    <s v="USD"/>
    <x v="1148"/>
    <x v="14"/>
    <x v="605"/>
    <s v="Military News, Digital Media, Print Publishing, Defense Coverage"/>
  </r>
  <r>
    <n v="152620"/>
    <x v="1"/>
    <x v="1190"/>
    <s v="TRAD"/>
    <s v="1 CIVIC PLAZA DR;STE 600;CARSON CA 90745-2243;USA"/>
    <s v="USD"/>
    <x v="1148"/>
    <x v="4"/>
    <x v="606"/>
    <s v="Life Jackets, Water Sports Gear, Recreational Equipment, Safety Products"/>
  </r>
  <r>
    <n v="118088"/>
    <x v="1"/>
    <x v="1191"/>
    <s v="TRAD"/>
    <s v="PO Box 392680;Pittsburgh PA 15251-9600;USA"/>
    <s v="USD"/>
    <x v="1149"/>
    <x v="6"/>
    <x v="607"/>
    <s v="Consumer Reviews, Business Reviews, Trust Building, Review Collection, Customer Insights"/>
  </r>
  <r>
    <n v="143275"/>
    <x v="1"/>
    <x v="1192"/>
    <s v="TRAD"/>
    <s v="4616 West Howard Lane;#7-700;Austin TX 78728;USA"/>
    <s v="USD"/>
    <x v="1150"/>
    <x v="10"/>
    <x v="608"/>
    <s v="Fire Sprinkler Design &amp; Installation, Fire Alarm, Suppression, Inspection, Life Safety"/>
  </r>
  <r>
    <n v="128170"/>
    <x v="1"/>
    <x v="1193"/>
    <s v="TRAD"/>
    <s v="45 Elm Rd;Devens MA 01434-5081;USA"/>
    <s v="USD"/>
    <x v="1151"/>
    <x v="10"/>
    <x v="302"/>
    <s v="General Trade Services, Contracting"/>
  </r>
  <r>
    <n v="142907"/>
    <x v="1"/>
    <x v="1194"/>
    <s v="TRAD"/>
    <s v="13 Rowood Road;Blacktown NSW 2148;AUS"/>
    <s v="USD"/>
    <x v="1152"/>
    <x v="0"/>
    <x v="609"/>
    <s v="Audit &amp; Assurance, Tax Consulting, Business Advisory, Wealth Management, Insolvency Services"/>
  </r>
  <r>
    <n v="152491"/>
    <x v="1"/>
    <x v="1195"/>
    <s v="TRAD"/>
    <s v="601 COMMERCE RD;RICHMOND VA 23224-5415;USA"/>
    <s v="USD"/>
    <x v="1153"/>
    <x v="35"/>
    <x v="610"/>
    <s v="Class A/B CDL Training, ELDT Courses, Job Placement, Third-Party Testing"/>
  </r>
  <r>
    <n v="151731"/>
    <x v="1"/>
    <x v="1196"/>
    <s v="TRAD"/>
    <s v="2049 CALUMET ST;CLEARWATER FL 33765-1308;USA"/>
    <s v="USD"/>
    <x v="1154"/>
    <x v="1"/>
    <x v="611"/>
    <s v="Offset Printing, Digital Printing, Large Format, Marketing Collateral, Mailing Services"/>
  </r>
  <r>
    <n v="115132"/>
    <x v="1"/>
    <x v="1197"/>
    <s v="TRAD"/>
    <s v="300 E Randolph St;Ste 5000;Level 27;Chicago IL 60601-5014;USA"/>
    <s v="USD"/>
    <x v="1155"/>
    <x v="12"/>
    <x v="612"/>
    <s v="Corporate Law, M&amp;A, Tax Law, Intellectual Property, Litigation"/>
  </r>
  <r>
    <n v="129838"/>
    <x v="1"/>
    <x v="1198"/>
    <s v="TRAD"/>
    <s v="7003 BLACK WALNUT CIR;LOUISVILLE KY 40229-2474;USA"/>
    <s v="USD"/>
    <x v="1156"/>
    <x v="20"/>
    <x v="309"/>
    <s v="Janitorial, Office Cleaning, Floor Care"/>
  </r>
  <r>
    <n v="112793"/>
    <x v="1"/>
    <x v="1199"/>
    <s v="TRAD"/>
    <s v="450 E Gowen Rd;Boise ID 83716-6609;USA"/>
    <s v="USD"/>
    <x v="1157"/>
    <x v="3"/>
    <x v="368"/>
    <s v="Fleet Tire Management, Alignment, Retreading, Mobile Service"/>
  </r>
  <r>
    <n v="148296"/>
    <x v="1"/>
    <x v="1200"/>
    <s v="TRAD"/>
    <s v="PO Box 271123;Salt Lake City UT 84127;USA"/>
    <s v="USD"/>
    <x v="1158"/>
    <x v="11"/>
    <x v="37"/>
    <s v="Forklift Sales &amp; Service, Dock &amp; Door Equipment, Crane &amp; Conveyor Systems, Parts &amp; Repair"/>
  </r>
  <r>
    <n v="150233"/>
    <x v="1"/>
    <x v="1201"/>
    <s v="TRAD"/>
    <s v="6010 South State Route 201;Tipp City OH 45371;USA"/>
    <s v="USD"/>
    <x v="1159"/>
    <x v="10"/>
    <x v="69"/>
    <s v="Professional Services"/>
  </r>
  <r>
    <n v="152291"/>
    <x v="1"/>
    <x v="1202"/>
    <s v="RENT"/>
    <s v="213 MAPLE ST;GLENS FALLS NY 12801-3725;USA"/>
    <s v="USD"/>
    <x v="1160"/>
    <x v="8"/>
    <x v="28"/>
    <s v="Real Estate, Office Space"/>
  </r>
  <r>
    <n v="151226"/>
    <x v="1"/>
    <x v="1203"/>
    <s v="RENT"/>
    <s v="32 J C RD;WAYNESVILLE NC 28785-2758;USA"/>
    <s v="USD"/>
    <x v="1161"/>
    <x v="8"/>
    <x v="28"/>
    <s v="Real Estate, Property Management"/>
  </r>
  <r>
    <n v="125677"/>
    <x v="1"/>
    <x v="1204"/>
    <s v="RENT"/>
    <s v="3300 CRIPPLE CREEK CT;GRANBURY TX 76048-6800;USA"/>
    <s v="USD"/>
    <x v="1162"/>
    <x v="8"/>
    <x v="28"/>
    <s v="Real Estate Investment, Property Management"/>
  </r>
  <r>
    <n v="152643"/>
    <x v="1"/>
    <x v="1205"/>
    <s v="TRAD"/>
    <s v="602 N 17TH ST;COPPERAS COVE TX 76522-1513;USA"/>
    <s v="USD"/>
    <x v="1163"/>
    <x v="7"/>
    <x v="218"/>
    <s v="Consulting, Contracting Services"/>
  </r>
  <r>
    <n v="151385"/>
    <x v="1"/>
    <x v="1206"/>
    <s v="TRAD"/>
    <s v="31751 GROVE;FRASER MI 48026-2662;USA"/>
    <s v="USD"/>
    <x v="1164"/>
    <x v="16"/>
    <x v="281"/>
    <s v="Heating, Air Conditioning, Furnace Repair, AC Installation"/>
  </r>
  <r>
    <n v="151792"/>
    <x v="1"/>
    <x v="1207"/>
    <s v="TRAD"/>
    <s v="PO BOX 340271;TAMPA FL 33694-0271;USA"/>
    <s v="USD"/>
    <x v="1165"/>
    <x v="20"/>
    <x v="316"/>
    <s v="Janitorial Services, Office Cleaning, Green Cleaning, Sanitization"/>
  </r>
  <r>
    <n v="150675"/>
    <x v="1"/>
    <x v="1208"/>
    <s v="RENT"/>
    <s v="1131 MICA RD;RIDGEWAY VA 24148-4993;USA"/>
    <s v="USD"/>
    <x v="1166"/>
    <x v="8"/>
    <x v="28"/>
    <s v="Real Estate, Industrial Space"/>
  </r>
  <r>
    <n v="151604"/>
    <x v="1"/>
    <x v="1209"/>
    <s v="TRAD"/>
    <s v="42 LONGWATER DR;NORWELL MA 02061-1612;USA"/>
    <s v="USD"/>
    <x v="1167"/>
    <x v="1"/>
    <x v="613"/>
    <s v="Hazardous Waste Cleanup, Emergency Spill Response, Environmental Consulting, Decontamination"/>
  </r>
  <r>
    <n v="147770"/>
    <x v="1"/>
    <x v="1210"/>
    <s v="TRAD"/>
    <s v="PO Box 790;3109 S Main St;Melbourne FL 32901;USA"/>
    <s v="USD"/>
    <x v="1168"/>
    <x v="19"/>
    <x v="614"/>
    <s v="Heating Oil, Diesel, Gasoline, Propane, Fuel Delivery"/>
  </r>
  <r>
    <n v="150366"/>
    <x v="1"/>
    <x v="1211"/>
    <s v="TRAD"/>
    <s v="7720 24TH AVE W;BRADENTON FL 34209-5229;USA"/>
    <s v="USD"/>
    <x v="1169"/>
    <x v="10"/>
    <x v="615"/>
    <s v="Metal Roofing, Structural Steel, Fabrication"/>
  </r>
  <r>
    <n v="147149"/>
    <x v="1"/>
    <x v="1212"/>
    <s v="TRAD"/>
    <s v="1 Zachary Drive ;Unit 4;Raymond NH 03077;USA"/>
    <s v="USD"/>
    <x v="1170"/>
    <x v="26"/>
    <x v="292"/>
    <s v="Fire Sprinkler Installation, Inspections, Fire Alarm Systems, Maintenance"/>
  </r>
  <r>
    <n v="109966"/>
    <x v="1"/>
    <x v="1213"/>
    <s v="TRAD"/>
    <s v="65 S 2nd St;Bay Shore NY 11706 1001;USA"/>
    <s v="USD"/>
    <x v="1171"/>
    <x v="10"/>
    <x v="616"/>
    <s v="Welding Equipment, Welding Supplies, Industrial Gases, Fabrication, Cutting Tools"/>
  </r>
  <r>
    <n v="129937"/>
    <x v="1"/>
    <x v="1214"/>
    <s v="TRAD"/>
    <s v="7400 Carmel Executive Park Drive ;Suite 350;Charlotte NC 28226;USA"/>
    <s v="USD"/>
    <x v="1172"/>
    <x v="20"/>
    <x v="309"/>
    <s v="Janitorial, Office Cleaning, Disinfection, Floor Care"/>
  </r>
  <r>
    <n v="122657"/>
    <x v="1"/>
    <x v="1215"/>
    <s v="RENT"/>
    <s v="137 POSTWOOD PL;c/o McCall;NASHVILLE TN 37205-1603;USA"/>
    <s v="USD"/>
    <x v="1172"/>
    <x v="8"/>
    <x v="28"/>
    <s v="Real Estate, Property Management"/>
  </r>
  <r>
    <n v="140575"/>
    <x v="1"/>
    <x v="1216"/>
    <s v="RENT"/>
    <s v="Po Box 785;Sparta NJ 07871;USA"/>
    <s v="USD"/>
    <x v="1172"/>
    <x v="4"/>
    <x v="617"/>
    <m/>
  </r>
  <r>
    <n v="140318"/>
    <x v="1"/>
    <x v="1217"/>
    <s v="TRAD"/>
    <s v="PO Box 719;New Caney TX 77357;USA"/>
    <s v="USD"/>
    <x v="1173"/>
    <x v="19"/>
    <x v="299"/>
    <s v="Propane Delivery, Tank Installation, Commercial Propane"/>
  </r>
  <r>
    <n v="125308"/>
    <x v="1"/>
    <x v="1218"/>
    <s v="TRAD"/>
    <s v="2860 Ogletown Rd;Bldg 6, Suite 1;Newark DE 19713-1857;USA"/>
    <s v="USD"/>
    <x v="1174"/>
    <x v="20"/>
    <x v="309"/>
    <s v="Janitorial Services, Office Cleaning, Facility Maintenance"/>
  </r>
  <r>
    <s v="001304"/>
    <x v="1"/>
    <x v="1219"/>
    <s v="RENT"/>
    <s v="115 Peacekeepers Dr SW;Calgary AB T3E;CAN"/>
    <s v="CAD"/>
    <x v="1175"/>
    <x v="8"/>
    <x v="365"/>
    <s v="Temporary Buildings, Site Offices, Workforce Housing"/>
  </r>
  <r>
    <n v="149588"/>
    <x v="1"/>
    <x v="1220"/>
    <s v="TRAD"/>
    <s v="11000 34th Ave South;Unit B;Lakewood WA 98499;USA"/>
    <s v="USD"/>
    <x v="1176"/>
    <x v="35"/>
    <x v="610"/>
    <s v="Class A/B CDL Training, ELDT, Job Placement, Behind-the-Wheel, Commercial Driver School"/>
  </r>
  <r>
    <n v="100633"/>
    <x v="1"/>
    <x v="1221"/>
    <s v="TRAD"/>
    <s v="WEBWEJ LLC 2862 Southern Hills Dr;North Garden VA 22959;USA"/>
    <s v="USD"/>
    <x v="1177"/>
    <x v="7"/>
    <x v="218"/>
    <s v="Consulting, Contracting Services"/>
  </r>
  <r>
    <n v="146720"/>
    <x v="1"/>
    <x v="1222"/>
    <s v="TRAD"/>
    <s v="PO Box 348;Slinger WI 53086;USA"/>
    <s v="USD"/>
    <x v="1178"/>
    <x v="10"/>
    <x v="184"/>
    <s v="Site Work, Excavation, Concrete, Building Construction"/>
  </r>
  <r>
    <n v="118946"/>
    <x v="1"/>
    <x v="1223"/>
    <s v="TRAD"/>
    <s v="910 PARK PL;STE 300;SAN MATEO CA 94403-1907;USA"/>
    <s v="USD"/>
    <x v="1179"/>
    <x v="6"/>
    <x v="618"/>
    <s v="Online Surveys, Market Research, Customer Feedback, Employee Engagement, Data Analytics"/>
  </r>
  <r>
    <n v="150890"/>
    <x v="1"/>
    <x v="1224"/>
    <s v="TRAD"/>
    <s v="905 N BROADWAY;WHITE PLAINS NY 10603-2405;USA"/>
    <s v="USD"/>
    <x v="1180"/>
    <x v="3"/>
    <x v="13"/>
    <s v="General Auto Repair, Diagnostics, Brake Service, Oil Change"/>
  </r>
  <r>
    <n v="141170"/>
    <x v="1"/>
    <x v="1225"/>
    <s v="TRAD"/>
    <s v="1521 Merchant St;Ambridge PA 15003;USA"/>
    <s v="USD"/>
    <x v="1181"/>
    <x v="20"/>
    <x v="349"/>
    <s v="Office Cleaning, Residential Cleaning, Janitorial"/>
  </r>
  <r>
    <s v="000776"/>
    <x v="1"/>
    <x v="1226"/>
    <s v="TRAD"/>
    <s v="560 Orly;Dorval QC H9P 1E9;CAN"/>
    <s v="CAD"/>
    <x v="1182"/>
    <x v="11"/>
    <x v="37"/>
    <s v="Forklifts, Warehouse Equipment, Parts, Service, Material Handling"/>
  </r>
  <r>
    <s v="001068"/>
    <x v="1"/>
    <x v="1227"/>
    <s v="TRAD"/>
    <s v="1481 Charleswood Rd.;Winnipeg MB R3S 1C3;CAN"/>
    <s v="CAD"/>
    <x v="1183"/>
    <x v="10"/>
    <x v="44"/>
    <s v="Construction, Renovation, Building Services, Maintenance"/>
  </r>
  <r>
    <n v="147706"/>
    <x v="1"/>
    <x v="1228"/>
    <s v="TRAD"/>
    <s v="1311 Seminola Blvd;Casselberry FL 32707;USA"/>
    <s v="USD"/>
    <x v="1184"/>
    <x v="10"/>
    <x v="250"/>
    <s v="HVAC, Plumbing, Mechanical Systems, Refrigeration"/>
  </r>
  <r>
    <n v="142220"/>
    <x v="1"/>
    <x v="1229"/>
    <s v="TRAD"/>
    <s v="27185 Network Place;Chicago IL 60673;USA"/>
    <s v="USD"/>
    <x v="1185"/>
    <x v="6"/>
    <x v="619"/>
    <s v="Environment Management, Safety Management, Industrial Hygiene, Chemical Management, ESG Reporting"/>
  </r>
  <r>
    <n v="146227"/>
    <x v="1"/>
    <x v="1230"/>
    <s v="TRAD"/>
    <s v="4667 West 141st Street;Hawthorne CA 90250;USA"/>
    <s v="USD"/>
    <x v="1186"/>
    <x v="22"/>
    <x v="620"/>
    <s v="Event Décor, Props, Themed Events, Party Supplies, Set Design"/>
  </r>
  <r>
    <n v="149763"/>
    <x v="1"/>
    <x v="1231"/>
    <s v="TRAD"/>
    <s v="280 nw 53rd ct;Ocala FL 34482;USA"/>
    <s v="USD"/>
    <x v="1187"/>
    <x v="10"/>
    <x v="302"/>
    <s v="General Trade Services, Contracting"/>
  </r>
  <r>
    <n v="122777"/>
    <x v="1"/>
    <x v="1232"/>
    <s v="RENT"/>
    <s v="5733 BENT CREEK DR;PINSON AL 35126-3096;USA"/>
    <s v="USD"/>
    <x v="1188"/>
    <x v="8"/>
    <x v="28"/>
    <s v="Real Estate, Property Management"/>
  </r>
  <r>
    <n v="146612"/>
    <x v="1"/>
    <x v="1233"/>
    <s v="TRAD"/>
    <s v="1925 BURGUNDY PL;ONTARIO CA 91761-2317;USA"/>
    <s v="USD"/>
    <x v="1189"/>
    <x v="4"/>
    <x v="621"/>
    <s v="Water Delivery, Water Treatment, Commercial Water"/>
  </r>
  <r>
    <n v="106765"/>
    <x v="1"/>
    <x v="1234"/>
    <s v="TRAD"/>
    <s v="8613 Old Ardmore Rd;Hyattsville MD 20785 2316;USA"/>
    <s v="USD"/>
    <x v="1190"/>
    <x v="11"/>
    <x v="622"/>
    <s v="Scale Sales, Service, Calibration, Industrial Weighing"/>
  </r>
  <r>
    <n v="101515"/>
    <x v="1"/>
    <x v="1235"/>
    <s v="TRAD"/>
    <s v="PO Box 844048;Boston MA 02284-4048;USA"/>
    <s v="USD"/>
    <x v="1191"/>
    <x v="6"/>
    <x v="623"/>
    <s v="Salary Benchmarking, Compensation Planning, Pay Equity Analysis, HR Data"/>
  </r>
  <r>
    <n v="152196"/>
    <x v="1"/>
    <x v="1236"/>
    <s v="TRAD"/>
    <s v="115 WALES ST;CRANSTON RI 02920-7039;USA"/>
    <s v="USD"/>
    <x v="1191"/>
    <x v="10"/>
    <x v="566"/>
    <s v="Brickwork, Stonework, Concrete, Chimney Repair, Restoration"/>
  </r>
  <r>
    <n v="151025"/>
    <x v="1"/>
    <x v="1237"/>
    <s v="TRAD"/>
    <s v="6416 PEARSON LN;NORTH HIGHLANDS CA 95660-4138;USA"/>
    <s v="USD"/>
    <x v="1191"/>
    <x v="7"/>
    <x v="218"/>
    <s v="Consulting, Contracting Services"/>
  </r>
  <r>
    <n v="127961"/>
    <x v="1"/>
    <x v="1238"/>
    <s v="TRAD"/>
    <s v="309 Lafayette Ave;Kenilworth NJ 07033-1016;USA"/>
    <s v="USD"/>
    <x v="1192"/>
    <x v="10"/>
    <x v="250"/>
    <s v="HVAC, Plumbing, Fire Protection, Building Automation, Energy Services"/>
  </r>
  <r>
    <n v="100459"/>
    <x v="1"/>
    <x v="1239"/>
    <s v="TRAD"/>
    <s v="2960 E Bay Dr;Largo FL 33771-2637;USA"/>
    <s v="USD"/>
    <x v="1193"/>
    <x v="13"/>
    <x v="624"/>
    <s v="Loading &amp; Unloading, Furniture Moving, Packing Services, Local &amp; Long-Distance Moving"/>
  </r>
  <r>
    <n v="107118"/>
    <x v="1"/>
    <x v="1240"/>
    <s v="COMM"/>
    <s v="Attn: Ted Cotter ;7055 Geyser Ave;Reseda CA 91335 4033;USA"/>
    <s v="USD"/>
    <x v="1194"/>
    <x v="13"/>
    <x v="55"/>
    <s v="Office Moving, Furniture Installation, Commercial Relocation, Records Moving"/>
  </r>
  <r>
    <n v="125061"/>
    <x v="1"/>
    <x v="1241"/>
    <s v="TRAD"/>
    <s v="315 Orinoco Drive;Bay Shore NY 11706;USA"/>
    <s v="USD"/>
    <x v="1195"/>
    <x v="24"/>
    <x v="115"/>
    <s v="Commercial Landscaping, Lawn Maintenance, Grounds Care, Snow Removal"/>
  </r>
  <r>
    <n v="119057"/>
    <x v="1"/>
    <x v="1242"/>
    <s v="TRAD"/>
    <s v="PO Box 35165;Seattle WA 98124-5165;USA"/>
    <s v="USD"/>
    <x v="1196"/>
    <x v="11"/>
    <x v="625"/>
    <s v="Fasteners, Bolts, Nuts, Screws, Industrial Supplies, Cutting Tools, Safety Products"/>
  </r>
  <r>
    <n v="103305"/>
    <x v="1"/>
    <x v="1243"/>
    <s v="FRAN"/>
    <s v="11831 Centennial Rd;Lavista NE 68128 5511;USA"/>
    <s v="USD"/>
    <x v="1197"/>
    <x v="8"/>
    <x v="63"/>
    <s v="Container Rental, Moving Storage, On-Site Storage"/>
  </r>
  <r>
    <n v="120801"/>
    <x v="1"/>
    <x v="1244"/>
    <s v="RENT"/>
    <s v="362 Myoma Rd;Mars PA 16046-2122;USA"/>
    <s v="USD"/>
    <x v="1198"/>
    <x v="8"/>
    <x v="28"/>
    <s v="Real Estate, Property Management"/>
  </r>
  <r>
    <n v="132017"/>
    <x v="1"/>
    <x v="1245"/>
    <s v="TRAD"/>
    <s v="3610 E Magnolia Ave;Knoxville TN 37914-3907;USA"/>
    <s v="USD"/>
    <x v="1199"/>
    <x v="10"/>
    <x v="579"/>
    <s v="Structural Welding, Fabrication, Mobile Welding"/>
  </r>
  <r>
    <n v="144584"/>
    <x v="1"/>
    <x v="1246"/>
    <s v="TRAD"/>
    <s v="2523 South Lakeline Boulevard;Cedar Park TX 78613;USA"/>
    <s v="USD"/>
    <x v="1200"/>
    <x v="20"/>
    <x v="309"/>
    <s v="Janitorial, Office Cleaning, Green Cleaning, Floor Care"/>
  </r>
  <r>
    <n v="110959"/>
    <x v="1"/>
    <x v="1247"/>
    <s v="TRAD"/>
    <s v="70 Hudson St;Fl 10;Jersey City NJ 07302 4585;USA"/>
    <s v="USD"/>
    <x v="1201"/>
    <x v="0"/>
    <x v="626"/>
    <s v="Corporate Banking, Credit Cards, Investment Services"/>
  </r>
  <r>
    <n v="140457"/>
    <x v="1"/>
    <x v="1248"/>
    <s v="TRAD"/>
    <s v="Po Box 103;Ida MI 48140;USA"/>
    <s v="USD"/>
    <x v="1202"/>
    <x v="20"/>
    <x v="627"/>
    <s v="House Cleaning, Deep Cleaning, Move-In/Move-Out Cleaning, Recurring Service"/>
  </r>
  <r>
    <n v="124607"/>
    <x v="1"/>
    <x v="1249"/>
    <s v="TRAD"/>
    <s v="12040 Hoyt St;Lake View Terrace CA 91342-6441;USA"/>
    <s v="USD"/>
    <x v="1203"/>
    <x v="10"/>
    <x v="628"/>
    <s v="Material Hauling, Dump Truck Services, Construction Transport"/>
  </r>
  <r>
    <n v="147707"/>
    <x v="1"/>
    <x v="1250"/>
    <s v="TRAD"/>
    <s v="1105 US Highway 80 East;Suite B;Pooler GA 31322;USA"/>
    <s v="USD"/>
    <x v="1204"/>
    <x v="20"/>
    <x v="629"/>
    <s v="Residential Cleaning, Deep Cleaning, Move-In/Out Cleaning"/>
  </r>
  <r>
    <n v="150248"/>
    <x v="1"/>
    <x v="1251"/>
    <s v="TRAD"/>
    <s v="5600 Jefferson Hwy;Bldg W-1 Ste. 160;New Orleans LA 70123;USA"/>
    <s v="USD"/>
    <x v="1205"/>
    <x v="11"/>
    <x v="440"/>
    <s v="Staffing, Industrial Services, Workforce Solutions"/>
  </r>
  <r>
    <n v="112148"/>
    <x v="1"/>
    <x v="1252"/>
    <s v="TRAD"/>
    <s v="PO Box 89429;Cleveland OH 44101;USA"/>
    <s v="USD"/>
    <x v="1206"/>
    <x v="5"/>
    <x v="358"/>
    <s v="Auto Insurance, Home Insurance, Business Insurance, Claims Services"/>
  </r>
  <r>
    <n v="141080"/>
    <x v="1"/>
    <x v="1253"/>
    <s v="TRAD"/>
    <s v="28478 Hoover Rd;Apt. 3;Warren MI 48093;USA"/>
    <s v="USD"/>
    <x v="1207"/>
    <x v="20"/>
    <x v="309"/>
    <s v="Janitorial, Office Cleaning, Facility Maintenance"/>
  </r>
  <r>
    <n v="110637"/>
    <x v="1"/>
    <x v="1254"/>
    <s v="RENT"/>
    <s v="4000 River Rd;Tonawanda NY 14150 6527;USA"/>
    <s v="USD"/>
    <x v="1208"/>
    <x v="8"/>
    <x v="28"/>
    <s v="Event Venue, Waterfront Property, Property Management"/>
  </r>
  <r>
    <n v="130336"/>
    <x v="1"/>
    <x v="1255"/>
    <s v="TRAD"/>
    <s v="PO Box 749;Pleasant Grove UT 84062-0749;USA"/>
    <s v="USD"/>
    <x v="1208"/>
    <x v="6"/>
    <x v="630"/>
    <s v="Geospatial Analytics, Territory Mapping, Route Optimization, Data Dashboards"/>
  </r>
  <r>
    <n v="140532"/>
    <x v="1"/>
    <x v="1256"/>
    <s v="RENT"/>
    <s v="PO Box 20263;Waco TX 76702;USA"/>
    <s v="USD"/>
    <x v="1208"/>
    <x v="8"/>
    <x v="28"/>
    <s v="Real Estate, Property Management"/>
  </r>
  <r>
    <n v="151250"/>
    <x v="1"/>
    <x v="1257"/>
    <s v="TRAD"/>
    <s v="4102 S 31ST ST;TEMPLE TX 76502-3350;USA"/>
    <s v="USD"/>
    <x v="1209"/>
    <x v="7"/>
    <x v="218"/>
    <s v="Consulting, Contracting Services"/>
  </r>
  <r>
    <s v="000854"/>
    <x v="1"/>
    <x v="1258"/>
    <s v="TRAD"/>
    <s v="PO Box 1005;Winnipeg MB R3C 2W7;CAN"/>
    <s v="CAD"/>
    <x v="1210"/>
    <x v="3"/>
    <x v="631"/>
    <s v="Auto Parts, Power Tools, Welding Equipment, Farm &amp; Home Supplies"/>
  </r>
  <r>
    <n v="121536"/>
    <x v="1"/>
    <x v="1259"/>
    <s v="LEGAL"/>
    <s v="PO Box 7410023;Chicago IL 60674-5024;USA"/>
    <s v="USD"/>
    <x v="1211"/>
    <x v="12"/>
    <x v="632"/>
    <s v="Registered Agent, Entity Formation, UCC Filing, Corporate Compliance, Digital Brand Services"/>
  </r>
  <r>
    <n v="146292"/>
    <x v="1"/>
    <x v="1260"/>
    <s v="TRAD"/>
    <s v="998 Forest Edge Drive;Vernon Hills IL 60061;USA"/>
    <s v="USD"/>
    <x v="1212"/>
    <x v="11"/>
    <x v="301"/>
    <s v="Custom Manufacturing, Industrial Components, Fabrication"/>
  </r>
  <r>
    <n v="130711"/>
    <x v="1"/>
    <x v="1261"/>
    <s v="TRAD"/>
    <s v="1400 Veterans United Dr;Columbia MO 65203-3001;USA"/>
    <s v="USD"/>
    <x v="1213"/>
    <x v="0"/>
    <x v="633"/>
    <s v="VA Home Loans, Mortgage Origination, Refinancing, Real Estate Tools"/>
  </r>
  <r>
    <n v="132494"/>
    <x v="1"/>
    <x v="1262"/>
    <s v="TRAD"/>
    <s v="PO Box 208299;Dallas TX 75320-8299;USA"/>
    <s v="USD"/>
    <x v="1214"/>
    <x v="20"/>
    <x v="316"/>
    <s v="Green Cleaning, Janitorial Services, Office Cleaning, Floor Care, Sanitization"/>
  </r>
  <r>
    <n v="108058"/>
    <x v="1"/>
    <x v="1263"/>
    <s v="TRAD"/>
    <s v="8458 Solutions Center;Chicago IL 60677;USA"/>
    <s v="USD"/>
    <x v="1215"/>
    <x v="6"/>
    <x v="634"/>
    <s v="Barcode Scanners, Label Printers, RFID Solutions, Mobile Computing, Repair Services"/>
  </r>
  <r>
    <n v="128166"/>
    <x v="1"/>
    <x v="1264"/>
    <s v="TRAD"/>
    <s v="1191 Solano Ave;Unit 6621;Albany CA 94706-5099;USA"/>
    <s v="USD"/>
    <x v="1216"/>
    <x v="20"/>
    <x v="309"/>
    <s v="Office Cleaning, Janitorial Services, Deep Cleaning, Sanitization"/>
  </r>
  <r>
    <n v="132469"/>
    <x v="1"/>
    <x v="1265"/>
    <s v="TRAD"/>
    <s v="PO Box 231;East Greenwich RI 02818-0231;USA"/>
    <s v="USD"/>
    <x v="1217"/>
    <x v="24"/>
    <x v="635"/>
    <s v="Commercial Landscaping, Lawn Maintenance, Snow Removal, Grounds Care"/>
  </r>
  <r>
    <n v="119205"/>
    <x v="1"/>
    <x v="1266"/>
    <s v="TRAD"/>
    <s v="5601 Boone Ave N;Minneapolis MN 55428-3048;USA"/>
    <s v="USD"/>
    <x v="1218"/>
    <x v="30"/>
    <x v="636"/>
    <s v="Garage Doors, Openers, Installation, Repair, Commercial Doors, Loading Dock Equipment"/>
  </r>
  <r>
    <n v="119807"/>
    <x v="1"/>
    <x v="1267"/>
    <s v="RENT"/>
    <s v="1604 Bentbrook Ct;Champaign IL 61822-9222;USA"/>
    <s v="USD"/>
    <x v="1219"/>
    <x v="8"/>
    <x v="28"/>
    <s v="Real Estate, Property Management"/>
  </r>
  <r>
    <n v="130205"/>
    <x v="1"/>
    <x v="1268"/>
    <s v="RENT"/>
    <s v="12651 W Silver Spring Dr;Butler WI 53007-1014;USA"/>
    <s v="USD"/>
    <x v="1219"/>
    <x v="29"/>
    <x v="637"/>
    <s v="Fleet Vehicle Conversions, Accessibility Modifications, Custom Builds"/>
  </r>
  <r>
    <n v="122300"/>
    <x v="1"/>
    <x v="1269"/>
    <s v="TRAD"/>
    <s v="2030 Powers Ferry Rd ;Ste 100;Atlanta GA 30339;USA"/>
    <s v="USD"/>
    <x v="1220"/>
    <x v="26"/>
    <x v="292"/>
    <s v="Fire Sprinkler Systems, Fire Alarm Installation, Inspection, Maintenance, Consulting"/>
  </r>
  <r>
    <n v="121140"/>
    <x v="1"/>
    <x v="1270"/>
    <s v="TRAD"/>
    <s v="209 Gothic Court;Suite 107;Franklin TN 37067;USA"/>
    <s v="USD"/>
    <x v="1221"/>
    <x v="20"/>
    <x v="309"/>
    <s v="Janitorial, Office Cleaning, Disinfection, Floor Care"/>
  </r>
  <r>
    <n v="144926"/>
    <x v="1"/>
    <x v="1271"/>
    <s v="TRAD"/>
    <s v="115 Redwood Track Course;Ocala FL 34472;USA"/>
    <s v="USD"/>
    <x v="1222"/>
    <x v="24"/>
    <x v="638"/>
    <s v="Mowing, Edging, Lawn Maintenance, Grounds Care"/>
  </r>
  <r>
    <n v="104339"/>
    <x v="1"/>
    <x v="1272"/>
    <s v="TRAD"/>
    <s v="PO BOX 802009;Dallas TX 75380-2009;USA"/>
    <s v="USD"/>
    <x v="1223"/>
    <x v="11"/>
    <x v="37"/>
    <s v="Forklift Sales &amp; Service, Dock Equipment, Warehouse Solutions"/>
  </r>
  <r>
    <n v="151261"/>
    <x v="1"/>
    <x v="1273"/>
    <s v="TRAD"/>
    <s v="PO BOX 485;275 Old Hwy 99W;MAXWELL CA 95955-0485;USA"/>
    <s v="USD"/>
    <x v="1224"/>
    <x v="10"/>
    <x v="639"/>
    <s v="Pre-Engineered Metal Buildings, Steel Structures, Agricultural Buildings, Commercial Construction"/>
  </r>
  <r>
    <n v="128283"/>
    <x v="1"/>
    <x v="1274"/>
    <s v="TRAD"/>
    <s v="3132 Carolina Rd;Suffolk VA 23434-8762;USA"/>
    <s v="USD"/>
    <x v="1225"/>
    <x v="20"/>
    <x v="640"/>
    <s v="Pressure Washing, Exterior Cleaning, Fleet Washing, Deck &amp; Concrete Cleaning"/>
  </r>
  <r>
    <n v="144712"/>
    <x v="1"/>
    <x v="1275"/>
    <s v="TRAD"/>
    <s v="135 Terry Drive;Pensacola FL 32503;USA"/>
    <s v="USD"/>
    <x v="1226"/>
    <x v="30"/>
    <x v="636"/>
    <s v="Garage Door Repair, Installation, Openers, Springs, Maintenance"/>
  </r>
  <r>
    <n v="146294"/>
    <x v="1"/>
    <x v="1276"/>
    <s v="TRAD"/>
    <s v="PO Box 2208;Decatur AL 35609;USA"/>
    <s v="USD"/>
    <x v="1227"/>
    <x v="3"/>
    <x v="641"/>
    <s v="Peterbilt Truck Sales, Parts, Service, Repairs"/>
  </r>
  <r>
    <n v="150435"/>
    <x v="1"/>
    <x v="1277"/>
    <s v="TRAD"/>
    <s v="420 H ST NW;STE B;AUBURN WA 98001-3923;USA"/>
    <s v="USD"/>
    <x v="1228"/>
    <x v="11"/>
    <x v="426"/>
    <s v="Industrial Maintenance, Equipment Service, Facility Support"/>
  </r>
  <r>
    <n v="111595"/>
    <x v="1"/>
    <x v="1278"/>
    <s v="TRAD"/>
    <s v="PO Box 8252;Carol Stream IL 60197-8252;USA"/>
    <s v="USD"/>
    <x v="1229"/>
    <x v="10"/>
    <x v="642"/>
    <s v="Cleaning Products, Restoration Equipment, Mitigation Supplies"/>
  </r>
  <r>
    <n v="128253"/>
    <x v="1"/>
    <x v="1279"/>
    <s v="TRAD"/>
    <s v="4104 Schillinger Dr;Naperville IL 60564-7157;USA"/>
    <s v="USD"/>
    <x v="1230"/>
    <x v="15"/>
    <x v="279"/>
    <s v="IT Consulting, Technology Solutions, Staff Augmentation, Project Support"/>
  </r>
  <r>
    <n v="144856"/>
    <x v="1"/>
    <x v="1280"/>
    <s v="FRGT"/>
    <s v="PO Box 1162;Patterson CA 95363;USA"/>
    <s v="USD"/>
    <x v="1231"/>
    <x v="2"/>
    <x v="24"/>
    <s v="Freight Brokerage, Trucking, Transportation Services"/>
  </r>
  <r>
    <n v="147124"/>
    <x v="1"/>
    <x v="1281"/>
    <s v="TRAD"/>
    <s v="555 E SANDPIPER ST;APOPKA FL 32712-2901;USA"/>
    <s v="USD"/>
    <x v="1232"/>
    <x v="10"/>
    <x v="128"/>
    <s v="Water Damage Restoration, Fire Damage, Mold Remediation, Remodeling"/>
  </r>
  <r>
    <s v="001167"/>
    <x v="1"/>
    <x v="1282"/>
    <s v="TRAD"/>
    <s v="3151 Wolfedale Road;Unit 1;Mississauga ON L5C 1V8;CAN"/>
    <s v="CAD"/>
    <x v="1233"/>
    <x v="30"/>
    <x v="643"/>
    <s v="Overhead Doors, Loading Docks, Truck Restraints, Security Systems, Fencing &amp; Gate Systems"/>
  </r>
  <r>
    <n v="145954"/>
    <x v="1"/>
    <x v="1283"/>
    <s v="TRAD"/>
    <s v="825 Harbor Oak Ln;Clearwater FL 33756;USA"/>
    <s v="USD"/>
    <x v="1234"/>
    <x v="10"/>
    <x v="283"/>
    <s v="Consulting Services"/>
  </r>
  <r>
    <n v="149475"/>
    <x v="1"/>
    <x v="1284"/>
    <s v="TRAD"/>
    <s v="6955 Old Highway 77 ;Lakeland FL 33811;USA"/>
    <s v="USD"/>
    <x v="1235"/>
    <x v="22"/>
    <x v="644"/>
    <s v="Restaurant, Catering, Event Dining, Food Service"/>
  </r>
  <r>
    <n v="150992"/>
    <x v="1"/>
    <x v="1285"/>
    <s v="TRAD"/>
    <s v="2407 TIMBERLOCH PL;STE B;THE WOODLANDS TX 77380-1039;USA"/>
    <s v="USD"/>
    <x v="1236"/>
    <x v="4"/>
    <x v="645"/>
    <s v="Reprints, E-Prints, Licensing, Plaques, Social Media Content, Content Amplification"/>
  </r>
  <r>
    <s v="001099"/>
    <x v="1"/>
    <x v="1286"/>
    <s v="TRAD"/>
    <s v="90 Lowson Crescent;Winnipeg MB R3P 2H8;CAN"/>
    <s v="CAD"/>
    <x v="1237"/>
    <x v="24"/>
    <x v="646"/>
    <s v="Chain Link, Wood, Vinyl, Ornamental Fencing, Gate Installation, Commercial Fencing"/>
  </r>
  <r>
    <n v="144435"/>
    <x v="1"/>
    <x v="1287"/>
    <s v="TRAD"/>
    <s v="2116 Cornaga Avenue;Far Rockaway NY 11691;USA"/>
    <s v="USD"/>
    <x v="1238"/>
    <x v="20"/>
    <x v="647"/>
    <s v="Janitorial, Office Cleaning, Sanitization, Disinfection Services"/>
  </r>
  <r>
    <n v="142410"/>
    <x v="1"/>
    <x v="1288"/>
    <s v="TRAD"/>
    <s v="PO Box 5066;Hartford CT 06102-5066;USA"/>
    <s v="USD"/>
    <x v="1239"/>
    <x v="0"/>
    <x v="345"/>
    <s v="Equipment Loans, Small Business Financing, Capital Leasing"/>
  </r>
  <r>
    <n v="144894"/>
    <x v="1"/>
    <x v="1289"/>
    <s v="TRAD"/>
    <s v="15110 108 Avenue ;#217;Surrey BC V3R 0T6;CAN"/>
    <s v="CAD"/>
    <x v="1240"/>
    <x v="20"/>
    <x v="648"/>
    <s v="Office Cleaning, Building Maintenance, Floor Care, Facility Services"/>
  </r>
  <r>
    <n v="147550"/>
    <x v="1"/>
    <x v="1290"/>
    <s v="TRAD"/>
    <s v="1720 Lambert Court;Ste A;Chesepeake VA 23320;USA"/>
    <s v="USD"/>
    <x v="1241"/>
    <x v="32"/>
    <x v="649"/>
    <s v="Electrical Repair, Plumbing Repair, Residential &amp; Commercial Services"/>
  </r>
  <r>
    <n v="131170"/>
    <x v="1"/>
    <x v="1291"/>
    <s v="COMM"/>
    <s v="Attn: Barry Floyd, CFO;7251 Salisbury Rd;Suite 6;Jacksonville FL 32256;USA"/>
    <s v="USD"/>
    <x v="1242"/>
    <x v="10"/>
    <x v="128"/>
    <s v="Water Damage Restoration, Fire Damage Repair, Mold Remediation, Storm Damage, Remodeling"/>
  </r>
  <r>
    <n v="152038"/>
    <x v="1"/>
    <x v="1292"/>
    <s v="TRAD"/>
    <s v="5569 118TH ST;JACKSONVILLE FL 32244-3003;USA"/>
    <s v="USD"/>
    <x v="1243"/>
    <x v="24"/>
    <x v="650"/>
    <s v="Tree Removal, Trimming, Stump Grinding, Land Clearing"/>
  </r>
  <r>
    <n v="149891"/>
    <x v="1"/>
    <x v="1293"/>
    <s v="TRAD"/>
    <s v="12123 Emmet St.;Omaha NE 68164;USA"/>
    <s v="USD"/>
    <x v="1244"/>
    <x v="11"/>
    <x v="651"/>
    <s v="Manufacturing, Distribution, Industrial Supplies"/>
  </r>
  <r>
    <n v="105962"/>
    <x v="1"/>
    <x v="1294"/>
    <s v="TRAD"/>
    <s v="PO Box 630803;Cincinnati OH 45263 0803;USA"/>
    <s v="USD"/>
    <x v="1245"/>
    <x v="19"/>
    <x v="652"/>
    <s v="Water Distribution, Utility Services"/>
  </r>
  <r>
    <n v="141595"/>
    <x v="1"/>
    <x v="1295"/>
    <s v="TRAD"/>
    <s v="PO Box 898;Des Moines IA 50304;USA"/>
    <s v="USD"/>
    <x v="1246"/>
    <x v="0"/>
    <x v="626"/>
    <s v="Commercial Banking, Business Loans, Treasury Management"/>
  </r>
  <r>
    <n v="147058"/>
    <x v="1"/>
    <x v="1296"/>
    <s v="TRAD"/>
    <s v="5965 Sturgeon Dr;La Fayette NY 13084;USA"/>
    <s v="USD"/>
    <x v="1247"/>
    <x v="7"/>
    <x v="218"/>
    <s v="Consulting, Contracting Services"/>
  </r>
  <r>
    <n v="128072"/>
    <x v="1"/>
    <x v="1297"/>
    <s v="TRAD"/>
    <s v="PO Box 1978;Gallatin TN 37066-1978;USA"/>
    <s v="USD"/>
    <x v="1247"/>
    <x v="10"/>
    <x v="128"/>
    <s v="Water Damage Restoration, Fire Damage, Mold Remediation, Storm Cleanup, Biohazard Cleanup"/>
  </r>
  <r>
    <n v="108459"/>
    <x v="1"/>
    <x v="1298"/>
    <s v="TRAD"/>
    <s v="16001 Van Drunen Rd;South Holland IL 60473-1283;USA"/>
    <s v="USD"/>
    <x v="1248"/>
    <x v="26"/>
    <x v="292"/>
    <s v="Fire Sprinklers, Fire Suppression, Inspections, Maintenance"/>
  </r>
  <r>
    <n v="122664"/>
    <x v="1"/>
    <x v="1299"/>
    <s v="TRAD"/>
    <s v="916 Pecan Point Rd;Norfolk VA 23502-3405;USA"/>
    <s v="USD"/>
    <x v="1249"/>
    <x v="20"/>
    <x v="627"/>
    <s v="House Cleaning, Deep Cleaning, Move-In/Out Cleaning, Recurring Service"/>
  </r>
  <r>
    <n v="144699"/>
    <x v="1"/>
    <x v="1300"/>
    <s v="TRAD"/>
    <s v="15 N 9TH AVE;MAYWOOD IL 60153-1180;USA"/>
    <s v="USD"/>
    <x v="1250"/>
    <x v="11"/>
    <x v="426"/>
    <s v="Industrial Maintenance, Facility Services, Equipment Support"/>
  </r>
  <r>
    <n v="148507"/>
    <x v="1"/>
    <x v="1301"/>
    <s v="RENT"/>
    <s v="958 Reed Rd;Dartmouth MA 02747;USA"/>
    <s v="USD"/>
    <x v="1251"/>
    <x v="8"/>
    <x v="28"/>
    <s v="Real Estate, Property Management"/>
  </r>
  <r>
    <n v="116146"/>
    <x v="1"/>
    <x v="1302"/>
    <s v="RENT"/>
    <s v="PO Box 603;Jefferson GA 30549-0603;USA"/>
    <s v="USD"/>
    <x v="1251"/>
    <x v="8"/>
    <x v="28"/>
    <s v="Property Management, Real Estate"/>
  </r>
  <r>
    <n v="127003"/>
    <x v="1"/>
    <x v="1303"/>
    <s v="TRAD"/>
    <s v="PO Box 2114;Wake Forest NC 27588-2114;USA"/>
    <s v="USD"/>
    <x v="1252"/>
    <x v="10"/>
    <x v="250"/>
    <s v="HVAC, Plumbing, Piping, Mechanical Systems, Installation, Maintenance"/>
  </r>
  <r>
    <n v="142047"/>
    <x v="1"/>
    <x v="1304"/>
    <s v="TRAD"/>
    <s v="1215 Big Orange Road;Cordova TN 38018;USA"/>
    <s v="USD"/>
    <x v="1253"/>
    <x v="30"/>
    <x v="636"/>
    <s v="Garage Door Repair, Installation, Openers, Springs, Maintenance"/>
  </r>
  <r>
    <n v="140827"/>
    <x v="1"/>
    <x v="1305"/>
    <s v="TRAD"/>
    <s v="12960 Gravois Rd.;Saint Louis MO 63127;USA"/>
    <s v="USD"/>
    <x v="1254"/>
    <x v="3"/>
    <x v="270"/>
    <s v="Light &amp; Heavy Towing, Roadside Assistance, Accident Recovery"/>
  </r>
  <r>
    <n v="129466"/>
    <x v="1"/>
    <x v="1306"/>
    <s v="TRAD"/>
    <s v="PO Box 2024;Shelter Island NY 11964-2024;USA"/>
    <s v="USD"/>
    <x v="1255"/>
    <x v="2"/>
    <x v="653"/>
    <s v="Passenger Ferry, Vehicle Ferry, Charter Services, Island Transportation"/>
  </r>
  <r>
    <n v="130771"/>
    <x v="1"/>
    <x v="1307"/>
    <s v="TRAD"/>
    <s v="PO Box 21483;Little Rock AR 72221-1483;USA"/>
    <s v="USD"/>
    <x v="1256"/>
    <x v="20"/>
    <x v="309"/>
    <s v="Janitorial Services, Office Cleaning, House Cleaning"/>
  </r>
  <r>
    <n v="120674"/>
    <x v="1"/>
    <x v="1308"/>
    <s v="TRAD"/>
    <s v="PO Box 130292;Roseville MN 55113-0003;USA"/>
    <s v="USD"/>
    <x v="1257"/>
    <x v="10"/>
    <x v="654"/>
    <s v="Industrial Insulation, Abatement, Scaffolding, Fireproofing, Specialty Coatings"/>
  </r>
  <r>
    <n v="151635"/>
    <x v="1"/>
    <x v="1309"/>
    <s v="LEGAL"/>
    <s v="PO BOX 9729;PORTLAND ME 04104-5029;USA"/>
    <s v="USD"/>
    <x v="1258"/>
    <x v="12"/>
    <x v="327"/>
    <s v="Business Law, Real Estate, Litigation, Corporate Law"/>
  </r>
  <r>
    <n v="130597"/>
    <x v="1"/>
    <x v="1310"/>
    <s v="TRAD"/>
    <s v="2955 Momentum Pl;Chicago IL 60689-5329;USA"/>
    <s v="USD"/>
    <x v="1259"/>
    <x v="20"/>
    <x v="309"/>
    <s v="Janitorial, Office Cleaning, Floor Care, Facility Maintenance"/>
  </r>
  <r>
    <n v="114174"/>
    <x v="1"/>
    <x v="1311"/>
    <s v="UTIL"/>
    <s v="PO Box 856192;Louisville KY 40285-6192;USA"/>
    <s v="USD"/>
    <x v="1260"/>
    <x v="2"/>
    <x v="436"/>
    <s v="Bottled Water, Coffee, Beverage Delivery, Filtration, Break Room Supplies"/>
  </r>
  <r>
    <n v="129938"/>
    <x v="1"/>
    <x v="1312"/>
    <s v="TRAD"/>
    <s v="1001 E 64th Ave;Denver CO 80229-7206;USA"/>
    <s v="USD"/>
    <x v="1261"/>
    <x v="16"/>
    <x v="655"/>
    <s v="Air Conditioning, Heating Equipment, HVAC Parts, Installation"/>
  </r>
  <r>
    <n v="147752"/>
    <x v="1"/>
    <x v="1313"/>
    <s v="TRAD"/>
    <s v="156 Springbrook Trail;Sparta NJ 07871;USA"/>
    <s v="USD"/>
    <x v="1262"/>
    <x v="20"/>
    <x v="656"/>
    <s v="Residential Cleaning, Office Cleaning, Deep Cleaning"/>
  </r>
  <r>
    <n v="152126"/>
    <x v="1"/>
    <x v="1314"/>
    <s v="LEGAL"/>
    <s v="1 E WASHINGTON ST;Suite 2700;PHOENIX AZ 85004-2492;USA"/>
    <s v="USD"/>
    <x v="1263"/>
    <x v="12"/>
    <x v="48"/>
    <s v="Litigation, Corporate Transactions, Real Estate, IP, Employment Law, Tax, Estate Planning"/>
  </r>
  <r>
    <n v="103086"/>
    <x v="1"/>
    <x v="1315"/>
    <s v="TRAD"/>
    <s v="ATTN: APPR SUPPLIER PROGRAM;5075 S SYRACUSE ST;Denver CO 80237;USA"/>
    <s v="USD"/>
    <x v="1264"/>
    <x v="9"/>
    <x v="657"/>
    <s v="Franchise Brokerage, Agent Tools, Real Estate Technology, Brand Licensing"/>
  </r>
  <r>
    <n v="145088"/>
    <x v="1"/>
    <x v="1316"/>
    <s v="TRAD"/>
    <s v="1900 NW 135th Street;Miami FL 33182;USA"/>
    <s v="USD"/>
    <x v="1265"/>
    <x v="6"/>
    <x v="658"/>
    <s v="IT Support, Digital Marketing, Web Development, Technology Services"/>
  </r>
  <r>
    <n v="145944"/>
    <x v="1"/>
    <x v="1317"/>
    <s v="TRAD"/>
    <s v="603 Channelside Drive;Tampa FL 33602;USA"/>
    <s v="USD"/>
    <x v="1266"/>
    <x v="22"/>
    <x v="659"/>
    <s v="Dinner Cruises, Private Events, Corporate Events, Wedding Cruises, Brunch Cruises"/>
  </r>
  <r>
    <n v="147436"/>
    <x v="1"/>
    <x v="1318"/>
    <s v="TRAD"/>
    <s v="474 S Fetterly Ave;Los Angeles CA 90022;USA"/>
    <s v="USD"/>
    <x v="1267"/>
    <x v="24"/>
    <x v="646"/>
    <s v="Chain Link Fencing, Wood Fencing, Iron Fencing, Gate Installation, Commercial Fencing"/>
  </r>
  <r>
    <n v="148821"/>
    <x v="1"/>
    <x v="1319"/>
    <s v="TRAD"/>
    <s v="809 SHARTOM DR;AUGUSTA GA 30907-4716;USA"/>
    <s v="USD"/>
    <x v="1268"/>
    <x v="4"/>
    <x v="660"/>
    <s v="General Commercial Services"/>
  </r>
  <r>
    <n v="145589"/>
    <x v="1"/>
    <x v="1320"/>
    <s v="RENT"/>
    <s v="18 Lee Road;Rochester NY 14606;USA"/>
    <s v="USD"/>
    <x v="1269"/>
    <x v="8"/>
    <x v="28"/>
    <s v="Real Estate, Industrial Property"/>
  </r>
  <r>
    <n v="145089"/>
    <x v="1"/>
    <x v="1321"/>
    <s v="TRAD"/>
    <s v="9961 BREWSTER LN;POWELL OH 43065-7571;USA"/>
    <s v="USD"/>
    <x v="1270"/>
    <x v="6"/>
    <x v="661"/>
    <s v="Online Training, Process Improvement, Data Analytics Tools, Certification"/>
  </r>
  <r>
    <n v="146090"/>
    <x v="1"/>
    <x v="1322"/>
    <s v="TRAD"/>
    <s v="2655 McCormick Drive;Clearwater FL 33759;USA"/>
    <s v="USD"/>
    <x v="1271"/>
    <x v="4"/>
    <x v="662"/>
    <s v="Business Accreditation, Consumer Protection, Dispute Resolution"/>
  </r>
  <r>
    <n v="122286"/>
    <x v="1"/>
    <x v="1323"/>
    <s v="RENT"/>
    <s v="2027 S Roane St;Harriman TN 37748-8650;USA"/>
    <s v="USD"/>
    <x v="1271"/>
    <x v="8"/>
    <x v="28"/>
    <s v="Real Estate, Property Management"/>
  </r>
  <r>
    <n v="150148"/>
    <x v="1"/>
    <x v="1324"/>
    <s v="TRAD"/>
    <s v="2994 Donald Lee Hollowell,;Atlanta GA 30318;USA"/>
    <s v="USD"/>
    <x v="1271"/>
    <x v="10"/>
    <x v="663"/>
    <s v="Welding, Equipment Repair, Fabrication"/>
  </r>
  <r>
    <n v="143494"/>
    <x v="1"/>
    <x v="1325"/>
    <s v="TRAD"/>
    <s v="1009 Tamarac Drive;Carpentersville IL 60110;USA"/>
    <s v="USD"/>
    <x v="1272"/>
    <x v="16"/>
    <x v="664"/>
    <s v="Heating, Air Conditioning, Energy Management, Mechanical Service"/>
  </r>
  <r>
    <n v="149251"/>
    <x v="1"/>
    <x v="1326"/>
    <s v="TRAD"/>
    <s v="13701 24TH ST E;STE C-4;SUMNER WA 98390-9675;USA"/>
    <s v="USD"/>
    <x v="1273"/>
    <x v="20"/>
    <x v="309"/>
    <s v="Janitorial, Office Cleaning, Floor Care"/>
  </r>
  <r>
    <n v="129841"/>
    <x v="1"/>
    <x v="1327"/>
    <s v="TRAD"/>
    <s v="6930 S 6th St;Oak Creek WI 53154-1463;USA"/>
    <s v="USD"/>
    <x v="1274"/>
    <x v="3"/>
    <x v="388"/>
    <s v="Truck Rental, Fleet Maintenance, Vehicle Sales, Commercial Trucking"/>
  </r>
  <r>
    <n v="120988"/>
    <x v="1"/>
    <x v="1328"/>
    <s v="TRAD"/>
    <s v="1424 NORTHEAST EXPY NE;BROOKHAVEN GA 30329-2018;USA"/>
    <s v="USD"/>
    <x v="1275"/>
    <x v="6"/>
    <x v="665"/>
    <s v="Social Services, Disaster Relief, Thrift Stores, Rehabilitation, Community Programs"/>
  </r>
  <r>
    <n v="150319"/>
    <x v="1"/>
    <x v="1329"/>
    <s v="TRAD"/>
    <s v="1325 LARSON CT;MADISON WI 53714-1313;USA"/>
    <s v="USD"/>
    <x v="1276"/>
    <x v="24"/>
    <x v="115"/>
    <s v="Commercial Landscaping, Lawn Maintenance, Grounds Care"/>
  </r>
  <r>
    <n v="102683"/>
    <x v="1"/>
    <x v="1330"/>
    <s v="TRAD"/>
    <s v="CHURCH STREET STATION;PO BOX 3640;New York NY 10008-3609;USA"/>
    <s v="USD"/>
    <x v="1277"/>
    <x v="14"/>
    <x v="666"/>
    <s v="Parking Violations, Tax Collection, Property Valuation, City Revenue"/>
  </r>
  <r>
    <n v="151322"/>
    <x v="1"/>
    <x v="1331"/>
    <s v="TRAD"/>
    <s v="3260 CARRIAGE DR;MEDFORD OR 97501-4337;USA"/>
    <s v="USD"/>
    <x v="1278"/>
    <x v="7"/>
    <x v="218"/>
    <s v="Consulting, Contracting Services"/>
  </r>
  <r>
    <n v="152724"/>
    <x v="1"/>
    <x v="1332"/>
    <s v="TRAD"/>
    <s v="148 WALL ST;APT 137;CAMDEN SC 29020-7656;USA"/>
    <s v="USD"/>
    <x v="1279"/>
    <x v="10"/>
    <x v="302"/>
    <s v="General Trade Services, Contracting"/>
  </r>
  <r>
    <n v="106774"/>
    <x v="1"/>
    <x v="1333"/>
    <s v="TRAD"/>
    <s v="PO BOX 735358;Dallas TX 75373;USA"/>
    <s v="USD"/>
    <x v="1280"/>
    <x v="26"/>
    <x v="667"/>
    <s v="Fire Alarm Systems, Fire Sprinklers, Suppression Systems, Inspections, Security Systems, Monitoring"/>
  </r>
  <r>
    <n v="131390"/>
    <x v="1"/>
    <x v="1334"/>
    <s v="TRAD"/>
    <s v="5320 Fremont Pike;Stony Ridge OH 43463-9516;USA"/>
    <s v="USD"/>
    <x v="1281"/>
    <x v="3"/>
    <x v="90"/>
    <s v="International Trucks, Parts, Service, Leasing, Truck Sales"/>
  </r>
  <r>
    <n v="141410"/>
    <x v="1"/>
    <x v="1335"/>
    <s v="TRAD"/>
    <s v="319 Alexandra Ave;Scotia NY 12302;USA"/>
    <s v="USD"/>
    <x v="1282"/>
    <x v="10"/>
    <x v="528"/>
    <s v="Professional Services"/>
  </r>
  <r>
    <n v="144828"/>
    <x v="1"/>
    <x v="1336"/>
    <s v="TRAD"/>
    <s v="3899 Las Flores Drive;Fallbrook CA 92028;USA"/>
    <s v="USD"/>
    <x v="1283"/>
    <x v="28"/>
    <x v="668"/>
    <s v="Product Packaging, Fulfillment Services"/>
  </r>
  <r>
    <n v="131166"/>
    <x v="1"/>
    <x v="1337"/>
    <s v="TRAD"/>
    <s v="150 Rome Ct;Fort Collins CO 80524-1434;USA"/>
    <s v="USD"/>
    <x v="1284"/>
    <x v="16"/>
    <x v="281"/>
    <s v="Air Conditioning, Heating, Comfort Systems"/>
  </r>
  <r>
    <n v="120774"/>
    <x v="1"/>
    <x v="1338"/>
    <s v="RENT"/>
    <s v="1310 Bruce St;Conway AR 72034-6513;USA"/>
    <s v="USD"/>
    <x v="1285"/>
    <x v="8"/>
    <x v="333"/>
    <s v="Hardware, Tools, Industrial Equipment, Rental Services"/>
  </r>
  <r>
    <n v="148131"/>
    <x v="1"/>
    <x v="1339"/>
    <s v="RENT"/>
    <s v="PO Box 960;Clovis NM 88102;USA"/>
    <s v="USD"/>
    <x v="1285"/>
    <x v="8"/>
    <x v="28"/>
    <s v="Real Estate Investment, Property Management"/>
  </r>
  <r>
    <n v="129787"/>
    <x v="1"/>
    <x v="1340"/>
    <s v="RENT"/>
    <s v="31 Rbc Dr;Ringgold GA 30736-2783;USA"/>
    <s v="USD"/>
    <x v="1285"/>
    <x v="8"/>
    <x v="28"/>
    <s v="Real Estate, Property Management"/>
  </r>
  <r>
    <n v="151730"/>
    <x v="1"/>
    <x v="1341"/>
    <s v="TRAD"/>
    <s v="PO BOX 9560;FORT WAYNE IN 46899-9560;USA"/>
    <s v="USD"/>
    <x v="1285"/>
    <x v="10"/>
    <x v="44"/>
    <s v="Commercial Construction, Building, Renovation"/>
  </r>
  <r>
    <n v="151519"/>
    <x v="1"/>
    <x v="1342"/>
    <s v="TRAD"/>
    <s v="52 UNDERWOOD ST;APT 1L;NEWARK NJ 07106-3721;USA"/>
    <s v="USD"/>
    <x v="1285"/>
    <x v="10"/>
    <x v="302"/>
    <s v="General Trade Services, Contracting"/>
  </r>
  <r>
    <n v="152363"/>
    <x v="1"/>
    <x v="1343"/>
    <s v="TRAD"/>
    <s v="2 WEMBLY PL;GANSEVOORT NY 12831-1541;USA"/>
    <s v="USD"/>
    <x v="1285"/>
    <x v="10"/>
    <x v="69"/>
    <s v="Professional Services"/>
  </r>
  <r>
    <n v="110638"/>
    <x v="1"/>
    <x v="1344"/>
    <s v="RENT"/>
    <s v="310 Lake Ave;Buffalo NY 14219 1508;USA"/>
    <s v="USD"/>
    <x v="1285"/>
    <x v="29"/>
    <x v="456"/>
    <s v="Trailer Rental, Trailer Repair, Parts, Storage, Flatbed Trailers"/>
  </r>
  <r>
    <n v="122876"/>
    <x v="1"/>
    <x v="1345"/>
    <s v="UTIL"/>
    <s v="14300 E 61st St N;Wichita KS 67228-9231;USA"/>
    <s v="USD"/>
    <x v="1286"/>
    <x v="19"/>
    <x v="299"/>
    <s v="Propane Delivery, Tank Installation, Residential &amp; Commercial Propane"/>
  </r>
  <r>
    <n v="123234"/>
    <x v="1"/>
    <x v="1346"/>
    <s v="TRAD"/>
    <s v="35 Urban Ave;Westbury NY 11590-4837;USA"/>
    <s v="USD"/>
    <x v="1287"/>
    <x v="26"/>
    <x v="583"/>
    <s v="Fire Sprinkler Installation, Inspection, Fire Suppression, Backflow Testing"/>
  </r>
  <r>
    <n v="141272"/>
    <x v="1"/>
    <x v="1347"/>
    <s v="TRAD"/>
    <s v="PO Box 415;Plainville CT 06062;USA"/>
    <s v="USD"/>
    <x v="1288"/>
    <x v="8"/>
    <x v="28"/>
    <s v="Real Estate, Property Management"/>
  </r>
  <r>
    <n v="119462"/>
    <x v="1"/>
    <x v="1348"/>
    <s v="TRAD"/>
    <s v="1715 NJ-35;Suite 206;Middletown NJ 07748;USA"/>
    <s v="USD"/>
    <x v="1289"/>
    <x v="21"/>
    <x v="106"/>
    <s v="Property Management, Residential Management, Association Management, Leasing"/>
  </r>
  <r>
    <n v="141870"/>
    <x v="1"/>
    <x v="1349"/>
    <s v="TRAD"/>
    <s v="2835 Ualena Street;Honolulu HI 96819;USA"/>
    <s v="USD"/>
    <x v="1290"/>
    <x v="17"/>
    <x v="669"/>
    <s v="Commercial Shelving, Pallet Racking, Warehouse Storage Systems"/>
  </r>
  <r>
    <n v="150496"/>
    <x v="1"/>
    <x v="1350"/>
    <s v="TRAD"/>
    <s v="8112 ALGON AVE;PHILADELPHIA PA 19152-2204;USA"/>
    <s v="USD"/>
    <x v="1291"/>
    <x v="10"/>
    <x v="302"/>
    <s v="General Trade Services, Contracting"/>
  </r>
  <r>
    <s v="001009"/>
    <x v="1"/>
    <x v="1351"/>
    <s v="TRAD"/>
    <s v="19395 Langley Bypass;Surrey BC V3S 6K1;CAN"/>
    <s v="CAD"/>
    <x v="1292"/>
    <x v="25"/>
    <x v="670"/>
    <s v="Waste Collection, Recycling, Portable Toilets, Equipment Rental, Moving Services"/>
  </r>
  <r>
    <n v="114180"/>
    <x v="1"/>
    <x v="1352"/>
    <s v="UTIL"/>
    <s v="PO Box 856680;Louisville KY 40285-6680;USA"/>
    <s v="USD"/>
    <x v="1293"/>
    <x v="2"/>
    <x v="436"/>
    <s v="Bottled Water, Coffee, Beverage Delivery, Filtration, Break Room Supplies"/>
  </r>
  <r>
    <n v="131020"/>
    <x v="1"/>
    <x v="1353"/>
    <s v="TRAD"/>
    <s v="98-029 Hekaha St;Ste 20;Aiea HI 96701-4915;USA"/>
    <s v="USD"/>
    <x v="1294"/>
    <x v="1"/>
    <x v="671"/>
    <s v="Custom Signs, Printing, Banners, Promotional Products, Name Badges"/>
  </r>
  <r>
    <n v="127110"/>
    <x v="1"/>
    <x v="1354"/>
    <s v="COMM"/>
    <s v="Attn: Ann Knapp;15333 N Pima Rd;Ste 240;Scottsdale AZ 85260-7303;USA"/>
    <s v="USD"/>
    <x v="1295"/>
    <x v="13"/>
    <x v="322"/>
    <s v="Employee Relocation, Global Mobility, Destination Services, Home Sale Assistance, Expense Management"/>
  </r>
  <r>
    <n v="114077"/>
    <x v="1"/>
    <x v="1355"/>
    <s v="TRAD"/>
    <s v="5709 Turnipseed Road;Knightdale NC 27545;USA"/>
    <s v="USD"/>
    <x v="1296"/>
    <x v="24"/>
    <x v="638"/>
    <s v="Mowing, Mulching, Landscaping Design, Grounds Maintenance"/>
  </r>
  <r>
    <n v="150548"/>
    <x v="1"/>
    <x v="1356"/>
    <s v="TRAD"/>
    <s v="8930 DIPLOMACY ROW;DALLAS TX 75247-5302;USA"/>
    <s v="USD"/>
    <x v="1297"/>
    <x v="26"/>
    <x v="672"/>
    <s v="Fire Extinguishers, Fire Suppression, Alarm Systems, Inspections, Training"/>
  </r>
  <r>
    <n v="152052"/>
    <x v="1"/>
    <x v="1357"/>
    <s v="TRAD"/>
    <s v="3323 MUSTANG DR;BROOKSVILLE FL 34604-8113;USA"/>
    <s v="USD"/>
    <x v="1298"/>
    <x v="10"/>
    <x v="568"/>
    <s v="Roof Installation, Roof Repair, Sheet Metal Fabrication, Gutters"/>
  </r>
  <r>
    <n v="150356"/>
    <x v="1"/>
    <x v="1358"/>
    <s v="TRAD"/>
    <s v="4300 2ND ST NW;ALBUQUERQUE NM 87107-4038;USA"/>
    <s v="USD"/>
    <x v="1299"/>
    <x v="16"/>
    <x v="673"/>
    <s v="AC Repair, Heating, Plumbing, 24/7 Emergency Service"/>
  </r>
  <r>
    <n v="125928"/>
    <x v="1"/>
    <x v="1359"/>
    <s v="TRAD"/>
    <s v="8541 Shady Trail COVE;Cordova TN 38018-4302;USA"/>
    <s v="USD"/>
    <x v="1300"/>
    <x v="20"/>
    <x v="349"/>
    <s v="Residential Cleaning, Commercial Cleaning, Deep Cleaning, Move-In/Out Cleaning"/>
  </r>
  <r>
    <n v="126870"/>
    <x v="1"/>
    <x v="1360"/>
    <s v="TRAD"/>
    <s v="PO Box 83306;Chicago IL 60691-3306;USA"/>
    <s v="USD"/>
    <x v="1301"/>
    <x v="4"/>
    <x v="674"/>
    <s v="Commercial Design, Decorating Services, Furnishings"/>
  </r>
  <r>
    <n v="147617"/>
    <x v="1"/>
    <x v="1361"/>
    <s v="TRAD"/>
    <s v="1840 River Oaks Rd;Jacksonville FL 32207;USA"/>
    <s v="USD"/>
    <x v="1302"/>
    <x v="16"/>
    <x v="675"/>
    <s v="Pump Repair, Control Systems, Water/Wastewater Equipment"/>
  </r>
  <r>
    <n v="122246"/>
    <x v="1"/>
    <x v="1362"/>
    <s v="TRAD"/>
    <s v="153 Scott Industrial Blvd;Auburn GA 30011-2811;USA"/>
    <s v="USD"/>
    <x v="1303"/>
    <x v="3"/>
    <x v="444"/>
    <s v="Truck Tires, Fleet Services, Tire Sales"/>
  </r>
  <r>
    <n v="115638"/>
    <x v="1"/>
    <x v="1363"/>
    <s v="TRAD"/>
    <s v="127 Main St;Wilmington MA 01887-3528;USA"/>
    <s v="USD"/>
    <x v="1304"/>
    <x v="3"/>
    <x v="378"/>
    <s v="Tire Sales, Tire Repair, Wheel Services"/>
  </r>
  <r>
    <n v="130617"/>
    <x v="1"/>
    <x v="1364"/>
    <s v="TRAD"/>
    <s v="51 Jordan Rd;Autryville NC 28318;USA"/>
    <s v="USD"/>
    <x v="1305"/>
    <x v="24"/>
    <x v="591"/>
    <s v="Lawn Mowing, Grounds Maintenance, Seasonal Cleanup, Mulching"/>
  </r>
  <r>
    <n v="140335"/>
    <x v="1"/>
    <x v="1365"/>
    <s v="COMM"/>
    <s v="6060 CORNERSTONE CT W;SAN DIEGO CA 92121-3712;USA"/>
    <s v="USD"/>
    <x v="1306"/>
    <x v="2"/>
    <x v="676"/>
    <s v="Shipping, Printing, Mailbox Rental, Packaging, Notary, Business Services"/>
  </r>
  <r>
    <n v="114440"/>
    <x v="1"/>
    <x v="1366"/>
    <s v="TRAD"/>
    <s v="9233 Gulfstream rd. ;Frankfort IL 60423;USA"/>
    <s v="USD"/>
    <x v="1307"/>
    <x v="30"/>
    <x v="188"/>
    <s v="Garage Door Installation, Repair, Commercial Doors, Dock Equipment"/>
  </r>
  <r>
    <n v="140537"/>
    <x v="1"/>
    <x v="1367"/>
    <s v="TRAD"/>
    <s v="Po Box 301063;Dallas TX 75303;USA"/>
    <s v="USD"/>
    <x v="1308"/>
    <x v="4"/>
    <x v="677"/>
    <s v="Gas Turbines, Diesel Engines, Power Generation, Parts &amp; Service, Oil &amp; Gas Equipment"/>
  </r>
  <r>
    <n v="150320"/>
    <x v="1"/>
    <x v="1368"/>
    <s v="TRAD"/>
    <s v="1187 BURCH DR;EVANSVILLE IN 47725-1701;USA"/>
    <s v="USD"/>
    <x v="1309"/>
    <x v="11"/>
    <x v="37"/>
    <s v="Forklift Sales &amp; Service, Equipment Rental, Parts"/>
  </r>
  <r>
    <n v="151187"/>
    <x v="1"/>
    <x v="1369"/>
    <s v="TRAD"/>
    <s v="PO BOX 1793;NORTH KINGSTOWN RI 02852-0648;USA"/>
    <s v="USD"/>
    <x v="1310"/>
    <x v="3"/>
    <x v="678"/>
    <s v="Used Auto Parts, Vehicle Salvage, Recycling"/>
  </r>
  <r>
    <n v="147394"/>
    <x v="1"/>
    <x v="1370"/>
    <s v="TRAD"/>
    <s v="16697 Aspen Way;Southgate MI 48195;USA"/>
    <s v="USD"/>
    <x v="1311"/>
    <x v="3"/>
    <x v="679"/>
    <s v="Interior Detailing, Exterior Detailing, Paint Correction, Ceramic Coating"/>
  </r>
  <r>
    <n v="127752"/>
    <x v="1"/>
    <x v="1371"/>
    <s v="TRAD"/>
    <s v="515 Robinhood Dr;Aurora OH 44202-8836;USA"/>
    <s v="USD"/>
    <x v="1312"/>
    <x v="24"/>
    <x v="680"/>
    <s v="Landscape Design, Lawn Maintenance, Snow Removal, Ice Management, Hardscaping"/>
  </r>
  <r>
    <n v="149946"/>
    <x v="1"/>
    <x v="1372"/>
    <s v="TRAD"/>
    <s v="5673 Star Rush Drive;Melbourne FL 32940;USA"/>
    <s v="USD"/>
    <x v="1313"/>
    <x v="3"/>
    <x v="681"/>
    <s v="Expedited Freight, Time-Critical Delivery, LTL Shipping"/>
  </r>
  <r>
    <n v="151162"/>
    <x v="1"/>
    <x v="1373"/>
    <s v="TRAD"/>
    <s v="7212 8th Street;Edmonton AB T6P 1V1;CAN"/>
    <s v="CAD"/>
    <x v="1314"/>
    <x v="19"/>
    <x v="682"/>
    <s v="Fuel Distribution, Energy Solutions"/>
  </r>
  <r>
    <n v="150017"/>
    <x v="1"/>
    <x v="1374"/>
    <s v="TRAD"/>
    <s v="8668 Fowler Ave;Pensacola FL 32534;USA"/>
    <s v="USD"/>
    <x v="1315"/>
    <x v="20"/>
    <x v="366"/>
    <s v="Truck Repair, Fleet Maintenance, Diesel Service, Mobile Repair, Preventive Maintenance"/>
  </r>
  <r>
    <n v="132089"/>
    <x v="1"/>
    <x v="1375"/>
    <s v="TRAD"/>
    <s v="3205 Moore St;Richmond VA 23230-4421;USA"/>
    <s v="USD"/>
    <x v="1316"/>
    <x v="26"/>
    <x v="683"/>
    <s v="Fire Sprinkler Design, Installation, Inspection, Maintenance, Fire Alarm Systems"/>
  </r>
  <r>
    <n v="124038"/>
    <x v="1"/>
    <x v="1376"/>
    <s v="TRAD"/>
    <s v="PO Box 953604;Saint Louis MO 63195-3604;USA"/>
    <s v="USD"/>
    <x v="1317"/>
    <x v="1"/>
    <x v="684"/>
    <s v="Photo Licensing, Video Licensing, Editorial Content, Custom Content, Rights &amp; Clearance"/>
  </r>
  <r>
    <n v="121863"/>
    <x v="1"/>
    <x v="1377"/>
    <s v="TRAD"/>
    <s v="160 Wilson Rd;Bentleyville PA 15314-1028;USA"/>
    <s v="USD"/>
    <x v="1318"/>
    <x v="3"/>
    <x v="685"/>
    <s v="Forklift Parts, Aftermarket Parts, OEM Parts, Material Handling Parts, Equipment Service"/>
  </r>
  <r>
    <n v="129928"/>
    <x v="1"/>
    <x v="1378"/>
    <s v="TRAD"/>
    <s v="3203 SPEARWOOD DR;HIGHLANDS RANCH CO 80126-7563;USA"/>
    <s v="USD"/>
    <x v="1319"/>
    <x v="7"/>
    <x v="218"/>
    <s v="Consulting, Contracting Services"/>
  </r>
  <r>
    <n v="130347"/>
    <x v="1"/>
    <x v="1379"/>
    <s v="TRAD"/>
    <s v="7094 S Revere Pkwy;Ste 100;Centennial CO 80112-4546;USA"/>
    <s v="USD"/>
    <x v="1320"/>
    <x v="10"/>
    <x v="250"/>
    <s v="HVAC Installation &amp; Service, Plumbing, Building Automation, Sheet Metal"/>
  </r>
  <r>
    <n v="151252"/>
    <x v="1"/>
    <x v="1380"/>
    <s v="TRAD"/>
    <s v="1942 LAURA RD NW;ROANOKE VA 24017-1526;USA"/>
    <s v="USD"/>
    <x v="1321"/>
    <x v="10"/>
    <x v="686"/>
    <s v="Home Renovation, Remodeling, General Contracting, Home Repair"/>
  </r>
  <r>
    <n v="143481"/>
    <x v="1"/>
    <x v="1381"/>
    <s v="TRAD"/>
    <s v="PO Box 13027;Dayton OH 45413;USA"/>
    <s v="USD"/>
    <x v="1322"/>
    <x v="3"/>
    <x v="378"/>
    <s v="Tire Sales, Tire Repair, Wheel Alignment, Fleet Tire Service"/>
  </r>
  <r>
    <n v="147695"/>
    <x v="1"/>
    <x v="1382"/>
    <s v="TRAD"/>
    <s v="700 N Pennsylvania St;Indianapolis IN 46204;USA"/>
    <s v="USD"/>
    <x v="1323"/>
    <x v="14"/>
    <x v="687"/>
    <s v="Veterans Services, Community Programs, Youth Programs, Advocacy, Patriotic Events"/>
  </r>
  <r>
    <n v="147851"/>
    <x v="1"/>
    <x v="1383"/>
    <s v="TRAD"/>
    <s v="94 Boston Hill Road;Larksville PA 18651;USA"/>
    <s v="USD"/>
    <x v="1324"/>
    <x v="20"/>
    <x v="309"/>
    <s v="Janitorial, Office Cleaning, Disinfection, Floor Care"/>
  </r>
  <r>
    <n v="129895"/>
    <x v="1"/>
    <x v="1384"/>
    <s v="TRAD"/>
    <s v="2601 Saturn St;#110;Brea CA 92821-6702;USA"/>
    <s v="USD"/>
    <x v="1325"/>
    <x v="3"/>
    <x v="688"/>
    <s v="Dry Van Trailers, Refrigerated Trailers, Flatbed, Storage Trailers"/>
  </r>
  <r>
    <n v="112233"/>
    <x v="1"/>
    <x v="1385"/>
    <s v="TRAD"/>
    <s v="40 Arlington Ave;Poughkeepsie NY 12603 1604;USA"/>
    <s v="USD"/>
    <x v="1326"/>
    <x v="30"/>
    <x v="188"/>
    <s v="Garage Door Repair, Installation, Commercial &amp; Residential Doors"/>
  </r>
  <r>
    <n v="119646"/>
    <x v="1"/>
    <x v="1386"/>
    <s v="TRAD"/>
    <s v="18526 WILD HORSE CREEK RD;WILDWOOD MO 63005-4011;USA"/>
    <s v="USD"/>
    <x v="1327"/>
    <x v="13"/>
    <x v="689"/>
    <s v="Utility Transfer, Moving Services Coordination, Change of Address, Home Services"/>
  </r>
  <r>
    <n v="118652"/>
    <x v="1"/>
    <x v="1387"/>
    <s v="TRAD"/>
    <s v="PO Box 1406;Safety Harbor FL 34695-1406;USA"/>
    <s v="USD"/>
    <x v="1328"/>
    <x v="7"/>
    <x v="690"/>
    <s v="Strategic Planning, Business Development, Marketing Consulting"/>
  </r>
  <r>
    <n v="144899"/>
    <x v="1"/>
    <x v="1388"/>
    <s v="TRAD"/>
    <s v="343 Londonberry Turnpike;Hooksett NH 03106;USA"/>
    <s v="USD"/>
    <x v="1329"/>
    <x v="3"/>
    <x v="286"/>
    <s v="Forklift Sales, Forklift Rental, Parts &amp; Service, Material Handling Equipment"/>
  </r>
  <r>
    <n v="103622"/>
    <x v="1"/>
    <x v="1389"/>
    <s v="TRAD"/>
    <s v="13961 Tucker Ave;Sylmar CA 91342 1928;USA"/>
    <s v="USD"/>
    <x v="1330"/>
    <x v="26"/>
    <x v="691"/>
    <s v="Security Systems, Alarm Installation, Video Surveillance, Access Control"/>
  </r>
  <r>
    <n v="108852"/>
    <x v="1"/>
    <x v="1390"/>
    <s v="TRAD"/>
    <s v="PO Box 933381;Cleveland OH 44193-0038;USA"/>
    <s v="USD"/>
    <x v="1331"/>
    <x v="26"/>
    <x v="454"/>
    <s v="Fire Alarms, Sprinkler Systems, Security Systems, Monitoring, Inspections"/>
  </r>
  <r>
    <n v="150803"/>
    <x v="1"/>
    <x v="1391"/>
    <s v="TRAD"/>
    <s v="472 S 7TH AVE;MOUNT VERNON NY 10550-4484;USA"/>
    <s v="USD"/>
    <x v="1332"/>
    <x v="3"/>
    <x v="518"/>
    <s v="Auto Repair, Maintenance, Diagnostics, Towing"/>
  </r>
  <r>
    <n v="151037"/>
    <x v="1"/>
    <x v="1392"/>
    <s v="TRAD"/>
    <s v="445 INDUSTRIAL BLVD;LA VERGNE TN 37086-4173;USA"/>
    <s v="USD"/>
    <x v="1333"/>
    <x v="10"/>
    <x v="283"/>
    <s v="Consulting Services"/>
  </r>
  <r>
    <n v="150416"/>
    <x v="1"/>
    <x v="1393"/>
    <s v="TRAD"/>
    <s v="736 VALLEY RD;MONTCLAIR NJ 07043-1521;USA"/>
    <s v="USD"/>
    <x v="1334"/>
    <x v="10"/>
    <x v="302"/>
    <s v="General Trade Services, Contracting"/>
  </r>
  <r>
    <n v="148190"/>
    <x v="1"/>
    <x v="1394"/>
    <s v="TRAD"/>
    <s v="507 Shenandoah Texas;Spring TX 77381;USA"/>
    <s v="USD"/>
    <x v="1335"/>
    <x v="4"/>
    <x v="660"/>
    <s v="Facility Services, Business Support"/>
  </r>
  <r>
    <n v="148041"/>
    <x v="1"/>
    <x v="1395"/>
    <s v="TRAD"/>
    <s v="PO Box 91;Fort Lupton CO 80621;USA"/>
    <s v="USD"/>
    <x v="1335"/>
    <x v="10"/>
    <x v="692"/>
    <s v="Concrete Work, Materials Hauling, Construction Services"/>
  </r>
  <r>
    <n v="130957"/>
    <x v="1"/>
    <x v="1396"/>
    <s v="TRAD"/>
    <s v="3508 Gateway Blvd E;El Paso TX 79905-1212;USA"/>
    <s v="USD"/>
    <x v="1336"/>
    <x v="4"/>
    <x v="660"/>
    <s v="General Commercial Services"/>
  </r>
  <r>
    <n v="110690"/>
    <x v="1"/>
    <x v="1397"/>
    <s v="UTIL"/>
    <s v="PO Box 7137;San Francisco CA 94120 7137;USA"/>
    <s v="USD"/>
    <x v="1337"/>
    <x v="26"/>
    <x v="693"/>
    <s v="Burglar Alarms, Fire Alarms, Video Surveillance, 24/7 Monitoring"/>
  </r>
  <r>
    <n v="114548"/>
    <x v="1"/>
    <x v="1398"/>
    <s v="TRAD"/>
    <s v="8290 Briese Lane;Pensacola FL 32514;USA"/>
    <s v="USD"/>
    <x v="1338"/>
    <x v="20"/>
    <x v="694"/>
    <s v="Lawn Mowing, Trimming, Weed Control, Fertilization"/>
  </r>
  <r>
    <n v="148569"/>
    <x v="1"/>
    <x v="1399"/>
    <s v="TRAD"/>
    <s v="Fridtjof Nansens plass 7;Oslo 0160;NOR"/>
    <s v="USD"/>
    <x v="1339"/>
    <x v="6"/>
    <x v="695"/>
    <s v="Interactive Quizzes, Corporate Training, Employee Engagement, EdTech, AI Study Tools"/>
  </r>
  <r>
    <n v="108666"/>
    <x v="1"/>
    <x v="1400"/>
    <s v="TRAD"/>
    <s v="7721 DENSMORE AVE;VAN NUYS CA 91406-1920;USA"/>
    <s v="USD"/>
    <x v="1340"/>
    <x v="10"/>
    <x v="128"/>
    <s v="Water Damage, Fire Damage, Mold Remediation, Storm Damage"/>
  </r>
  <r>
    <n v="140167"/>
    <x v="1"/>
    <x v="1401"/>
    <s v="TRAD"/>
    <s v="14017 Hatfield Road;Pearland TX 77581;USA"/>
    <s v="USD"/>
    <x v="1341"/>
    <x v="10"/>
    <x v="258"/>
    <s v="Commercial Electrical, Lighting, Installation"/>
  </r>
  <r>
    <n v="150470"/>
    <x v="1"/>
    <x v="1402"/>
    <s v="TRAD"/>
    <s v="PO BOX 95427;GRAPEVINE TX 76099-9735;USA"/>
    <s v="USD"/>
    <x v="1342"/>
    <x v="25"/>
    <x v="116"/>
    <s v="Trash Collection, Roll-Off Dumpsters, Recycling, Commercial Waste"/>
  </r>
  <r>
    <n v="131866"/>
    <x v="1"/>
    <x v="1403"/>
    <s v="TRAD"/>
    <s v="5001 ASPEN GROVE DR;STE 600;FRANKLIN TN 37067-3113;USA"/>
    <s v="USD"/>
    <x v="1343"/>
    <x v="4"/>
    <x v="696"/>
    <s v="Cooperative Purchasing, Contract Management, Procurement Solutions, Supplier Partnerships"/>
  </r>
  <r>
    <n v="144849"/>
    <x v="1"/>
    <x v="1404"/>
    <s v="TRAD"/>
    <s v="PO Box 660367;Mail Code 5160;Dallas TX 75266;USA"/>
    <s v="USD"/>
    <x v="1344"/>
    <x v="6"/>
    <x v="697"/>
    <s v="Job Posting, Resume Search, Employer Branding, Sponsored Jobs, Hiring Solutions"/>
  </r>
  <r>
    <n v="150868"/>
    <x v="1"/>
    <x v="1405"/>
    <s v="TRAD"/>
    <s v="15 COMMERCE DR;STE 102B;GRAYSLAKE IL 60030-7807;USA"/>
    <s v="USD"/>
    <x v="1345"/>
    <x v="4"/>
    <x v="660"/>
    <s v="Facility Services, Maintenance, Repair"/>
  </r>
  <r>
    <n v="150020"/>
    <x v="1"/>
    <x v="1406"/>
    <s v="TRAD"/>
    <s v="129 Lupine Dr;Stafford VA 22556;USA"/>
    <s v="USD"/>
    <x v="1346"/>
    <x v="9"/>
    <x v="698"/>
    <s v="Property Listings, Home Sales, Rental Listings, Military Relocation"/>
  </r>
  <r>
    <n v="151802"/>
    <x v="1"/>
    <x v="1407"/>
    <s v="TRAD"/>
    <s v="403 SHORE ACRES DR;UTICA IN 47130-9469;USA"/>
    <s v="USD"/>
    <x v="1346"/>
    <x v="10"/>
    <x v="283"/>
    <s v="Consulting Services"/>
  </r>
  <r>
    <n v="150156"/>
    <x v="1"/>
    <x v="1408"/>
    <s v="TRAD"/>
    <s v="14 Gettysburg Drive;Voorhees NJ 08043;USA"/>
    <s v="USD"/>
    <x v="1346"/>
    <x v="10"/>
    <x v="528"/>
    <s v="Professional Services"/>
  </r>
  <r>
    <n v="152296"/>
    <x v="1"/>
    <x v="1409"/>
    <s v="TRAD"/>
    <s v="3750 CENTERVIEW DR;CHANTILLY VA 20151-3200;USA"/>
    <s v="USD"/>
    <x v="1346"/>
    <x v="6"/>
    <x v="41"/>
    <s v="Technology Solutions, IT Support, Systems Integration"/>
  </r>
  <r>
    <n v="149688"/>
    <x v="1"/>
    <x v="1410"/>
    <s v="TRAD"/>
    <s v="2 Batterymarch Park, Suite 202;Quincy MA 02169;USA"/>
    <s v="USD"/>
    <x v="1346"/>
    <x v="12"/>
    <x v="260"/>
    <s v="Insurance Defense, Personal Injury, Workers' Comp, General Liability"/>
  </r>
  <r>
    <n v="151068"/>
    <x v="1"/>
    <x v="1411"/>
    <s v="TRAD"/>
    <s v="PO BOX 12647;SAINT PETERSBURG FL 33733-2647;USA"/>
    <s v="USD"/>
    <x v="1346"/>
    <x v="22"/>
    <x v="699"/>
    <s v="Pride Events, Community Outreach, Advocacy, Education"/>
  </r>
  <r>
    <n v="152053"/>
    <x v="1"/>
    <x v="1412"/>
    <s v="TRAD"/>
    <s v="270 PEACHTREE ST NW;STE 1300;ATLANTA GA 30303-1283;USA"/>
    <s v="USD"/>
    <x v="1346"/>
    <x v="14"/>
    <x v="665"/>
    <s v="Health Research, Cancer Support, Fundraising"/>
  </r>
  <r>
    <n v="152124"/>
    <x v="1"/>
    <x v="1413"/>
    <s v="TRAD"/>
    <s v="Susan Nehnevajsa;1016 PASTURE DR;BADEN PA 15005-2720;USA"/>
    <s v="USD"/>
    <x v="1346"/>
    <x v="7"/>
    <x v="218"/>
    <s v="Consulting, Contracting Services"/>
  </r>
  <r>
    <n v="149164"/>
    <x v="1"/>
    <x v="1414"/>
    <s v="TRAD"/>
    <s v="4137 Carmichael Rd Ste 110;Montgomery AL 36106;USA"/>
    <s v="USD"/>
    <x v="1347"/>
    <x v="20"/>
    <x v="349"/>
    <s v="Residential Cleaning, Commercial Cleaning, Janitorial"/>
  </r>
  <r>
    <n v="151099"/>
    <x v="1"/>
    <x v="1415"/>
    <s v="TRAD"/>
    <s v="300 PEACHTREE ST NE;ATLANTA GA 30308-3523;USA"/>
    <s v="USD"/>
    <x v="1348"/>
    <x v="10"/>
    <x v="700"/>
    <s v="Interior/Exterior Painting, Commercial Painting, Design"/>
  </r>
  <r>
    <n v="151625"/>
    <x v="1"/>
    <x v="1416"/>
    <s v="LEGAL"/>
    <s v="1039 BENNINGTON ST;APT B;UPLAND CA 91786-6312;USA"/>
    <s v="USD"/>
    <x v="1349"/>
    <x v="12"/>
    <x v="327"/>
    <s v="Attorney, Legal Counsel"/>
  </r>
  <r>
    <n v="144934"/>
    <x v="1"/>
    <x v="1417"/>
    <s v="TRAD"/>
    <s v="13720 East 42nd Terrace South;Independence MO 64055;USA"/>
    <s v="USD"/>
    <x v="1350"/>
    <x v="3"/>
    <x v="701"/>
    <s v="Vehicle Maintenance, Fleet Analytics, Remarketing, Titling"/>
  </r>
  <r>
    <n v="150368"/>
    <x v="1"/>
    <x v="1418"/>
    <s v="TRAD"/>
    <s v="1 MASSACHUSETTS AVE NW;WASHINGTON DC 20001-1401;USA"/>
    <s v="USD"/>
    <x v="1351"/>
    <x v="14"/>
    <x v="702"/>
    <s v="Lobbying, Member Benefits, Professional Development, Conferences"/>
  </r>
  <r>
    <n v="100321"/>
    <x v="1"/>
    <x v="548"/>
    <s v="TRAD"/>
    <s v="12579 49 TH ST N. CLWR. FL;Clearwater FL 33762;USA"/>
    <s v="USD"/>
    <x v="1352"/>
    <x v="11"/>
    <x v="269"/>
    <s v="Safety Products, Fasteners, Power Tools, Lighting, Material Handling, Electrical Supplies"/>
  </r>
  <r>
    <n v="114140"/>
    <x v="1"/>
    <x v="1419"/>
    <s v="LEGAL"/>
    <s v="16255 Ventura Blvd. ;Suite 940;Encino CA 91436;USA"/>
    <s v="USD"/>
    <x v="1353"/>
    <x v="12"/>
    <x v="327"/>
    <s v="Legal Counsel, Business Law, Litigation"/>
  </r>
  <r>
    <n v="149431"/>
    <x v="1"/>
    <x v="1420"/>
    <s v="TRAD"/>
    <s v="10 Bushes Lane;Elmwood Park NJ 07407;USA"/>
    <s v="USD"/>
    <x v="1354"/>
    <x v="30"/>
    <x v="346"/>
    <s v="Overhead Doors, Rolling Doors, Installation &amp; Repair"/>
  </r>
  <r>
    <n v="101737"/>
    <x v="1"/>
    <x v="1421"/>
    <s v="TRAD"/>
    <s v="50 S Pickett St;Ste 220;Alexandria VA 22304 7206;USA"/>
    <s v="USD"/>
    <x v="1355"/>
    <x v="2"/>
    <x v="703"/>
    <s v="Education, Conferences, Networking, Professional Development, Advocacy"/>
  </r>
  <r>
    <n v="146584"/>
    <x v="1"/>
    <x v="1422"/>
    <s v="TRAD"/>
    <s v="10114 Thermon Street;Houston TX 77075;USA"/>
    <s v="USD"/>
    <x v="1356"/>
    <x v="19"/>
    <x v="704"/>
    <s v="Electric Service, Natural Gas, Energy Delivery"/>
  </r>
  <r>
    <n v="149947"/>
    <x v="1"/>
    <x v="1423"/>
    <s v="TRAD"/>
    <s v="2151 Nazareth Church Rd;Spartanburg SC 29301;USA"/>
    <s v="USD"/>
    <x v="1357"/>
    <x v="10"/>
    <x v="258"/>
    <s v="Commercial Electrical, Industrial Wiring, Electrical Repair, Panel Upgrades"/>
  </r>
  <r>
    <n v="146633"/>
    <x v="1"/>
    <x v="1424"/>
    <s v="TRAD"/>
    <s v="2118 Highway 90;Bay Saint Louis MS 39520;USA"/>
    <s v="USD"/>
    <x v="1358"/>
    <x v="25"/>
    <x v="116"/>
    <s v="Trash Hauling, Roll-Off Dumpsters, Recycling, Debris Removal"/>
  </r>
  <r>
    <n v="150318"/>
    <x v="1"/>
    <x v="1425"/>
    <s v="TRAD"/>
    <s v="1040 INDUSTRIAL PKWY N;BRUNSWICK OH 44212-4318;USA"/>
    <s v="USD"/>
    <x v="1359"/>
    <x v="11"/>
    <x v="37"/>
    <s v="Forklift Sales &amp; Service, Parts, Rental, Warehouse Solutions"/>
  </r>
  <r>
    <n v="111801"/>
    <x v="1"/>
    <x v="1426"/>
    <s v="TRAD"/>
    <s v="DCA BFCE-DORES;PO Box 663;Trenton NJ 08646;USA"/>
    <s v="USD"/>
    <x v="1360"/>
    <x v="14"/>
    <x v="705"/>
    <s v="Licensing, Regulatory Compliance, Inspections, Permits, Government Services"/>
  </r>
  <r>
    <s v="000579"/>
    <x v="1"/>
    <x v="1427"/>
    <s v="TRAD"/>
    <s v="PO BOX 1240 STN MAIN;VERNON BC V1T 6N6;CAN"/>
    <s v="CAD"/>
    <x v="1361"/>
    <x v="3"/>
    <x v="378"/>
    <s v="Tire Installation, Wheel Alignment, Brake Service, Auto Repair, Fleet Tire Programs"/>
  </r>
  <r>
    <n v="120794"/>
    <x v="1"/>
    <x v="1428"/>
    <s v="TRAD"/>
    <s v="4727 Alexander Ln;Dallas TX 75247-6501;USA"/>
    <s v="USD"/>
    <x v="1362"/>
    <x v="20"/>
    <x v="706"/>
    <s v="Janitorial, Office Cleaning, Floor Maintenance, Facility Services"/>
  </r>
  <r>
    <n v="110636"/>
    <x v="1"/>
    <x v="1429"/>
    <s v="RENT"/>
    <s v="6597 S Transit Rd;Lockport NY 14094 6341;USA"/>
    <s v="USD"/>
    <x v="1363"/>
    <x v="8"/>
    <x v="28"/>
    <s v="Retail Real Estate, Shopping Plaza"/>
  </r>
  <r>
    <n v="102665"/>
    <x v="1"/>
    <x v="1430"/>
    <s v="RENT"/>
    <s v="3775 Highway 79 S;Paris TN 38242 6182;USA"/>
    <s v="USD"/>
    <x v="1363"/>
    <x v="17"/>
    <x v="283"/>
    <s v="Consulting Services"/>
  </r>
  <r>
    <n v="117331"/>
    <x v="1"/>
    <x v="1431"/>
    <s v="TRAD"/>
    <s v="39 County Road 916;Anna TX 75409-4490;USA"/>
    <s v="USD"/>
    <x v="1363"/>
    <x v="7"/>
    <x v="218"/>
    <s v="Consulting, Contracting Services"/>
  </r>
  <r>
    <n v="131039"/>
    <x v="1"/>
    <x v="1432"/>
    <s v="TRAD"/>
    <s v="736 City Center Blvd Suite B;Newport News VA 23606-3087;USA"/>
    <s v="USD"/>
    <x v="1363"/>
    <x v="20"/>
    <x v="627"/>
    <s v="House Cleaning, Deep Cleaning, Move-In/Out Cleaning, Recurring Service"/>
  </r>
  <r>
    <n v="103593"/>
    <x v="1"/>
    <x v="1433"/>
    <s v="TRAD"/>
    <s v="PO Box 1663;Bastrop TX 78602;USA"/>
    <s v="USD"/>
    <x v="1364"/>
    <x v="7"/>
    <x v="218"/>
    <s v="Consulting, Contracting Services"/>
  </r>
  <r>
    <n v="140272"/>
    <x v="1"/>
    <x v="1434"/>
    <s v="TRAD"/>
    <s v="627 Route 68;New Brighton PA 15066;USA"/>
    <s v="USD"/>
    <x v="1365"/>
    <x v="10"/>
    <x v="707"/>
    <s v="Custom Fabrication, Metal Work, Structural Welding"/>
  </r>
  <r>
    <n v="120982"/>
    <x v="1"/>
    <x v="1435"/>
    <s v="TRAD"/>
    <s v="PO Box 180;Shady Side MD 20764-0180;USA"/>
    <s v="USD"/>
    <x v="1366"/>
    <x v="20"/>
    <x v="708"/>
    <s v="Fleet Washing, Truck Washing, Pressure Washing, Mobile Cleaning"/>
  </r>
  <r>
    <n v="100790"/>
    <x v="1"/>
    <x v="1436"/>
    <s v="COMM"/>
    <s v="Att: Account Payable 40 Apple Ridge Rd;Danbury CT 06810 7301;USA"/>
    <s v="USD"/>
    <x v="1367"/>
    <x v="8"/>
    <x v="28"/>
    <s v="Real Estate, Property Management"/>
  </r>
  <r>
    <n v="130333"/>
    <x v="1"/>
    <x v="1437"/>
    <s v="TRAD"/>
    <s v="PO BOX 11407;Dept #6574;BIRMINGHAM AL 35246-3035;USA"/>
    <s v="USD"/>
    <x v="1368"/>
    <x v="20"/>
    <x v="709"/>
    <s v="Floor Sweepers, Floor Scrubbers, Equipment Sales, Rentals, Parts &amp; Service"/>
  </r>
  <r>
    <n v="128023"/>
    <x v="1"/>
    <x v="1438"/>
    <s v="TRAD"/>
    <s v="5155 Financial Way;Ste 13;Mason OH 45040-7507;USA"/>
    <s v="USD"/>
    <x v="1369"/>
    <x v="11"/>
    <x v="37"/>
    <s v="Forklift Sales &amp; Service, Aerial Lifts, Parts, Equipment Rental"/>
  </r>
  <r>
    <n v="146075"/>
    <x v="1"/>
    <x v="1439"/>
    <s v="TRAD"/>
    <s v="1148 Carla Drive;Cantonment FL 32533;USA"/>
    <s v="USD"/>
    <x v="1370"/>
    <x v="20"/>
    <x v="309"/>
    <s v="Janitorial Services, Disinfecting, Facility Maintenance"/>
  </r>
  <r>
    <n v="118980"/>
    <x v="1"/>
    <x v="1440"/>
    <s v="TRAD"/>
    <s v="215 West Dr;Melbourne FL 32904-1043;USA"/>
    <s v="USD"/>
    <x v="1371"/>
    <x v="26"/>
    <x v="710"/>
    <s v="Alarm Monitoring, Installation, Security Services"/>
  </r>
  <r>
    <n v="141221"/>
    <x v="1"/>
    <x v="1441"/>
    <s v="TRAD"/>
    <s v="PO Box 979;Waller TX 77484;USA"/>
    <s v="USD"/>
    <x v="1372"/>
    <x v="10"/>
    <x v="711"/>
    <s v="Soil Stabilization, Silt Fencing, Stormwater Management"/>
  </r>
  <r>
    <n v="117283"/>
    <x v="1"/>
    <x v="1442"/>
    <s v="UTIL"/>
    <s v="19 Harrison St;Sussex NJ 07461-2119;USA"/>
    <s v="USD"/>
    <x v="1373"/>
    <x v="19"/>
    <x v="475"/>
    <s v="Property Maintenance, Utility Support"/>
  </r>
  <r>
    <n v="151169"/>
    <x v="1"/>
    <x v="1443"/>
    <s v="TRAD"/>
    <s v="811 KENMARA DR;WEST CHESTER PA 19380-2019;USA"/>
    <s v="USD"/>
    <x v="1374"/>
    <x v="24"/>
    <x v="115"/>
    <s v="Landscape Design, Hardscaping, Lawn Maintenance"/>
  </r>
  <r>
    <n v="122058"/>
    <x v="1"/>
    <x v="1444"/>
    <s v="TRAD"/>
    <s v="2021 S Grand St;Seattle WA 98144-4526;USA"/>
    <s v="USD"/>
    <x v="1375"/>
    <x v="30"/>
    <x v="346"/>
    <s v="Overhead Doors, Dock Equipment, Installation &amp; Repair"/>
  </r>
  <r>
    <n v="150644"/>
    <x v="1"/>
    <x v="1445"/>
    <s v="TRAD"/>
    <s v="PO BOX 530801;DEBARY FL 32753-0801;USA"/>
    <s v="USD"/>
    <x v="1376"/>
    <x v="20"/>
    <x v="712"/>
    <s v="Pressure Washing, Soft Washing, Roof Cleaning, Exterior Restoration"/>
  </r>
  <r>
    <n v="112751"/>
    <x v="1"/>
    <x v="1446"/>
    <s v="TRAD"/>
    <s v="314 Bradley Bend Dr;Moncks Corner SC 29461;USA"/>
    <s v="USD"/>
    <x v="1377"/>
    <x v="7"/>
    <x v="218"/>
    <s v="Consulting, Contracting Services"/>
  </r>
  <r>
    <n v="113543"/>
    <x v="1"/>
    <x v="1447"/>
    <s v="TRAD"/>
    <s v="40 Dolson Pl;Staten Island NY 10303-1402;USA"/>
    <s v="USD"/>
    <x v="1378"/>
    <x v="30"/>
    <x v="346"/>
    <s v="Industrial Doors, Fire-Rated Doors, Door Installation, Maintenance"/>
  </r>
  <r>
    <n v="145189"/>
    <x v="1"/>
    <x v="1448"/>
    <s v="TRAD"/>
    <s v="23 Oregon Road;Ludlow MA 01056;USA"/>
    <s v="USD"/>
    <x v="1379"/>
    <x v="16"/>
    <x v="673"/>
    <s v="Plumbing Repair, Heating Systems, HVAC, Installation"/>
  </r>
  <r>
    <n v="146008"/>
    <x v="1"/>
    <x v="1449"/>
    <s v="TRAD"/>
    <s v="PO Box 5505;Carol Stream IL 60197;USA"/>
    <s v="USD"/>
    <x v="1380"/>
    <x v="4"/>
    <x v="713"/>
    <s v="Debt Recovery, Account Receivable Management, Skip Tracing, Medical Collections, Legal Collections"/>
  </r>
  <r>
    <n v="124178"/>
    <x v="1"/>
    <x v="1450"/>
    <s v="UTIL"/>
    <s v="PO Box 12124;Fresno CA 93776-2124;USA"/>
    <s v="USD"/>
    <x v="1381"/>
    <x v="19"/>
    <x v="299"/>
    <s v="Propane Delivery, Tank Installation, Heating, Commercial Propane"/>
  </r>
  <r>
    <n v="132369"/>
    <x v="1"/>
    <x v="1451"/>
    <s v="TRAD"/>
    <s v="PO Box 8724;Carol Stream IL 60197-8724;USA"/>
    <s v="USD"/>
    <x v="1382"/>
    <x v="32"/>
    <x v="714"/>
    <s v="Battery Cables, Booster Cables, Electrical Connectors, Terminals, Wire Products"/>
  </r>
  <r>
    <n v="131816"/>
    <x v="1"/>
    <x v="1452"/>
    <s v="TRAD"/>
    <s v="PO Box 855227;Minneapolis MN 55485;USA"/>
    <s v="USD"/>
    <x v="1383"/>
    <x v="26"/>
    <x v="715"/>
    <s v="Fire Sprinklers, Fire Alarms, Security Systems, Monitoring, Inspections, Suppression"/>
  </r>
  <r>
    <n v="146918"/>
    <x v="1"/>
    <x v="1453"/>
    <s v="TRAD"/>
    <s v="354 Azalea Xing;Dallas GA 30132;USA"/>
    <s v="USD"/>
    <x v="1384"/>
    <x v="25"/>
    <x v="116"/>
    <s v="Roll-Off Dumpsters, Waste Hauling, Debris Removal"/>
  </r>
  <r>
    <n v="103663"/>
    <x v="1"/>
    <x v="1454"/>
    <s v="TRAD"/>
    <s v="801 US Highway 1;North Palm Beach FL 33408-3811;USA"/>
    <s v="USD"/>
    <x v="1385"/>
    <x v="4"/>
    <x v="716"/>
    <s v="Corporate Formation, Compliance, Registered Agent Services"/>
  </r>
  <r>
    <n v="145087"/>
    <x v="1"/>
    <x v="1455"/>
    <s v="TRAD"/>
    <s v="PO Box 18798;Hattiesburg MS 39404;USA"/>
    <s v="USD"/>
    <x v="1386"/>
    <x v="17"/>
    <x v="516"/>
    <s v="Portable Toilets, Septic Services, Waste Management, Event Sanitation"/>
  </r>
  <r>
    <n v="130726"/>
    <x v="1"/>
    <x v="1456"/>
    <s v="TRAD"/>
    <s v="PO Box 31000;Honolulu HI 96849-0001;USA"/>
    <s v="USD"/>
    <x v="1387"/>
    <x v="5"/>
    <x v="51"/>
    <s v="Life Insurance, Disability, Dental, Vision, Supplemental Health, Employee Benefits"/>
  </r>
  <r>
    <n v="149426"/>
    <x v="1"/>
    <x v="1457"/>
    <s v="TRAD"/>
    <s v="4906 NW 56TH TERR;Ocala FL 34482;USA"/>
    <s v="USD"/>
    <x v="1388"/>
    <x v="30"/>
    <x v="717"/>
    <s v="Garage Door Repair, Installation, Opener Service, Maintenance"/>
  </r>
  <r>
    <n v="151642"/>
    <x v="1"/>
    <x v="1458"/>
    <s v="LEGAL"/>
    <s v="400 N BRAND BLVD;STE. 700;GLENDALE CA 91203-2311;USA"/>
    <s v="USD"/>
    <x v="1389"/>
    <x v="15"/>
    <x v="718"/>
    <s v="Labor Law, Employment Litigation, Workplace Compliance, HR Consulting"/>
  </r>
  <r>
    <n v="151560"/>
    <x v="1"/>
    <x v="1459"/>
    <s v="TRAD"/>
    <s v="3614 32ND ST;LONG ISLAND CITY NY 11106-2325;USA"/>
    <s v="USD"/>
    <x v="1390"/>
    <x v="10"/>
    <x v="250"/>
    <s v="HVAC, Plumbing, Mechanical Systems"/>
  </r>
  <r>
    <n v="150462"/>
    <x v="1"/>
    <x v="1460"/>
    <s v="TRAD"/>
    <s v="150 BRADLEY ST;EAST HAVEN CT 06512-1407;USA"/>
    <s v="USD"/>
    <x v="1391"/>
    <x v="10"/>
    <x v="44"/>
    <s v="Construction, Maintenance, Building Services"/>
  </r>
  <r>
    <n v="145627"/>
    <x v="1"/>
    <x v="1461"/>
    <s v="TRAD"/>
    <s v="PO Box 8245;Montgomery AL 36110;USA"/>
    <s v="USD"/>
    <x v="1391"/>
    <x v="20"/>
    <x v="719"/>
    <s v="Lawn Care, Landscaping, Property Maintenance, Irrigation, Seasonal Cleanup"/>
  </r>
  <r>
    <n v="130556"/>
    <x v="1"/>
    <x v="1462"/>
    <s v="TRAD"/>
    <s v="PO Box 1666;Florence MS 39073-1666;USA"/>
    <s v="USD"/>
    <x v="1391"/>
    <x v="24"/>
    <x v="435"/>
    <s v="Lawn Mowing, Landscaping, Seasonal Cleanup, Grounds Maintenance"/>
  </r>
  <r>
    <n v="151026"/>
    <x v="1"/>
    <x v="1463"/>
    <s v="TRAD"/>
    <s v="2999 DOUGLAS BLVD;Ste 180;ROSEVILLE CA 95661-3840;USA"/>
    <s v="USD"/>
    <x v="1391"/>
    <x v="12"/>
    <x v="327"/>
    <s v="Legal Counsel, Business Law, Litigation"/>
  </r>
  <r>
    <n v="113244"/>
    <x v="1"/>
    <x v="1464"/>
    <s v="RENT"/>
    <s v="PO Box 2725;McDonough GA 30253-1741;USA"/>
    <s v="USD"/>
    <x v="1391"/>
    <x v="4"/>
    <x v="720"/>
    <s v="Pulpwood Harvesting, Land Clearing, Timber Sales"/>
  </r>
  <r>
    <n v="130259"/>
    <x v="1"/>
    <x v="1465"/>
    <s v="TRAD"/>
    <s v="PO Box 31763;El Paso TX 79931-0763;USA"/>
    <s v="USD"/>
    <x v="1392"/>
    <x v="16"/>
    <x v="104"/>
    <s v="Walk-In Coolers/Freezers, Refrigeration Repair, HVAC, Ice Machines"/>
  </r>
  <r>
    <n v="104637"/>
    <x v="1"/>
    <x v="1466"/>
    <s v="TRAD"/>
    <s v="15768 Collections Center Dr;Chicago IL 60693;USA"/>
    <s v="USD"/>
    <x v="1393"/>
    <x v="11"/>
    <x v="721"/>
    <s v="Air Compressors, Power Tools, Pumps, Material Handling, Climate Control Equipment"/>
  </r>
  <r>
    <n v="105583"/>
    <x v="1"/>
    <x v="1467"/>
    <s v="TRAD"/>
    <s v="1824 Route 38;Lumberton NJ 08048 4255;USA"/>
    <s v="USD"/>
    <x v="1394"/>
    <x v="3"/>
    <x v="722"/>
    <s v="Truck Leasing, Rental, Fleet Maintenance, Full-Service Leasing"/>
  </r>
  <r>
    <n v="151790"/>
    <x v="1"/>
    <x v="1468"/>
    <s v="TRAD"/>
    <s v="2682 OLD US 52 S;PILOT MOUNTAIN NC 27041-7109;USA"/>
    <s v="USD"/>
    <x v="1395"/>
    <x v="8"/>
    <x v="28"/>
    <s v="Real Estate, Property Management"/>
  </r>
  <r>
    <n v="146079"/>
    <x v="1"/>
    <x v="1469"/>
    <s v="TRAD"/>
    <s v="29219 Hay Meadow Court;Waller TX 77484;USA"/>
    <s v="USD"/>
    <x v="1396"/>
    <x v="10"/>
    <x v="487"/>
    <s v="Interior Painting, Exterior Painting, Residential, Commercial, Cabinet Refinishing"/>
  </r>
  <r>
    <n v="110984"/>
    <x v="1"/>
    <x v="1470"/>
    <s v="TRAD"/>
    <s v="9824 Franklin Ave;Franklin Park IL 60131 1913;USA"/>
    <s v="USD"/>
    <x v="1397"/>
    <x v="10"/>
    <x v="723"/>
    <s v="Custom Fabrication, Structural Steel, Welding, Metal Repair, Industrial Welding"/>
  </r>
  <r>
    <n v="146364"/>
    <x v="1"/>
    <x v="1471"/>
    <s v="TRAD"/>
    <s v="1225 Early Drive;Winchester KY 40391;USA"/>
    <s v="USD"/>
    <x v="1398"/>
    <x v="19"/>
    <x v="383"/>
    <s v="Fuel Supply, Gasoline, Diesel, Lubricants, Bulk Delivery"/>
  </r>
  <r>
    <n v="102925"/>
    <x v="1"/>
    <x v="1472"/>
    <s v="LEGAL"/>
    <s v="10 W Market St;Ste 1400;Indianapolis IN 46204-2954;USA"/>
    <s v="USD"/>
    <x v="1399"/>
    <x v="2"/>
    <x v="724"/>
    <s v="Transportation Law, Regulatory Compliance, Freight Litigation, Employment Law"/>
  </r>
  <r>
    <n v="106454"/>
    <x v="1"/>
    <x v="1473"/>
    <s v="TRAD"/>
    <s v="9900 Millard Rd;Trotwood OH 45426-4339;USA"/>
    <s v="USD"/>
    <x v="1400"/>
    <x v="6"/>
    <x v="291"/>
    <s v="Content Marketing, Video Production, Creative Services"/>
  </r>
  <r>
    <n v="148530"/>
    <x v="1"/>
    <x v="1474"/>
    <s v="TRAD"/>
    <s v="2807 Lake Cohoon Pt;Suffolk VA 23434;USA"/>
    <s v="USD"/>
    <x v="1401"/>
    <x v="24"/>
    <x v="638"/>
    <s v="Mowing, Edging, Landscaping, Yard Maintenance"/>
  </r>
  <r>
    <n v="150216"/>
    <x v="1"/>
    <x v="1475"/>
    <s v="TRAD"/>
    <s v="2533 SW 10th Ave;Cape Coral FL 33914;USA"/>
    <s v="USD"/>
    <x v="1402"/>
    <x v="10"/>
    <x v="528"/>
    <s v="Professional Services"/>
  </r>
  <r>
    <n v="146400"/>
    <x v="1"/>
    <x v="1476"/>
    <s v="TRAD"/>
    <s v="726 East Sprucewood Circle;PARK CITY KS 67147;USA"/>
    <s v="USD"/>
    <x v="1403"/>
    <x v="24"/>
    <x v="435"/>
    <s v="Lawn Mowing, Landscaping, Yard Maintenance"/>
  </r>
  <r>
    <n v="146484"/>
    <x v="1"/>
    <x v="1477"/>
    <s v="TRAD"/>
    <s v="201 MERRITT 7;NORWALK CT 06851-1056;USA"/>
    <s v="USD"/>
    <x v="1404"/>
    <x v="0"/>
    <x v="725"/>
    <s v="Printer Leasing, Copier Leasing, Document Management, Managed Print Services"/>
  </r>
  <r>
    <s v="000634"/>
    <x v="1"/>
    <x v="1478"/>
    <s v="TRAD"/>
    <s v="Box 3500;RPO Streetsville;Mississauga ON L5M 0S8;CAN"/>
    <s v="CAD"/>
    <x v="1405"/>
    <x v="2"/>
    <x v="176"/>
    <s v="Shipping Supplies, Boxes, Packaging, Janitorial, Safety, Warehouse, Industrial Products"/>
  </r>
  <r>
    <n v="100187"/>
    <x v="1"/>
    <x v="1479"/>
    <s v="TRAD"/>
    <s v="PO Box 17357;Clearwater FL 33762 0357;USA"/>
    <s v="USD"/>
    <x v="1406"/>
    <x v="19"/>
    <x v="383"/>
    <s v="Fuel Delivery, Diesel, Gasoline, Lubricants"/>
  </r>
  <r>
    <n v="142438"/>
    <x v="1"/>
    <x v="1480"/>
    <s v="TRAD"/>
    <s v="164 Chestnut Street;Avenel NJ 07001;USA"/>
    <s v="USD"/>
    <x v="1407"/>
    <x v="20"/>
    <x v="309"/>
    <s v="Janitorial, Office Cleaning, Floor Care, Post-Construction Cleaning"/>
  </r>
  <r>
    <n v="146452"/>
    <x v="1"/>
    <x v="1481"/>
    <s v="TRAD"/>
    <s v="15 Derry St.;Hudson NH 03051;USA"/>
    <s v="USD"/>
    <x v="1408"/>
    <x v="18"/>
    <x v="152"/>
    <s v="Internet, Voice, Network Services, Cloud Solutions"/>
  </r>
  <r>
    <n v="116675"/>
    <x v="1"/>
    <x v="1482"/>
    <s v="RENT"/>
    <s v="dba Cozart Rental;PO Box 613;Abingdon VA 24212;USA"/>
    <s v="USD"/>
    <x v="1409"/>
    <x v="34"/>
    <x v="726"/>
    <s v="Equipment Rental, Property Lease"/>
  </r>
  <r>
    <n v="151188"/>
    <x v="1"/>
    <x v="1483"/>
    <s v="TRAD"/>
    <s v="602 N 17TH ST;COPPERAS COVE TX 76522-1513;USA"/>
    <s v="USD"/>
    <x v="1409"/>
    <x v="10"/>
    <x v="69"/>
    <s v="Professional Services"/>
  </r>
  <r>
    <n v="116654"/>
    <x v="1"/>
    <x v="1484"/>
    <s v="RENT"/>
    <s v="PO Box 613;Abingdon VA 24212-0613;USA"/>
    <s v="USD"/>
    <x v="1409"/>
    <x v="8"/>
    <x v="28"/>
    <s v="Real Estate, Warehouse/Storage Space"/>
  </r>
  <r>
    <n v="129297"/>
    <x v="1"/>
    <x v="1485"/>
    <s v="RENT"/>
    <s v="430 Warfield Blvd;Clarksville TN 37043-6071;USA"/>
    <s v="USD"/>
    <x v="1409"/>
    <x v="17"/>
    <x v="175"/>
    <s v="IT Staffing, Finance &amp; Accounting, HR, Healthcare Staffing"/>
  </r>
  <r>
    <n v="150790"/>
    <x v="1"/>
    <x v="1486"/>
    <s v="TRAD"/>
    <s v="8724 FM 1585;WOLFFORTH TX 79382-7064;USA"/>
    <s v="USD"/>
    <x v="1410"/>
    <x v="10"/>
    <x v="258"/>
    <s v="Commercial Electrical, Residential Wiring, Lighting Installation"/>
  </r>
  <r>
    <n v="132180"/>
    <x v="1"/>
    <x v="1487"/>
    <s v="TRAD"/>
    <s v="21 Little Falls Ln;Rockville VA 23146-2124;USA"/>
    <s v="USD"/>
    <x v="1411"/>
    <x v="4"/>
    <x v="660"/>
    <s v="General Services, Commercial Operations"/>
  </r>
  <r>
    <n v="122613"/>
    <x v="1"/>
    <x v="1488"/>
    <s v="TRAD"/>
    <s v="PO Box 554;Farwell TX 79325-0554;USA"/>
    <s v="USD"/>
    <x v="1412"/>
    <x v="20"/>
    <x v="309"/>
    <s v="Janitorial Services, Office Cleaning, Facility Maintenance"/>
  </r>
  <r>
    <n v="145349"/>
    <x v="1"/>
    <x v="1489"/>
    <s v="TRAD"/>
    <s v="PO Box 509;Piedmont SC 29673;USA"/>
    <s v="USD"/>
    <x v="1413"/>
    <x v="24"/>
    <x v="115"/>
    <s v="Commercial Landscaping, Lawn Maintenance, Grounds Care"/>
  </r>
  <r>
    <n v="119748"/>
    <x v="1"/>
    <x v="1490"/>
    <s v="TRAD"/>
    <s v="8220 N Interstate Ave;Portland OR 97217-6635;USA"/>
    <s v="USD"/>
    <x v="1414"/>
    <x v="26"/>
    <x v="693"/>
    <s v="Verified Audio Detection, Video Surveillance, Access Control, Fire Alarms, Managed Security"/>
  </r>
  <r>
    <n v="149620"/>
    <x v="1"/>
    <x v="1491"/>
    <s v="TRAD"/>
    <s v="Dept. CH 17275;Palatine IL 60055;USA"/>
    <s v="USD"/>
    <x v="1415"/>
    <x v="6"/>
    <x v="727"/>
    <s v="Social Publishing, Analytics, Engagement, Listening, Employee Advocacy, Influencer Marketing"/>
  </r>
  <r>
    <n v="127763"/>
    <x v="1"/>
    <x v="1492"/>
    <s v="TRAD"/>
    <s v="PO Box 831214;San Antonio TX 78283-1214;USA"/>
    <s v="USD"/>
    <x v="1416"/>
    <x v="3"/>
    <x v="728"/>
    <s v="Tire Repair, Towing, Emergency Road Service, Truck Repair"/>
  </r>
  <r>
    <n v="130104"/>
    <x v="1"/>
    <x v="1493"/>
    <s v="TRAD"/>
    <s v="214 27th St;Sacramento CA 95816-3201;USA"/>
    <s v="USD"/>
    <x v="1417"/>
    <x v="15"/>
    <x v="729"/>
    <s v="Employment Verification, Background Checks, Drug Testing, Compliance"/>
  </r>
  <r>
    <n v="141974"/>
    <x v="1"/>
    <x v="1494"/>
    <s v="TRAD"/>
    <s v="PO Box 5629;Florence SC 29502;USA"/>
    <s v="USD"/>
    <x v="1418"/>
    <x v="19"/>
    <x v="730"/>
    <s v="Fuel Distribution, Lubricants, Bulk Oil"/>
  </r>
  <r>
    <n v="123592"/>
    <x v="1"/>
    <x v="1495"/>
    <s v="TRAD"/>
    <s v="2820 Ackley Ave;Richmond VA 23228-2146;USA"/>
    <s v="USD"/>
    <x v="1419"/>
    <x v="10"/>
    <x v="731"/>
    <s v="HVAC, Plumbing, Refrigeration, Water Treatment, Building Automation"/>
  </r>
  <r>
    <n v="148434"/>
    <x v="1"/>
    <x v="1496"/>
    <s v="TRAD"/>
    <s v="7605 Rohuna Dr;New Port Richey FL 34653;USA"/>
    <s v="USD"/>
    <x v="1420"/>
    <x v="10"/>
    <x v="528"/>
    <s v="Professional Services"/>
  </r>
  <r>
    <n v="146764"/>
    <x v="1"/>
    <x v="1497"/>
    <s v="TRAD"/>
    <s v="9605 Scranton Road;Suite 650;San Diego CA 92121;USA"/>
    <s v="USD"/>
    <x v="1421"/>
    <x v="14"/>
    <x v="732"/>
    <s v="Military Discounts, First Responder Discounts, Government Employee Deals, eCommerce"/>
  </r>
  <r>
    <n v="146708"/>
    <x v="1"/>
    <x v="1498"/>
    <s v="TRAD"/>
    <s v="7352 Berkshire Downs Drive;Raleigh NC 27616;USA"/>
    <s v="USD"/>
    <x v="1422"/>
    <x v="10"/>
    <x v="579"/>
    <s v="Mobile Welding, Fabrication, Structural Repair"/>
  </r>
  <r>
    <n v="150818"/>
    <x v="1"/>
    <x v="1499"/>
    <s v="TRAD"/>
    <s v="11 OLD RT 23;SUSSEX NJ 07461-3131;USA"/>
    <s v="USD"/>
    <x v="1423"/>
    <x v="3"/>
    <x v="733"/>
    <s v="Gas Station, Auto Service, Fuel Sales"/>
  </r>
  <r>
    <n v="146057"/>
    <x v="1"/>
    <x v="1500"/>
    <s v="TRAD"/>
    <s v="118 Harley Road;Wilmington NC 28405;USA"/>
    <s v="USD"/>
    <x v="1424"/>
    <x v="3"/>
    <x v="514"/>
    <s v="Vehicle Towing, Equipment Transport, Heavy Haul, Roadside Assistance"/>
  </r>
  <r>
    <n v="111251"/>
    <x v="1"/>
    <x v="1501"/>
    <s v="TRAD"/>
    <s v="459 Glass Ln;Ste A-3;Modesto CA 95356-9253;USA"/>
    <s v="USD"/>
    <x v="1425"/>
    <x v="10"/>
    <x v="528"/>
    <s v="Professional Services"/>
  </r>
  <r>
    <s v="001050"/>
    <x v="1"/>
    <x v="1502"/>
    <s v="TRAD"/>
    <s v="149 Main Street East;Hamilton ON L8N 1G4;CAN"/>
    <s v="CAD"/>
    <x v="1426"/>
    <x v="15"/>
    <x v="284"/>
    <s v="Union Representation, Labor Relations, Collective Bargaining, Worker Advocacy"/>
  </r>
  <r>
    <n v="125365"/>
    <x v="1"/>
    <x v="1503"/>
    <s v="TRAD"/>
    <s v="67 Inverness Dr E;Suite B;Englewood CO 80112-5136;USA"/>
    <s v="USD"/>
    <x v="1427"/>
    <x v="26"/>
    <x v="710"/>
    <s v="Alarm Monitoring, Video Surveillance, Access Control, Fire Detection"/>
  </r>
  <r>
    <n v="144774"/>
    <x v="1"/>
    <x v="1504"/>
    <s v="TRAD"/>
    <s v="19210 KENT PARK DR;TOMBALL TX 77375-1201;USA"/>
    <s v="USD"/>
    <x v="1428"/>
    <x v="10"/>
    <x v="283"/>
    <s v="Consulting Services"/>
  </r>
  <r>
    <n v="146618"/>
    <x v="1"/>
    <x v="1505"/>
    <s v="TRAD"/>
    <s v="PO Box 1005;Derby KS 67037;USA"/>
    <s v="USD"/>
    <x v="1429"/>
    <x v="20"/>
    <x v="309"/>
    <s v="Office Cleaning, Janitorial Services, Floor Care, Window Cleaning"/>
  </r>
  <r>
    <n v="152707"/>
    <x v="1"/>
    <x v="1506"/>
    <s v="TRAD"/>
    <s v="1701 River Road;Weare NH 03281;USA"/>
    <s v="USD"/>
    <x v="1429"/>
    <x v="25"/>
    <x v="734"/>
    <s v="Metal Recycling, Scrap Buying, Waste Management, Industrial Demolition"/>
  </r>
  <r>
    <n v="131782"/>
    <x v="1"/>
    <x v="1507"/>
    <s v="TRAD"/>
    <s v="PO Box 744934;Atlanta GA 30374-4934;USA"/>
    <s v="USD"/>
    <x v="1430"/>
    <x v="19"/>
    <x v="383"/>
    <s v="Wholesale Fuel Supply, Lubricants, Fleet Fueling, Marine Fuel Delivery"/>
  </r>
  <r>
    <n v="110323"/>
    <x v="1"/>
    <x v="1508"/>
    <s v="TRAD"/>
    <s v="Cambridge Business Parks;Gb;USA"/>
    <s v="USD"/>
    <x v="1431"/>
    <x v="6"/>
    <x v="735"/>
    <s v="SQL Server Tools, .NET Development, Database Monitoring, Data Masking, DevOps"/>
  </r>
  <r>
    <n v="150753"/>
    <x v="1"/>
    <x v="1509"/>
    <s v="TRAD"/>
    <s v="2123 MOON STATION DR NW;KENNESAW GA 30144-2786;USA"/>
    <s v="USD"/>
    <x v="1432"/>
    <x v="20"/>
    <x v="736"/>
    <s v="Janitorial Services, Floor Care, Window Cleaning, Facility Maintenance"/>
  </r>
  <r>
    <n v="125501"/>
    <x v="1"/>
    <x v="1510"/>
    <s v="TRAD"/>
    <s v="PO Box 8832;Mobile AL 36689-0832;USA"/>
    <s v="USD"/>
    <x v="1433"/>
    <x v="24"/>
    <x v="638"/>
    <s v="Mowing, Lawn Maintenance, Grounds Care, Landscaping"/>
  </r>
  <r>
    <n v="144397"/>
    <x v="1"/>
    <x v="1511"/>
    <s v="TRAD"/>
    <s v="7373 West 126th Street;Savage MN 55378;USA"/>
    <s v="USD"/>
    <x v="1434"/>
    <x v="11"/>
    <x v="531"/>
    <s v="Hydraulic Cylinder Repair, Hose Assembly, Pump &amp; Motor Repair, Fluid Power Systems"/>
  </r>
  <r>
    <n v="108250"/>
    <x v="1"/>
    <x v="1512"/>
    <s v="TRAD"/>
    <s v="2150 RANGE RD;CLEARWATER FL 33765-2125;USA"/>
    <s v="USD"/>
    <x v="1435"/>
    <x v="10"/>
    <x v="258"/>
    <s v="Electrical Installation, Repair, Commercial Wiring"/>
  </r>
  <r>
    <n v="150387"/>
    <x v="1"/>
    <x v="1513"/>
    <s v="TRAD"/>
    <s v="211 N PLEASANTBURG DR;GREENVILLE SC 29607-2123;USA"/>
    <s v="USD"/>
    <x v="1436"/>
    <x v="16"/>
    <x v="396"/>
    <s v="Plumbing Repair, Installation, Commercial Plumbing"/>
  </r>
  <r>
    <n v="150626"/>
    <x v="1"/>
    <x v="1514"/>
    <s v="TRAD"/>
    <s v="16404 HAWTHORNE BLVD;LAWNDALE CA 90260-2913;USA"/>
    <s v="USD"/>
    <x v="1437"/>
    <x v="11"/>
    <x v="737"/>
    <s v="Industrial Scales, Calibration, Weighing Systems, Scale Repair"/>
  </r>
  <r>
    <n v="148217"/>
    <x v="1"/>
    <x v="1515"/>
    <s v="TRAD"/>
    <s v="PO Box 1589;Buda TX 78610;USA"/>
    <s v="USD"/>
    <x v="1438"/>
    <x v="10"/>
    <x v="738"/>
    <s v="HVAC, Plumbing, Mechanical Systems, Installation &amp; Repair"/>
  </r>
  <r>
    <n v="123478"/>
    <x v="1"/>
    <x v="1516"/>
    <s v="TRAD"/>
    <s v="45150 Polaris Ct;Plymouth MI 48170-6058;USA"/>
    <s v="USD"/>
    <x v="1439"/>
    <x v="26"/>
    <x v="739"/>
    <s v="Fire Alarm Systems, Fire Suppression, Security Systems, Inspection Services"/>
  </r>
  <r>
    <n v="151633"/>
    <x v="1"/>
    <x v="1517"/>
    <s v="TRAD"/>
    <s v="70 S MAIN ST;FALL RIVER MA 02721-5325;USA"/>
    <s v="USD"/>
    <x v="1440"/>
    <x v="20"/>
    <x v="309"/>
    <s v="Janitorial, Office Cleaning, Residential Cleaning"/>
  </r>
  <r>
    <n v="148646"/>
    <x v="1"/>
    <x v="1518"/>
    <s v="TRAD"/>
    <s v="8530 Cinder Bed Rd;Suite 1400;Lorton VA 22079;USA"/>
    <s v="USD"/>
    <x v="1440"/>
    <x v="10"/>
    <x v="258"/>
    <s v="Commercial Electrical, Residential Electrical, Wiring, Panel Upgrades, EV Chargers"/>
  </r>
  <r>
    <n v="144053"/>
    <x v="1"/>
    <x v="1519"/>
    <s v="TRAD"/>
    <s v="909 Marconi Avenue;Ronkonkoma NY 11779;USA"/>
    <s v="USD"/>
    <x v="1441"/>
    <x v="26"/>
    <x v="740"/>
    <s v="Fire Extinguisher Sales &amp; Service, Inspections, Safety Equipment"/>
  </r>
  <r>
    <n v="128837"/>
    <x v="1"/>
    <x v="1520"/>
    <s v="TRAD"/>
    <s v="1573 Cf Pours Dr;Harrisonburg VA 22802-8310;USA"/>
    <s v="USD"/>
    <x v="1442"/>
    <x v="30"/>
    <x v="188"/>
    <s v="Garage Door Installation, Repair, Commercial Doors, Openers"/>
  </r>
  <r>
    <n v="130068"/>
    <x v="1"/>
    <x v="1521"/>
    <s v="TRAD"/>
    <s v="2920 Concerto Court;Lodi CA 95242;USA"/>
    <s v="USD"/>
    <x v="1443"/>
    <x v="8"/>
    <x v="741"/>
    <s v="Property Sales, Leasing, Investment Advisory, Property Management"/>
  </r>
  <r>
    <n v="112994"/>
    <x v="1"/>
    <x v="1522"/>
    <s v="TRAD"/>
    <s v="100 Frontier Way;Bensenville IL 60106-1124;USA"/>
    <s v="USD"/>
    <x v="1444"/>
    <x v="16"/>
    <x v="742"/>
    <s v="Cooking Equipment, Restaurant Equipment Repair, Installation"/>
  </r>
  <r>
    <n v="145913"/>
    <x v="1"/>
    <x v="1523"/>
    <s v="TRAD"/>
    <s v="541 Long Shoals Road;Arden NC 28704;USA"/>
    <s v="USD"/>
    <x v="1445"/>
    <x v="20"/>
    <x v="627"/>
    <s v="House Cleaning, Deep Cleaning, Move-In/Out Cleaning, Recurring Service"/>
  </r>
  <r>
    <n v="129198"/>
    <x v="1"/>
    <x v="1524"/>
    <s v="COMM"/>
    <s v="Attn: Megan Hennessey;23923 Research Dr;Farmington Hills MI 48335-2630;USA"/>
    <s v="USD"/>
    <x v="1446"/>
    <x v="13"/>
    <x v="369"/>
    <s v="Employee Relocation, Household Goods Moving, Destination Services, Policy Consulting"/>
  </r>
  <r>
    <n v="125841"/>
    <x v="1"/>
    <x v="1525"/>
    <s v="TRAD"/>
    <s v="91 Thompson St;Newburgh NY 12550-4145;USA"/>
    <s v="USD"/>
    <x v="1447"/>
    <x v="26"/>
    <x v="743"/>
    <s v="Alarm Monitoring, Video Surveillance, Access Controls, Intercom Systems"/>
  </r>
  <r>
    <s v="001328"/>
    <x v="1"/>
    <x v="1526"/>
    <s v="TRAD"/>
    <s v="60 Bristol Rd;#608;Mississauga ON L4Z 1P8;CAN"/>
    <s v="CAD"/>
    <x v="1448"/>
    <x v="16"/>
    <x v="744"/>
    <s v="Drain Cleaning, Plumbing Repair, Water Line Services"/>
  </r>
  <r>
    <n v="121334"/>
    <x v="1"/>
    <x v="1527"/>
    <s v="TRAD"/>
    <s v="36 Williamsburg Way;Yaphank NY 11980;USA"/>
    <s v="USD"/>
    <x v="1449"/>
    <x v="32"/>
    <x v="745"/>
    <s v="Telecommunications, Network Management, Office Phone Systems"/>
  </r>
  <r>
    <n v="128168"/>
    <x v="1"/>
    <x v="1528"/>
    <s v="TRAD"/>
    <s v="1125 N Kraemer Pl;Anaheim CA 92806-1923;USA"/>
    <s v="USD"/>
    <x v="1450"/>
    <x v="11"/>
    <x v="746"/>
    <s v="Environmental Cleanup Equipment, Spill Response, Safety Supplies"/>
  </r>
  <r>
    <n v="128373"/>
    <x v="1"/>
    <x v="1529"/>
    <s v="TRAD"/>
    <s v="PO Box 90;Salinas CA 93902-0090;USA"/>
    <s v="USD"/>
    <x v="1451"/>
    <x v="19"/>
    <x v="593"/>
    <s v="Fuel Distribution, Lubricants, Cardlock Fueling, Fleet Fueling"/>
  </r>
  <r>
    <n v="131103"/>
    <x v="1"/>
    <x v="1530"/>
    <s v="TRAD"/>
    <s v="4866 S OLD BROOK CIR;COLORADO SPRINGS CO 80917-1020;USA"/>
    <s v="USD"/>
    <x v="1452"/>
    <x v="0"/>
    <x v="747"/>
    <s v="Investment Management, Wealth Management, Financial Planning"/>
  </r>
  <r>
    <n v="150784"/>
    <x v="1"/>
    <x v="1531"/>
    <s v="TRAD"/>
    <s v="11028 50TH ST;GRAND JUNCTION MI 49056-9407;USA"/>
    <s v="USD"/>
    <x v="1452"/>
    <x v="3"/>
    <x v="748"/>
    <s v="Vehicle Towing, Roadside Assistance, Accident Recovery"/>
  </r>
  <r>
    <n v="130366"/>
    <x v="1"/>
    <x v="1532"/>
    <s v="TRAD"/>
    <s v="1138 E Central Ave;Miamisburg OH 45342-2558;USA"/>
    <s v="USD"/>
    <x v="1453"/>
    <x v="24"/>
    <x v="638"/>
    <s v="Mulching, Lawn Maintenance, Grounds Care"/>
  </r>
  <r>
    <n v="152456"/>
    <x v="1"/>
    <x v="1533"/>
    <s v="TRAD"/>
    <s v="11 SCARGO HILL RD;DENNIS MA 02638-2306;USA"/>
    <s v="USD"/>
    <x v="1454"/>
    <x v="7"/>
    <x v="218"/>
    <s v="Consulting, Contracting Services"/>
  </r>
  <r>
    <n v="108999"/>
    <x v="1"/>
    <x v="1534"/>
    <s v="TRAD"/>
    <s v="PO Box 953381;Saint Louis MO 63195-3381;USA"/>
    <s v="USD"/>
    <x v="1455"/>
    <x v="30"/>
    <x v="749"/>
    <s v="Loading Dock Repair, Overhead Door Service, Preventive Maintenance, Installation"/>
  </r>
  <r>
    <n v="102919"/>
    <x v="1"/>
    <x v="1535"/>
    <s v="FRAN"/>
    <s v="9325 E 33rd St;Indianapolis IN 46235 4203;USA"/>
    <s v="USD"/>
    <x v="1456"/>
    <x v="8"/>
    <x v="63"/>
    <s v="Container Rental, Moving Storage, On-Site Storage"/>
  </r>
  <r>
    <n v="119186"/>
    <x v="1"/>
    <x v="1536"/>
    <s v="TRAD"/>
    <s v="1587 Schallenberger Rd;San Jose CA 95131-2434;USA"/>
    <s v="USD"/>
    <x v="1456"/>
    <x v="26"/>
    <x v="693"/>
    <s v="Verified Audio Detection, Video Surveillance, Access Control, Fire Alarms, Managed Security"/>
  </r>
  <r>
    <n v="103169"/>
    <x v="1"/>
    <x v="1537"/>
    <s v="FRGT"/>
    <s v="PO BOX 784293;Philadelphia PA 19178-4293;USA"/>
    <s v="USD"/>
    <x v="1457"/>
    <x v="3"/>
    <x v="45"/>
    <s v="Truckload Shipping, LTL, Intermodal, Heavy Haul, Expedited Freight"/>
  </r>
  <r>
    <n v="144706"/>
    <x v="1"/>
    <x v="1538"/>
    <s v="TRAD"/>
    <s v="25 Loveton Circle;Sparks MD 21152;USA"/>
    <s v="USD"/>
    <x v="1458"/>
    <x v="33"/>
    <x v="750"/>
    <s v="HVAC Engineering, Plumbing, Piping, Mechanical Systems, Building Automation"/>
  </r>
  <r>
    <n v="131110"/>
    <x v="1"/>
    <x v="1539"/>
    <s v="TRAD"/>
    <s v="272 Old Trace Rd SW;Marietta GA 30064-6412;USA"/>
    <s v="USD"/>
    <x v="1459"/>
    <x v="24"/>
    <x v="115"/>
    <s v="Commercial Landscaping, Lawn Maintenance, Grounds Care"/>
  </r>
  <r>
    <s v="001215"/>
    <x v="1"/>
    <x v="1540"/>
    <s v="TRAD"/>
    <s v="900 Wabanaki Dr;Kitchener ON N2C 0B7;CAN"/>
    <s v="CAD"/>
    <x v="1460"/>
    <x v="11"/>
    <x v="83"/>
    <s v="Fasteners, Safety Products, Cutting Tools, Industrial Vending, Custom Manufacturing"/>
  </r>
  <r>
    <n v="110685"/>
    <x v="1"/>
    <x v="1541"/>
    <s v="UTIL"/>
    <s v="PO Box 5208;Walnut Creek CA 94596 1208;USA"/>
    <s v="USD"/>
    <x v="1461"/>
    <x v="26"/>
    <x v="710"/>
    <s v="Alarm Monitoring, Intrusion Detection, Fire Alarms"/>
  </r>
  <r>
    <n v="142093"/>
    <x v="1"/>
    <x v="1542"/>
    <s v="TRAD"/>
    <s v="2263 Warrenton Highway;Thomson GA 30824;USA"/>
    <s v="USD"/>
    <x v="1462"/>
    <x v="24"/>
    <x v="115"/>
    <s v="Lawn Maintenance, Landscape Design, Grounds Care, Irrigation"/>
  </r>
  <r>
    <n v="141726"/>
    <x v="1"/>
    <x v="1543"/>
    <s v="TRAD"/>
    <s v="3757 Mike Padgett Hwy;Augusta GA 30906;USA"/>
    <s v="USD"/>
    <x v="1463"/>
    <x v="3"/>
    <x v="263"/>
    <s v="Truck Repair, Fleet Maintenance, Diesel Engine Service"/>
  </r>
  <r>
    <n v="125595"/>
    <x v="1"/>
    <x v="1544"/>
    <s v="TRAD"/>
    <s v="PO Box 868;Plymouth MA 02362-0868;USA"/>
    <s v="USD"/>
    <x v="1464"/>
    <x v="10"/>
    <x v="751"/>
    <s v="License Procurement, Compliance Support"/>
  </r>
  <r>
    <n v="143813"/>
    <x v="1"/>
    <x v="1545"/>
    <s v="TRAD"/>
    <s v="13950 Plank Road;Baker LA 70714;USA"/>
    <s v="USD"/>
    <x v="1465"/>
    <x v="3"/>
    <x v="368"/>
    <s v="Truck Tires, Fleet Service, Retreading, Road Service"/>
  </r>
  <r>
    <n v="150915"/>
    <x v="1"/>
    <x v="1546"/>
    <s v="TRAD"/>
    <s v="210 WEDGEWOOD DR;PITTSBURGH PA 15227-1510;USA"/>
    <s v="USD"/>
    <x v="1466"/>
    <x v="20"/>
    <x v="309"/>
    <s v="Janitorial Services, Office Cleaning, Floor Care, Window Cleaning"/>
  </r>
  <r>
    <n v="118878"/>
    <x v="1"/>
    <x v="1547"/>
    <s v="RENT"/>
    <s v="2500 N Nelson Dr;Derby KS 67037-2581;USA"/>
    <s v="USD"/>
    <x v="1467"/>
    <x v="29"/>
    <x v="752"/>
    <s v="Used Auto Parts, Vehicle Recycling, Scrap Metal"/>
  </r>
  <r>
    <n v="119231"/>
    <x v="1"/>
    <x v="1548"/>
    <s v="RENT"/>
    <s v="3208 Romence Rd;Portage MI 49024-4057;USA"/>
    <s v="USD"/>
    <x v="1467"/>
    <x v="8"/>
    <x v="28"/>
    <s v="Real Estate, Property Management"/>
  </r>
  <r>
    <n v="126943"/>
    <x v="1"/>
    <x v="1549"/>
    <s v="TRAD"/>
    <s v="Cashiering Unit;PO Box 47611;Olympia WA 98504-7611;USA"/>
    <s v="USD"/>
    <x v="1467"/>
    <x v="25"/>
    <x v="753"/>
    <s v="Environmental Permits, Water Quality, Waste Management, Compliance, Pollution Control"/>
  </r>
  <r>
    <n v="143037"/>
    <x v="1"/>
    <x v="1550"/>
    <s v="TRAD"/>
    <s v="PO Box 536;Zachary LA 70791;USA"/>
    <s v="USD"/>
    <x v="1468"/>
    <x v="30"/>
    <x v="188"/>
    <s v="Garage Door Installation, Repair, Commercial Doors, Openers"/>
  </r>
  <r>
    <n v="149926"/>
    <x v="1"/>
    <x v="1551"/>
    <s v="TRAD"/>
    <s v="2823 Oakley Ave;Bensalem PA 19020;USA"/>
    <s v="USD"/>
    <x v="1469"/>
    <x v="15"/>
    <x v="754"/>
    <s v="Skills Testing, Pre-Hire Assessments, Talent Evaluation, Coding Tests, Aptitude Testing"/>
  </r>
  <r>
    <n v="120754"/>
    <x v="1"/>
    <x v="1552"/>
    <s v="TRAD"/>
    <s v="9602 E US Highway 92;Tampa FL 33610-5928;USA"/>
    <s v="USD"/>
    <x v="1470"/>
    <x v="3"/>
    <x v="755"/>
    <s v="Heavy Haul, Crane Services, Rigging, Equipment Moving, Oversize Load Transport"/>
  </r>
  <r>
    <n v="151189"/>
    <x v="1"/>
    <x v="1553"/>
    <s v="TRAD"/>
    <s v="1201 N TARRAGONA ST;PENSACOLA FL 32501-2658;USA"/>
    <s v="USD"/>
    <x v="1471"/>
    <x v="10"/>
    <x v="87"/>
    <s v="Property Maintenance, Handyman, Repairs"/>
  </r>
  <r>
    <n v="132275"/>
    <x v="1"/>
    <x v="1554"/>
    <s v="RENT"/>
    <s v="2042 Town Center Blvd;PMB-350;Knoxville TN 37922-6677;USA"/>
    <s v="USD"/>
    <x v="1472"/>
    <x v="8"/>
    <x v="28"/>
    <s v="Real Estate Investment, Property Management"/>
  </r>
  <r>
    <n v="152746"/>
    <x v="1"/>
    <x v="1555"/>
    <s v="TRAD"/>
    <s v="31 GRANNY RD;CASTLE HAYNE NC 28429-6545;USA"/>
    <s v="USD"/>
    <x v="1472"/>
    <x v="7"/>
    <x v="218"/>
    <s v="Consulting, Contracting Services"/>
  </r>
  <r>
    <n v="145082"/>
    <x v="1"/>
    <x v="1556"/>
    <s v="TRAD"/>
    <s v="PO Box 5650;Augusta GA 30916;USA"/>
    <s v="USD"/>
    <x v="1472"/>
    <x v="16"/>
    <x v="756"/>
    <s v="Sewer Repair, Drain Cleaning, Plumbing Services"/>
  </r>
  <r>
    <n v="115755"/>
    <x v="1"/>
    <x v="1557"/>
    <s v="TRAD"/>
    <s v="PO Box 258881;Oklahoma City OK 73125-8881;USA"/>
    <s v="USD"/>
    <x v="1473"/>
    <x v="11"/>
    <x v="37"/>
    <s v="Forklift Sales &amp; Service, Parts, Rental, Warehouse Solutions"/>
  </r>
  <r>
    <n v="130021"/>
    <x v="1"/>
    <x v="1558"/>
    <s v="TRAD"/>
    <s v="16115 SW 117th Ave;Unit 2;Miami FL 33177-1624;USA"/>
    <s v="USD"/>
    <x v="1474"/>
    <x v="26"/>
    <x v="691"/>
    <s v="Video Surveillance, Access Control, Alarm Systems, Guard Services"/>
  </r>
  <r>
    <n v="152096"/>
    <x v="1"/>
    <x v="1559"/>
    <s v="TRAD"/>
    <s v="206 FOURTH ST S;CAROLINA BEACH NC 28428-5029;USA"/>
    <s v="USD"/>
    <x v="1475"/>
    <x v="3"/>
    <x v="757"/>
    <s v="Truck Repair, Trailer Repair, Fleet Maintenance, Welding, Roadside Service"/>
  </r>
  <r>
    <n v="130144"/>
    <x v="1"/>
    <x v="1560"/>
    <s v="TRAD"/>
    <s v="PO Box 1176;Frankfort IL 60423-7176;USA"/>
    <s v="USD"/>
    <x v="1476"/>
    <x v="26"/>
    <x v="454"/>
    <s v="Fire Alarms, Security Systems, Monitoring, Inspections"/>
  </r>
  <r>
    <n v="104488"/>
    <x v="1"/>
    <x v="1561"/>
    <s v="COMM"/>
    <s v="Corp Acct# 39202796;Attn: John Ortega;6001 Hiatus Rd;FORT LAUDERDALE FL 33321;USA"/>
    <s v="USD"/>
    <x v="1477"/>
    <x v="10"/>
    <x v="128"/>
    <s v="Water Damage Restoration, Fire Damage, Mold Remediation, Biohazard Cleanup"/>
  </r>
  <r>
    <n v="150432"/>
    <x v="1"/>
    <x v="1562"/>
    <s v="TRAD"/>
    <s v="1115 SEMORAN WAY;COLUMBIA SC 29229-8287;USA"/>
    <s v="USD"/>
    <x v="1478"/>
    <x v="8"/>
    <x v="28"/>
    <s v="Sports Facility, Real Estate"/>
  </r>
  <r>
    <n v="132471"/>
    <x v="1"/>
    <x v="1563"/>
    <s v="TRAD"/>
    <s v="21 Admirals Dr E;Bay Shore NY 11706-8101;USA"/>
    <s v="USD"/>
    <x v="1479"/>
    <x v="20"/>
    <x v="309"/>
    <s v="Janitorial Services, Office Cleaning, Floor Care, Facility Maintenance"/>
  </r>
  <r>
    <n v="146168"/>
    <x v="1"/>
    <x v="1564"/>
    <s v="TRAD"/>
    <s v="123 Gibraltar Road;Horsham PA 19044;USA"/>
    <s v="USD"/>
    <x v="1480"/>
    <x v="10"/>
    <x v="250"/>
    <s v="HVAC, Plumbing, Piping, Process Systems, Design-Build, Sheet Metal, Fire Protection"/>
  </r>
  <r>
    <n v="150346"/>
    <x v="1"/>
    <x v="1565"/>
    <s v="TRAD"/>
    <s v="PO BOX 16091;GREENSBORO NC 27416-0091;USA"/>
    <s v="USD"/>
    <x v="1481"/>
    <x v="10"/>
    <x v="258"/>
    <s v="Commercial Electrical, Industrial Electrical, Wiring, Lighting, Panel Upgrades"/>
  </r>
  <r>
    <n v="141461"/>
    <x v="1"/>
    <x v="1566"/>
    <s v="TRAD"/>
    <s v="1627 Saint St. SE;Palm Bay FL 32909;USA"/>
    <s v="USD"/>
    <x v="1482"/>
    <x v="10"/>
    <x v="528"/>
    <s v="Professional Services"/>
  </r>
  <r>
    <n v="146307"/>
    <x v="1"/>
    <x v="1567"/>
    <s v="TRAD"/>
    <s v="BOX 1310 1 Limestone Drive ;Stonewall Industrial Park;Stonewall CA R0C 2Z0;CAN"/>
    <s v="USD"/>
    <x v="1483"/>
    <x v="24"/>
    <x v="758"/>
    <s v="Temporary Fencing, Construction Fencing, Site Security"/>
  </r>
  <r>
    <n v="129785"/>
    <x v="1"/>
    <x v="1568"/>
    <s v="TRAD"/>
    <s v="28 Gorgo Ln;Newfield NJ 08344-9546;USA"/>
    <s v="USD"/>
    <x v="1484"/>
    <x v="19"/>
    <x v="759"/>
    <s v="Propane Delivery, Gas Services, Commercial Fuel"/>
  </r>
  <r>
    <n v="152094"/>
    <x v="1"/>
    <x v="1569"/>
    <s v="TRAD"/>
    <s v="1177 CATTLEMEN RD;SARASOTA FL 34232-2813;USA"/>
    <s v="USD"/>
    <x v="1485"/>
    <x v="30"/>
    <x v="717"/>
    <s v="Commercial Garage Doors, Dock Equipment, Installation &amp; Repair"/>
  </r>
  <r>
    <n v="127411"/>
    <x v="1"/>
    <x v="1570"/>
    <s v="TRAD"/>
    <s v="PO Box 981101;Boston MA 02298-1101;USA"/>
    <s v="USD"/>
    <x v="1486"/>
    <x v="28"/>
    <x v="150"/>
    <s v="Office Supplies, Furniture, Technology, Coffee &amp; Breakroom, Cleaning, Print Solutions"/>
  </r>
  <r>
    <n v="150728"/>
    <x v="1"/>
    <x v="1571"/>
    <s v="TRAD"/>
    <s v="1380 N WILLETT ST;MEMPHIS TN 38108-1059;USA"/>
    <s v="USD"/>
    <x v="1487"/>
    <x v="24"/>
    <x v="760"/>
    <s v="Commercial Fencing, Residential Fencing, Chain Link, Wood, Vinyl Fences"/>
  </r>
  <r>
    <n v="150815"/>
    <x v="1"/>
    <x v="1572"/>
    <s v="TRAD"/>
    <s v="16485 LAGUNA CANYON RD;STE 300;IRVINE CA 92618-3837;USA"/>
    <s v="USD"/>
    <x v="1488"/>
    <x v="35"/>
    <x v="761"/>
    <s v="Healthcare Training, IT Training, Business Training, Certificate Programs, Career Services"/>
  </r>
  <r>
    <n v="147772"/>
    <x v="1"/>
    <x v="1573"/>
    <s v="TRAD"/>
    <s v="123 Merchants Park Drive;Hoschton GA 30548;USA"/>
    <s v="USD"/>
    <x v="1489"/>
    <x v="11"/>
    <x v="762"/>
    <s v="Air Compressor Sales, Service, Parts, Compressed Air Systems, Blowers"/>
  </r>
  <r>
    <n v="130368"/>
    <x v="1"/>
    <x v="1574"/>
    <s v="TRAD"/>
    <s v="5201 W Beaver St;Jacksonville FL 32254-2910;USA"/>
    <s v="USD"/>
    <x v="1490"/>
    <x v="20"/>
    <x v="763"/>
    <s v="Commercial Cleaning, Janitorial, Facility Maintenance"/>
  </r>
  <r>
    <n v="106213"/>
    <x v="1"/>
    <x v="1575"/>
    <s v="TRAD"/>
    <s v="1211 68th St;Baltimore MD 21237 2516;USA"/>
    <s v="USD"/>
    <x v="1491"/>
    <x v="3"/>
    <x v="764"/>
    <s v="Truck Parts, Fleet Parts, Commercial Vehicle Parts"/>
  </r>
  <r>
    <n v="151266"/>
    <x v="1"/>
    <x v="1576"/>
    <s v="TRAD"/>
    <s v="7819 E 100 N;AVILLA IN 46710-9625;USA"/>
    <s v="USD"/>
    <x v="1492"/>
    <x v="10"/>
    <x v="461"/>
    <s v="Commercial Painting, Residential Painting, Interior/Exterior Painting"/>
  </r>
  <r>
    <n v="127403"/>
    <x v="1"/>
    <x v="1577"/>
    <s v="TRAD"/>
    <s v="4266 WYOGA LAKE RD;CUYAHOGA FALLS OH 44224-4802;USA"/>
    <s v="USD"/>
    <x v="1493"/>
    <x v="30"/>
    <x v="346"/>
    <s v="Door Installation, Repair, Industrial Doors, Dock Equipment"/>
  </r>
  <r>
    <n v="108903"/>
    <x v="1"/>
    <x v="1578"/>
    <s v="TRAD"/>
    <s v="c/o TAB Bank;PO Box 150290;Ogden UT 84415;USA"/>
    <s v="USD"/>
    <x v="1494"/>
    <x v="3"/>
    <x v="272"/>
    <s v="Truckload Shipping, LTL, Livestock Hauling, Logistics"/>
  </r>
  <r>
    <n v="145173"/>
    <x v="1"/>
    <x v="1579"/>
    <s v="TRAD"/>
    <s v="1440 El Paso Boulevard;Denver CO 80221;USA"/>
    <s v="USD"/>
    <x v="1495"/>
    <x v="28"/>
    <x v="765"/>
    <s v="Custom Labels, Specialty Packaging, Printing Services"/>
  </r>
  <r>
    <n v="144864"/>
    <x v="1"/>
    <x v="1580"/>
    <s v="TRAD"/>
    <s v="PO Box 848351;Dallas TX 75284;USA"/>
    <s v="USD"/>
    <x v="1496"/>
    <x v="0"/>
    <x v="766"/>
    <s v="Tax Recovery, Tax Consulting, Property Tax, Compliance, Tax Software, Legal Services"/>
  </r>
  <r>
    <n v="122176"/>
    <x v="1"/>
    <x v="1581"/>
    <s v="TRAD"/>
    <s v="PO Box 847;Otis Orchards WA 99027-0847;USA"/>
    <s v="USD"/>
    <x v="1497"/>
    <x v="20"/>
    <x v="767"/>
    <s v="Janitorial, Floor Care, Building Maintenance, Facility Cleaning"/>
  </r>
  <r>
    <n v="112388"/>
    <x v="1"/>
    <x v="1582"/>
    <s v="RENT"/>
    <s v="22740 Murrock Cir;Watertown NY 13601 5072;USA"/>
    <s v="USD"/>
    <x v="1498"/>
    <x v="8"/>
    <x v="28"/>
    <s v="Real Estate, Property Management"/>
  </r>
  <r>
    <n v="126444"/>
    <x v="1"/>
    <x v="1583"/>
    <s v="TRAD"/>
    <s v="42 N Pine Cir;Belleair FL 33756-1640;USA"/>
    <s v="USD"/>
    <x v="1499"/>
    <x v="1"/>
    <x v="768"/>
    <s v="Managed Print, IT Support, Document Management"/>
  </r>
  <r>
    <n v="106377"/>
    <x v="1"/>
    <x v="1584"/>
    <s v="TRAD"/>
    <s v="3 Centro Place;Pride Park ;GBR"/>
    <s v="USD"/>
    <x v="1500"/>
    <x v="0"/>
    <x v="769"/>
    <s v="Audit, Tax Advisory, Business Consulting, Outsourcing"/>
  </r>
  <r>
    <n v="129146"/>
    <x v="1"/>
    <x v="1585"/>
    <s v="TRAD"/>
    <s v="2809 Kaihikapu St;Honolulu HI 96819-2011;USA"/>
    <s v="USD"/>
    <x v="1501"/>
    <x v="11"/>
    <x v="333"/>
    <s v="Plumbing Supplies, Hardware, Building Materials, Wholesale Distribution"/>
  </r>
  <r>
    <n v="149596"/>
    <x v="1"/>
    <x v="1586"/>
    <s v="TRAD"/>
    <s v="13301 GALLERIA CIR;STE 200;BEE CAVE TX 78738-6438;USA"/>
    <s v="USD"/>
    <x v="1502"/>
    <x v="35"/>
    <x v="770"/>
    <s v="Compliance Training, Harassment Prevention, Code of Conduct, Whistleblower Hotline, Policy Management"/>
  </r>
  <r>
    <n v="122477"/>
    <x v="1"/>
    <x v="1587"/>
    <s v="TRAD"/>
    <s v="PO Box 1148;Cullman AL 35056-1148;USA"/>
    <s v="USD"/>
    <x v="1503"/>
    <x v="3"/>
    <x v="378"/>
    <s v="Commercial Tires, Passenger Tires, Fleet Service, Alignment"/>
  </r>
  <r>
    <n v="150521"/>
    <x v="1"/>
    <x v="1588"/>
    <s v="TRAD"/>
    <s v="5199 OLD HAYWOOD RD;MILLS RIVER NC 28759-3704;USA"/>
    <s v="USD"/>
    <x v="1504"/>
    <x v="3"/>
    <x v="236"/>
    <s v="Vehicle Wraps, Fleet Graphics, Custom Signs, Wall Graphics, Window Wraps"/>
  </r>
  <r>
    <n v="151864"/>
    <x v="1"/>
    <x v="1589"/>
    <s v="TRAD"/>
    <s v="24 BROADLANDS DR;WHITE GA 30184-2881;USA"/>
    <s v="USD"/>
    <x v="1505"/>
    <x v="10"/>
    <x v="69"/>
    <s v="Professional Services"/>
  </r>
  <r>
    <n v="152090"/>
    <x v="1"/>
    <x v="1590"/>
    <s v="TRAD"/>
    <s v="6250 US HIGHWAY 31;TANNER AL 35671-4028;USA"/>
    <s v="USD"/>
    <x v="1506"/>
    <x v="4"/>
    <x v="771"/>
    <s v="Closet Systems, Storage Solutions, Home Office, Pantry Design, Murphy Beds"/>
  </r>
  <r>
    <n v="110527"/>
    <x v="1"/>
    <x v="1591"/>
    <s v="UTIL"/>
    <s v="PO Box 660579;Dallas TX 75266 0579;USA"/>
    <s v="USD"/>
    <x v="1507"/>
    <x v="2"/>
    <x v="772"/>
    <s v="Bottled Water Delivery, Water Coolers, Coffee Service, Break Room Supplies"/>
  </r>
  <r>
    <n v="130166"/>
    <x v="1"/>
    <x v="1592"/>
    <s v="TRAD"/>
    <s v="PO Box 210224;Milwaukee WI 53221-8004;USA"/>
    <s v="USD"/>
    <x v="1508"/>
    <x v="20"/>
    <x v="309"/>
    <s v="Janitorial, Office Cleaning, Floor Care, Facility Maintenance"/>
  </r>
  <r>
    <n v="140009"/>
    <x v="1"/>
    <x v="1593"/>
    <s v="TRAD"/>
    <s v="PO Box 444;Farmington CT 06034;USA"/>
    <s v="USD"/>
    <x v="1509"/>
    <x v="10"/>
    <x v="250"/>
    <s v="HVAC, Plumbing, Piping, Building Automation, Maintenance"/>
  </r>
  <r>
    <n v="151066"/>
    <x v="1"/>
    <x v="1594"/>
    <s v="TRAD"/>
    <s v="415 41ST AVE NE;NAPLES FL 34120-5242;USA"/>
    <s v="USD"/>
    <x v="1510"/>
    <x v="10"/>
    <x v="302"/>
    <s v="General Trade Services, Contracting"/>
  </r>
  <r>
    <n v="150928"/>
    <x v="1"/>
    <x v="1595"/>
    <s v="TRAD"/>
    <s v="PO BOX 12519;COLUMBIA SC 29211-2519;USA"/>
    <s v="USD"/>
    <x v="1511"/>
    <x v="5"/>
    <x v="773"/>
    <s v="Litigation, Workers' Comp, Construction Law, Transportation Law, Employment Law"/>
  </r>
  <r>
    <n v="152439"/>
    <x v="1"/>
    <x v="1596"/>
    <s v="TRAD"/>
    <s v="605 SPRINGBROOK RD;CHARLOTTE NC 28217-2148;USA"/>
    <s v="USD"/>
    <x v="1512"/>
    <x v="3"/>
    <x v="270"/>
    <s v="Vehicle Towing, Roadside Assistance, Accident Recovery"/>
  </r>
  <r>
    <n v="151064"/>
    <x v="1"/>
    <x v="1597"/>
    <s v="TRAD"/>
    <s v="59 SPRING VALLEY RD;OSSINING NY 10562-2003;USA"/>
    <s v="USD"/>
    <x v="1513"/>
    <x v="10"/>
    <x v="429"/>
    <s v="Commercial Electrical, Installation, Repair"/>
  </r>
  <r>
    <n v="150874"/>
    <x v="1"/>
    <x v="1598"/>
    <s v="TRAD"/>
    <s v="309 OAKRIDGE BLVD;STE B;DAYTONA BEACH FL 32118-4072;USA"/>
    <s v="USD"/>
    <x v="1514"/>
    <x v="12"/>
    <x v="327"/>
    <s v="Legal Counsel, Litigation, Business Law"/>
  </r>
  <r>
    <n v="130431"/>
    <x v="1"/>
    <x v="1599"/>
    <s v="TRAD"/>
    <s v="PO Box 689707;Chicago IL 60695-9707;USA"/>
    <s v="USD"/>
    <x v="1515"/>
    <x v="3"/>
    <x v="90"/>
    <s v="International Trucks, Parts, Service, Used Trucks, Truck Leasing"/>
  </r>
  <r>
    <n v="152612"/>
    <x v="1"/>
    <x v="1600"/>
    <s v="TRAD"/>
    <s v="5336 N DUPONT HWY;DOVER DE 19901-2340;USA"/>
    <s v="USD"/>
    <x v="1516"/>
    <x v="3"/>
    <x v="774"/>
    <s v="Light &amp; Heavy Towing, Roadside Assistance, Accident Recovery"/>
  </r>
  <r>
    <n v="115011"/>
    <x v="1"/>
    <x v="1601"/>
    <s v="UTIL"/>
    <s v="PO BOX 1108;SOUTH HOLLAND IL 60473-7108;USA"/>
    <s v="USD"/>
    <x v="1517"/>
    <x v="2"/>
    <x v="78"/>
    <s v="Propane Gas, Tank Installation, Delivery"/>
  </r>
  <r>
    <n v="117667"/>
    <x v="1"/>
    <x v="1602"/>
    <s v="TRAD"/>
    <s v="2719 N Arlington Ave;Indianapolis IN 46218-3322;USA"/>
    <s v="USD"/>
    <x v="1518"/>
    <x v="26"/>
    <x v="775"/>
    <s v="Fire Alarms, Sprinklers, Suppression, Security Alarms, Access Control, Monitoring"/>
  </r>
  <r>
    <n v="151229"/>
    <x v="1"/>
    <x v="1603"/>
    <s v="TRAD"/>
    <s v="523 DELSEA DR;SEWELL NJ 08080-2819;USA"/>
    <s v="USD"/>
    <x v="1519"/>
    <x v="3"/>
    <x v="748"/>
    <s v="Vehicle Towing, Roadside Assistance, Recovery Services"/>
  </r>
  <r>
    <n v="114175"/>
    <x v="1"/>
    <x v="1604"/>
    <s v="TRAD"/>
    <s v="633 W 5th St;Los Angeles CA 90071-2005;USA"/>
    <s v="USD"/>
    <x v="1520"/>
    <x v="12"/>
    <x v="48"/>
    <s v="Business Litigation, Insurance Defense, Healthcare Law, IP, Employment Law, Corporate Law"/>
  </r>
  <r>
    <n v="150514"/>
    <x v="1"/>
    <x v="1605"/>
    <s v="TRAD"/>
    <s v="915 MURFREESBORO PIKE;NASHVILLE TN 37217-1501;USA"/>
    <s v="USD"/>
    <x v="1521"/>
    <x v="16"/>
    <x v="776"/>
    <s v="Plumbing, HVAC, Fire Protection, Electrical Services"/>
  </r>
  <r>
    <n v="131977"/>
    <x v="1"/>
    <x v="1606"/>
    <s v="TRAD"/>
    <s v="5200 Beach Blvd;Jacksonville FL 32207-5051;USA"/>
    <s v="USD"/>
    <x v="1522"/>
    <x v="26"/>
    <x v="292"/>
    <s v="Fire Extinguisher Sales, Inspections, Safety Equipment"/>
  </r>
  <r>
    <s v="001181"/>
    <x v="1"/>
    <x v="14"/>
    <s v="TRAD"/>
    <s v="PO Box 17617;Saint Louis MO 63178-7617;USA"/>
    <s v="USD"/>
    <x v="1523"/>
    <x v="11"/>
    <x v="777"/>
    <s v="Valve Repair, Instrument Calibration, Control Systems, Remanufactured Equipment"/>
  </r>
  <r>
    <n v="150440"/>
    <x v="1"/>
    <x v="1607"/>
    <s v="TRAD"/>
    <s v="430 TELSER RD;LAKE ZURICH IL 60047-1588;USA"/>
    <s v="USD"/>
    <x v="1524"/>
    <x v="10"/>
    <x v="778"/>
    <s v="Janitorial, Carpet Cleaning, Floor Care, Facility Services"/>
  </r>
  <r>
    <n v="127900"/>
    <x v="1"/>
    <x v="1608"/>
    <s v="BROKER"/>
    <s v="6404 Old Salem Rd NE;Albany OR 97321-7343;USA"/>
    <s v="USD"/>
    <x v="1525"/>
    <x v="2"/>
    <x v="779"/>
    <s v="Customs Clearance, Import/Export, Freight Forwarding, Compliance, Trade Consulting"/>
  </r>
  <r>
    <n v="150552"/>
    <x v="1"/>
    <x v="1609"/>
    <s v="TRAD"/>
    <s v="494 N SCOVELL AVE;SAN JACINTO CA 92582-3800;USA"/>
    <s v="USD"/>
    <x v="1525"/>
    <x v="10"/>
    <x v="283"/>
    <s v="Consulting Services"/>
  </r>
  <r>
    <n v="147044"/>
    <x v="1"/>
    <x v="1610"/>
    <s v="TRAD"/>
    <s v="815 Main St;Arlington WI 53911;USA"/>
    <s v="USD"/>
    <x v="1526"/>
    <x v="24"/>
    <x v="115"/>
    <s v="Lawn Care, Yard Maintenance, Landscaping"/>
  </r>
  <r>
    <n v="151572"/>
    <x v="1"/>
    <x v="1611"/>
    <s v="TRAD"/>
    <s v="7250 225TH ST E;BRADENTON FL 34211-7406;USA"/>
    <s v="USD"/>
    <x v="1527"/>
    <x v="20"/>
    <x v="780"/>
    <s v="General Maintenance, Plumbing, Electrical, HVAC, Building Repair"/>
  </r>
  <r>
    <n v="151375"/>
    <x v="1"/>
    <x v="1612"/>
    <s v="TRAD"/>
    <s v="5761 N HAWKEYE CT SW;WYOMING MI 49509-9534;USA"/>
    <s v="USD"/>
    <x v="1528"/>
    <x v="30"/>
    <x v="188"/>
    <s v="Garage Door Installation, Repair, Commercial Doors, Openers"/>
  </r>
  <r>
    <n v="151819"/>
    <x v="1"/>
    <x v="1613"/>
    <s v="TRAD"/>
    <s v="140 S BAY DR;BULLARD TX 75757-9353;USA"/>
    <s v="USD"/>
    <x v="1529"/>
    <x v="15"/>
    <x v="781"/>
    <s v="HR Training, Professional Development, Networking, SHRM Certification, Conferences"/>
  </r>
  <r>
    <n v="152186"/>
    <x v="1"/>
    <x v="1614"/>
    <s v="TRAD"/>
    <s v="Richard Riepe;321 S 3RD ST;STE 1;MCALESTER OK 74501-5410;USA"/>
    <s v="USD"/>
    <x v="1529"/>
    <x v="12"/>
    <x v="260"/>
    <s v="Personal Injury, Criminal Defense, Civil Litigation"/>
  </r>
  <r>
    <n v="142051"/>
    <x v="1"/>
    <x v="1615"/>
    <s v="TRAD"/>
    <s v="PO Box 2468;Manchester CT 06045;USA"/>
    <s v="USD"/>
    <x v="1530"/>
    <x v="11"/>
    <x v="782"/>
    <s v="Hydraulic Systems, Fluid Power Components, Pumps, Valves, Cylinders"/>
  </r>
  <r>
    <n v="127825"/>
    <x v="1"/>
    <x v="1616"/>
    <s v="TRAD"/>
    <s v="PO Box 628703;Orlando FL 32862;USA"/>
    <s v="USD"/>
    <x v="1531"/>
    <x v="3"/>
    <x v="473"/>
    <s v="Vehicle Towing, Roadside Assistance, Recovery Services"/>
  </r>
  <r>
    <n v="140667"/>
    <x v="1"/>
    <x v="1617"/>
    <s v="TRAD"/>
    <s v="11 Oak Branch Dr;Suite B;Greensboro NC 27407;USA"/>
    <s v="USD"/>
    <x v="1532"/>
    <x v="20"/>
    <x v="309"/>
    <s v="Janitorial, Office Cleaning, Disinfection, Floor Care"/>
  </r>
  <r>
    <n v="132087"/>
    <x v="1"/>
    <x v="1618"/>
    <s v="TRAD"/>
    <s v="2600 E Parham Rd;henrico VA 23228-2932;USA"/>
    <s v="USD"/>
    <x v="1533"/>
    <x v="8"/>
    <x v="783"/>
    <s v="Property Investment, Property Management, Real Estate Development"/>
  </r>
  <r>
    <n v="130190"/>
    <x v="1"/>
    <x v="1619"/>
    <s v="TRAD"/>
    <s v="23261 Network Pl;Chicago IL 60673-1232;USA"/>
    <s v="USD"/>
    <x v="1534"/>
    <x v="32"/>
    <x v="784"/>
    <s v="Electrical Products, Lighting, Wire &amp; Cable, Industrial Supplies"/>
  </r>
  <r>
    <n v="114608"/>
    <x v="1"/>
    <x v="1620"/>
    <s v="TRAD"/>
    <s v="Attn: Alysia Heun;4343 E Outlier Blvd Suite 123;Phoenix AZ 85008;USA"/>
    <s v="USD"/>
    <x v="1535"/>
    <x v="9"/>
    <x v="785"/>
    <s v="Real Estate Brokerage, Agent Network, Franchise Services, Property Marketing"/>
  </r>
  <r>
    <n v="104008"/>
    <x v="1"/>
    <x v="1621"/>
    <s v="TRAD"/>
    <s v="PO Box 589;Shelter Island Heights NY 11965-0589;USA"/>
    <s v="USD"/>
    <x v="1536"/>
    <x v="2"/>
    <x v="786"/>
    <s v="Passenger Ferry, Vehicle Ferry, Marine Transport"/>
  </r>
  <r>
    <n v="147705"/>
    <x v="1"/>
    <x v="1622"/>
    <s v="TRAD"/>
    <s v="11737 Reynolds Rd;Arcanum OH 45304;USA"/>
    <s v="USD"/>
    <x v="1537"/>
    <x v="20"/>
    <x v="787"/>
    <s v="Industrial Pressure Washing, Fleet Cleaning, Facility Washing"/>
  </r>
  <r>
    <n v="146739"/>
    <x v="1"/>
    <x v="1623"/>
    <s v="TRAD"/>
    <s v="555 S Lake Destiny Dr;Orlando FL 32810;USA"/>
    <s v="USD"/>
    <x v="1538"/>
    <x v="26"/>
    <x v="667"/>
    <s v="Fire Alarm, Sprinkler, Suppression, Inspection, Security"/>
  </r>
  <r>
    <n v="140858"/>
    <x v="1"/>
    <x v="1624"/>
    <s v="TRAD"/>
    <s v="PO Box 948592;Atlanta GA 30394;USA"/>
    <s v="USD"/>
    <x v="1539"/>
    <x v="16"/>
    <x v="788"/>
    <s v="Commercial HVAC, Building Systems, Maintenance"/>
  </r>
  <r>
    <n v="128255"/>
    <x v="1"/>
    <x v="1625"/>
    <s v="TRAD"/>
    <s v="3450 E Lake Rd;Ste 202;Palm Harbor FL 34685-2411;USA"/>
    <s v="USD"/>
    <x v="1540"/>
    <x v="20"/>
    <x v="309"/>
    <s v="Janitorial, Office Cleaning, Floor Care, Green Cleaning"/>
  </r>
  <r>
    <n v="146963"/>
    <x v="1"/>
    <x v="1626"/>
    <s v="TRAD"/>
    <s v="11270 Metro Pkwy;Ste 5;Fort Myers FL 33966;USA"/>
    <s v="USD"/>
    <x v="1541"/>
    <x v="10"/>
    <x v="258"/>
    <s v="Residential &amp; Commercial Wiring, Lighting Installation, Panel Upgrades, Inspections"/>
  </r>
  <r>
    <n v="128836"/>
    <x v="1"/>
    <x v="1627"/>
    <s v="TRAD"/>
    <s v="Attn: Susan Rubel;2425 Wilson Blvd;Arlington VA 22201-3876;USA"/>
    <s v="USD"/>
    <x v="1542"/>
    <x v="14"/>
    <x v="789"/>
    <s v="Advocacy, Membership Services, Events"/>
  </r>
  <r>
    <n v="146821"/>
    <x v="1"/>
    <x v="1628"/>
    <s v="TRAD"/>
    <s v="3615 South Railroad Street Suite A;Phenix City AL 36867;USA"/>
    <s v="USD"/>
    <x v="1543"/>
    <x v="20"/>
    <x v="627"/>
    <s v="House Cleaning, Deep Cleaning, Move-In/Out Cleaning, Recurring Service"/>
  </r>
  <r>
    <n v="127581"/>
    <x v="1"/>
    <x v="1629"/>
    <s v="TRAD"/>
    <s v="739 S Mill St;Plymouth MI 48170-1821;USA"/>
    <s v="USD"/>
    <x v="1544"/>
    <x v="28"/>
    <x v="790"/>
    <s v="Custom Packaging, Point-of-Purchase Displays, Contract Packaging, Design"/>
  </r>
  <r>
    <n v="151113"/>
    <x v="1"/>
    <x v="1630"/>
    <s v="TRAD"/>
    <s v="1331 W CENTRAL BLVD;ORLANDO FL 32805-1755;USA"/>
    <s v="USD"/>
    <x v="1545"/>
    <x v="3"/>
    <x v="774"/>
    <s v="Flatbed Towing, Wrecker Service, 24/7 Emergency Towing"/>
  </r>
  <r>
    <n v="151650"/>
    <x v="1"/>
    <x v="1631"/>
    <s v="TRAD"/>
    <s v="2032 AMWELL RD;SOMERSET NJ 08873-7027;USA"/>
    <s v="USD"/>
    <x v="1546"/>
    <x v="10"/>
    <x v="44"/>
    <s v="Commercial Construction, Renovation, Facility Maintenance"/>
  </r>
  <r>
    <n v="150974"/>
    <x v="1"/>
    <x v="1632"/>
    <s v="RENT"/>
    <s v="1700 AVENUE OF THE STATES;Suite 201;LAKEWOOD NJ 08701-4579;USA"/>
    <s v="USD"/>
    <x v="1547"/>
    <x v="8"/>
    <x v="28"/>
    <s v="Office Space, Architectural Services"/>
  </r>
  <r>
    <n v="142761"/>
    <x v="1"/>
    <x v="1633"/>
    <s v="TRAD"/>
    <s v="1825 Lone Star Street ;Unit H;Conway SC 29526;USA"/>
    <s v="USD"/>
    <x v="1547"/>
    <x v="10"/>
    <x v="791"/>
    <s v="Metal Supply, Fabrication, Industrial Metals"/>
  </r>
  <r>
    <n v="127529"/>
    <x v="1"/>
    <x v="1634"/>
    <s v="TRAD"/>
    <s v="94-148 Leowaena St;Waipahu HI 96797-2229;USA"/>
    <s v="USD"/>
    <x v="1548"/>
    <x v="11"/>
    <x v="792"/>
    <s v="Hydraulic Repair, Hose Assemblies, Cylinder Rebuild, Parts"/>
  </r>
  <r>
    <n v="127070"/>
    <x v="1"/>
    <x v="1635"/>
    <s v="TRAD"/>
    <s v="5331 Primrose Lake Circle;Suite 211;Tampa FL 33647;USA"/>
    <s v="USD"/>
    <x v="1549"/>
    <x v="4"/>
    <x v="149"/>
    <s v="Termite Treatment, General Pest Control, Wildlife Removal"/>
  </r>
  <r>
    <n v="141628"/>
    <x v="1"/>
    <x v="1636"/>
    <s v="TRAD"/>
    <s v="2895 NW Fairfax Terrace;Portland OR 97210;USA"/>
    <s v="USD"/>
    <x v="1550"/>
    <x v="1"/>
    <x v="793"/>
    <s v="Promotional Products, Custom Signs, Banners, Decals, Branded Merchandise"/>
  </r>
  <r>
    <n v="148302"/>
    <x v="1"/>
    <x v="1637"/>
    <s v="TRAD"/>
    <s v="PO Box 9926;Albuquerque NM 87119;USA"/>
    <s v="USD"/>
    <x v="1551"/>
    <x v="3"/>
    <x v="270"/>
    <s v="Vehicle Towing, Roadside Assistance, Recovery, Transport"/>
  </r>
  <r>
    <n v="143939"/>
    <x v="1"/>
    <x v="1638"/>
    <s v="TRAD"/>
    <s v="1122West Front Street;Plainfield NJ 07063;USA"/>
    <s v="USD"/>
    <x v="1552"/>
    <x v="21"/>
    <x v="370"/>
    <s v="Landscaping, Snow Removal, Grounds Keeping, Cleaning"/>
  </r>
  <r>
    <s v="000555"/>
    <x v="1"/>
    <x v="1639"/>
    <s v="TRAD"/>
    <s v="15 Sheldon Dr;Cambridge ON N1R 6R8;CAN"/>
    <s v="CAD"/>
    <x v="1553"/>
    <x v="4"/>
    <x v="73"/>
    <s v="Paints, Stains, Coatings, Color Matching, Industrial Coatings"/>
  </r>
  <r>
    <n v="150761"/>
    <x v="1"/>
    <x v="1640"/>
    <s v="TRAD"/>
    <s v="1525 Ritson Rd S #38;Oshawa ON L1J 3M3;CAN"/>
    <s v="CAD"/>
    <x v="1554"/>
    <x v="20"/>
    <x v="309"/>
    <s v="Janitorial Services, Office Cleaning, Facility Maintenance"/>
  </r>
  <r>
    <n v="144013"/>
    <x v="1"/>
    <x v="1641"/>
    <s v="TRAD"/>
    <s v="PO Box 420;Tampa FL 33601;USA"/>
    <s v="USD"/>
    <x v="1555"/>
    <x v="14"/>
    <x v="413"/>
    <s v="Business Advocacy, Networking, Economic Development, Community Events"/>
  </r>
  <r>
    <n v="103208"/>
    <x v="1"/>
    <x v="1642"/>
    <s v="FRAN"/>
    <s v="PO Box 2551;Baton Rouge LA 70821 2551;USA"/>
    <s v="USD"/>
    <x v="1556"/>
    <x v="8"/>
    <x v="794"/>
    <s v="Container Rental, Moving Storage, On-Site Storage"/>
  </r>
  <r>
    <n v="103196"/>
    <x v="1"/>
    <x v="1643"/>
    <s v="FRAN"/>
    <s v="3240 FLIGHTLINE DR;Lakeland FL 33811-2844;USA"/>
    <s v="USD"/>
    <x v="1557"/>
    <x v="8"/>
    <x v="63"/>
    <s v="Container Rental, Moving Storage, On-Site Storage"/>
  </r>
  <r>
    <n v="122133"/>
    <x v="1"/>
    <x v="1644"/>
    <s v="TRAD"/>
    <s v="2601 Bernice Rd;Lansing IL 60438-1010;USA"/>
    <s v="USD"/>
    <x v="1558"/>
    <x v="27"/>
    <x v="795"/>
    <s v="Wholesale Distribution, Beverage Sales, Delivery Services"/>
  </r>
  <r>
    <n v="144604"/>
    <x v="1"/>
    <x v="1645"/>
    <s v="TRAD"/>
    <s v="29 Pine Glen Drive;Ludlow MA 01056;USA"/>
    <s v="USD"/>
    <x v="1559"/>
    <x v="24"/>
    <x v="115"/>
    <s v="Lawn Care, Landscaping Design, Snow Removal, Grounds Maintenance"/>
  </r>
  <r>
    <n v="132589"/>
    <x v="1"/>
    <x v="1646"/>
    <s v="TRAD"/>
    <s v="276 Saint-Jacques St;Ste 900;Montreal QC H2Y 1N3;CAN"/>
    <s v="USD"/>
    <x v="1560"/>
    <x v="0"/>
    <x v="796"/>
    <s v="Financial Advisory, Investment Consulting, Business Strategy"/>
  </r>
  <r>
    <n v="128341"/>
    <x v="1"/>
    <x v="1647"/>
    <s v="TRAD"/>
    <s v="Dept. 5874;PO Box 11407;Birmingham AL 35246-0100;USA"/>
    <s v="USD"/>
    <x v="1561"/>
    <x v="4"/>
    <x v="443"/>
    <s v="Document Storage, Secure Shredding, Digital Scanning, Records Management, Compliance"/>
  </r>
  <r>
    <n v="131453"/>
    <x v="1"/>
    <x v="1648"/>
    <s v="TRAD"/>
    <s v="390 W 11th Ave;Eugene OR 97401-3030;USA"/>
    <s v="USD"/>
    <x v="1562"/>
    <x v="3"/>
    <x v="378"/>
    <s v="Tire Sales, Tire Repair, Alignment, Brakes, Auto Service"/>
  </r>
  <r>
    <n v="108476"/>
    <x v="1"/>
    <x v="1649"/>
    <s v="TRAD"/>
    <s v="PO Box 676576;Dallas TX 75267;USA"/>
    <s v="USD"/>
    <x v="1563"/>
    <x v="30"/>
    <x v="797"/>
    <s v="Garage Doors, Commercial Doors, Access Systems, Openers, Rolling Steel Doors"/>
  </r>
  <r>
    <s v="001089"/>
    <x v="1"/>
    <x v="1650"/>
    <s v="TRAD"/>
    <s v="4427 Dawson St;Burnaby BC V5C 4B8;CAN"/>
    <s v="CAD"/>
    <x v="1564"/>
    <x v="16"/>
    <x v="798"/>
    <s v="Refrigeration Service, Air Conditioning, Installation, Repair"/>
  </r>
  <r>
    <n v="145286"/>
    <x v="1"/>
    <x v="648"/>
    <s v="TRAD"/>
    <s v="935 National Parkway;Suite 40;Schaumburg IL 60173;USA"/>
    <s v="USD"/>
    <x v="1565"/>
    <x v="4"/>
    <x v="799"/>
    <s v="Commercial &amp; Consumer Collections, Global Receivables, Compliance Services"/>
  </r>
  <r>
    <n v="122544"/>
    <x v="1"/>
    <x v="1651"/>
    <s v="TRAD"/>
    <s v="1321 Chuck Dawley Blvd;Ste 102;Mount Pleasant SC 29464-7304;USA"/>
    <s v="USD"/>
    <x v="1566"/>
    <x v="20"/>
    <x v="309"/>
    <s v="Janitorial, Office Cleaning, Disinfection, Floor Care"/>
  </r>
  <r>
    <n v="151327"/>
    <x v="1"/>
    <x v="1652"/>
    <s v="RENT"/>
    <s v="100 COLONIAL WAY;WEST CHESTER PA 19382-6895;USA"/>
    <s v="USD"/>
    <x v="1567"/>
    <x v="34"/>
    <x v="800"/>
    <s v="Wood Fencing, Fence Installation, Fence Construction"/>
  </r>
  <r>
    <n v="150816"/>
    <x v="1"/>
    <x v="1653"/>
    <s v="TRAD"/>
    <s v="2368 Peardonville Road;Abbotsford BC V2T 6J8;CAN"/>
    <s v="CAD"/>
    <x v="1568"/>
    <x v="30"/>
    <x v="801"/>
    <s v="Automatic Doors, Access Solutions, Security Doors"/>
  </r>
  <r>
    <n v="128733"/>
    <x v="1"/>
    <x v="1654"/>
    <s v="TRAD"/>
    <s v="PO Box 638767;Cinncinnati OH 45263;USA"/>
    <s v="USD"/>
    <x v="1569"/>
    <x v="16"/>
    <x v="802"/>
    <s v="HVLS Ceiling Fans, Directional Fans, Evaporative Coolers, Infrared Heaters"/>
  </r>
  <r>
    <n v="152476"/>
    <x v="1"/>
    <x v="1655"/>
    <s v="TRAD"/>
    <s v="2240 W EXCHANGE ST;CRETE IL 60417-9616;USA"/>
    <s v="USD"/>
    <x v="1570"/>
    <x v="10"/>
    <x v="302"/>
    <s v="General Trade Services, Contracting"/>
  </r>
  <r>
    <n v="118300"/>
    <x v="1"/>
    <x v="1656"/>
    <s v="TRAD"/>
    <s v="608 Deal Rd;Ocean NJ 07712-3623;USA"/>
    <s v="USD"/>
    <x v="1571"/>
    <x v="30"/>
    <x v="717"/>
    <s v="Garage Door Repair, Installation, Maintenance"/>
  </r>
  <r>
    <n v="150068"/>
    <x v="1"/>
    <x v="1657"/>
    <s v="TRAD"/>
    <s v="105 Split Oak CT,;Myrtle Beach SC 29588;USA"/>
    <s v="USD"/>
    <x v="1572"/>
    <x v="20"/>
    <x v="719"/>
    <s v="Commercial Landscaping, Lawn Care, Property Maintenance, Irrigation"/>
  </r>
  <r>
    <n v="104331"/>
    <x v="1"/>
    <x v="1658"/>
    <s v="TRAD"/>
    <s v="1249 Stringfield Ave;Sarasota FL 34237-3037;USA"/>
    <s v="USD"/>
    <x v="1573"/>
    <x v="30"/>
    <x v="188"/>
    <s v="Garage Door Installation, Repair, Commercial Doors, Openers"/>
  </r>
  <r>
    <n v="126645"/>
    <x v="1"/>
    <x v="1659"/>
    <s v="TRAD"/>
    <s v="13 Heather Valley Cir;Saint Peters MO 63376-2405;USA"/>
    <s v="USD"/>
    <x v="1574"/>
    <x v="20"/>
    <x v="349"/>
    <s v="Residential Cleaning, Office Cleaning, Janitorial Services"/>
  </r>
  <r>
    <n v="146480"/>
    <x v="1"/>
    <x v="1660"/>
    <s v="TRAD"/>
    <s v="17321 NE Sacramento Street;Portland OR 97230;USA"/>
    <s v="USD"/>
    <x v="1575"/>
    <x v="14"/>
    <x v="803"/>
    <s v="Philanthropy, Charitable Giving"/>
  </r>
  <r>
    <n v="150517"/>
    <x v="1"/>
    <x v="1661"/>
    <s v="TRAD"/>
    <s v="3795 KINGS HWY;DOUGLASVILLE GA 30135-3383;USA"/>
    <s v="USD"/>
    <x v="1576"/>
    <x v="3"/>
    <x v="270"/>
    <s v="Towing, Roadside Assistance, Accident Recovery, Vehicle Transport"/>
  </r>
  <r>
    <n v="119912"/>
    <x v="1"/>
    <x v="1662"/>
    <s v="TRAD"/>
    <s v="6601 Pulaski Hwy;Rosedale MD 21237-1216;USA"/>
    <s v="USD"/>
    <x v="1577"/>
    <x v="3"/>
    <x v="804"/>
    <s v="Commercial Tire Sales, Tire Repair, Fleet Tire Programs, Alignment"/>
  </r>
  <r>
    <n v="141041"/>
    <x v="1"/>
    <x v="1663"/>
    <s v="TRAD"/>
    <s v="30596 Groesbeck;Roseville MI 48066;USA"/>
    <s v="USD"/>
    <x v="1578"/>
    <x v="30"/>
    <x v="805"/>
    <s v="Overhead Doors, Dock Levelers, Loading Dock Equipment, Service &amp; Repair"/>
  </r>
  <r>
    <n v="143202"/>
    <x v="1"/>
    <x v="1664"/>
    <s v="TRAD"/>
    <s v="PO Box 6156;Austin TX 78762;USA"/>
    <s v="USD"/>
    <x v="1579"/>
    <x v="20"/>
    <x v="806"/>
    <s v="Pressure Washers, Parts Washers, Cleaning Equipment, Detergents, Service &amp; Repair"/>
  </r>
  <r>
    <n v="146635"/>
    <x v="1"/>
    <x v="1665"/>
    <s v="TRAD"/>
    <s v="7410 Expressway Drive;Grand Rapids MI 49548;USA"/>
    <s v="USD"/>
    <x v="1580"/>
    <x v="3"/>
    <x v="286"/>
    <s v="Forklift Sales, Forklift Rental, Parts, Service &amp; Repair, Warehouse Equipment"/>
  </r>
  <r>
    <n v="115066"/>
    <x v="1"/>
    <x v="1666"/>
    <s v="TRAD"/>
    <s v="PO Box 15308;Little Rock AR 72231-5308;USA"/>
    <s v="USD"/>
    <x v="1581"/>
    <x v="19"/>
    <x v="593"/>
    <s v="Fuel Delivery, Gas Station Supply, Diesel &amp; Gasoline Distribution"/>
  </r>
  <r>
    <n v="102963"/>
    <x v="1"/>
    <x v="1667"/>
    <s v="TRAD"/>
    <s v="ATTN: Jim Lippert;1637-97 DIXIE HWY;Hamilton OH 45011-4087;USA"/>
    <s v="USD"/>
    <x v="1582"/>
    <x v="11"/>
    <x v="807"/>
    <s v="Industrial Casters, Material Handling Wheels, Custom Manufacturing"/>
  </r>
  <r>
    <n v="151205"/>
    <x v="1"/>
    <x v="1668"/>
    <s v="TRAD"/>
    <s v="5601 ALDRIN CT;STE A1;BAKERSFIELD CA 93313-2113;USA"/>
    <s v="USD"/>
    <x v="1583"/>
    <x v="35"/>
    <x v="610"/>
    <s v="Class A CDL Training, ELDT Courses, Job Placement, Behind-the-Wheel Training"/>
  </r>
  <r>
    <n v="150804"/>
    <x v="1"/>
    <x v="1669"/>
    <s v="TRAD"/>
    <s v="60 LANCES LN;COVINGTON GA 30016-9153;USA"/>
    <s v="USD"/>
    <x v="1583"/>
    <x v="2"/>
    <x v="248"/>
    <s v="Trucking, Freight, Delivery Services, LTL Shipping"/>
  </r>
  <r>
    <n v="149964"/>
    <x v="1"/>
    <x v="1670"/>
    <s v="TRAD"/>
    <s v="50 N Harrison Ave, #2;Congers NY 10920;USA"/>
    <s v="USD"/>
    <x v="1583"/>
    <x v="10"/>
    <x v="184"/>
    <s v="Commercial Construction, Renovation, General Contracting, Project Management"/>
  </r>
  <r>
    <n v="148189"/>
    <x v="1"/>
    <x v="1671"/>
    <s v="TRAD"/>
    <s v="609 Incentive Drive;Fort Wayne IN 46825;USA"/>
    <s v="USD"/>
    <x v="1583"/>
    <x v="33"/>
    <x v="808"/>
    <s v="Landscape Design, Lawn Care, Hardscaping, Seasonal Services"/>
  </r>
  <r>
    <n v="150764"/>
    <x v="1"/>
    <x v="1672"/>
    <s v="TRAD"/>
    <s v="550 EISENHOWER RD;LEAVENWORTH KS 66048-1190;USA"/>
    <s v="USD"/>
    <x v="1583"/>
    <x v="6"/>
    <x v="809"/>
    <s v="Military Family Support, Community Programs, Education, Events"/>
  </r>
  <r>
    <n v="147260"/>
    <x v="1"/>
    <x v="1673"/>
    <s v="TRAD"/>
    <s v="11358 E 60th Pl;Tulsa OK 74146;USA"/>
    <s v="USD"/>
    <x v="1584"/>
    <x v="30"/>
    <x v="346"/>
    <s v="Overhead Doors, Installation, Repair, Industrial Doors"/>
  </r>
  <r>
    <n v="142801"/>
    <x v="1"/>
    <x v="1674"/>
    <s v="TRAD"/>
    <s v="101 Mount Hope Avenue;Bristol RI 02809;USA"/>
    <s v="USD"/>
    <x v="1585"/>
    <x v="26"/>
    <x v="292"/>
    <s v="Fire Extinguishers, Safety Equipment, Inspections"/>
  </r>
  <r>
    <n v="103095"/>
    <x v="1"/>
    <x v="1675"/>
    <s v="FRAN"/>
    <s v="3240 Flightline Dr;Lakeland FL 33811 2844;USA"/>
    <s v="USD"/>
    <x v="1586"/>
    <x v="8"/>
    <x v="63"/>
    <s v="Container Rental, Moving Storage, On-Site Storage"/>
  </r>
  <r>
    <n v="149584"/>
    <x v="1"/>
    <x v="1676"/>
    <s v="TRAD"/>
    <s v="20 Thomas Drive;Westbrook ME 04092;USA"/>
    <s v="USD"/>
    <x v="1587"/>
    <x v="16"/>
    <x v="281"/>
    <s v="Temperature Control, Air Conditioning, Heating"/>
  </r>
  <r>
    <s v="000635"/>
    <x v="1"/>
    <x v="1677"/>
    <s v="TRAD"/>
    <s v="160 Milner Ave;Scarborough ON M1S 3R3;CAN"/>
    <s v="CAD"/>
    <x v="1588"/>
    <x v="2"/>
    <x v="810"/>
    <s v="Tie-Down Straps, Cargo Nets, Cargo Bars, Rigging Hardware, Auto Transport Supplies"/>
  </r>
  <r>
    <n v="128775"/>
    <x v="1"/>
    <x v="1678"/>
    <s v="TRAD"/>
    <s v="PO Box 7247;Philadelphia PA 19170;USA"/>
    <s v="USD"/>
    <x v="1589"/>
    <x v="5"/>
    <x v="334"/>
    <s v="Life Insurance, Annuities, Retirement Plans, Group Benefits"/>
  </r>
  <r>
    <n v="110746"/>
    <x v="1"/>
    <x v="1679"/>
    <s v="TRAD"/>
    <s v="5890 Fisher Rd;East Syracuse NY 13057-2962;USA"/>
    <s v="USD"/>
    <x v="1590"/>
    <x v="11"/>
    <x v="811"/>
    <s v="Hydraulic Cylinder Repair, Hose Assembly, Pump Service, Industrial Hydraulics"/>
  </r>
  <r>
    <n v="151265"/>
    <x v="1"/>
    <x v="1680"/>
    <s v="TRAD"/>
    <s v="1362 W BANCROFT ST;TOLEDO OH 43606-4635;USA"/>
    <s v="USD"/>
    <x v="1591"/>
    <x v="10"/>
    <x v="812"/>
    <s v="Debris Removal, Construction Hauling, Demolition"/>
  </r>
  <r>
    <n v="113153"/>
    <x v="1"/>
    <x v="1681"/>
    <s v="TRAD"/>
    <s v="17601 113th Ave N;Maple Grove MN 55369-3284;USA"/>
    <s v="USD"/>
    <x v="1592"/>
    <x v="10"/>
    <x v="813"/>
    <s v="Custom Metal Fabrication, Structural Welding, Repair Services"/>
  </r>
  <r>
    <n v="150259"/>
    <x v="1"/>
    <x v="1682"/>
    <s v="TRAD"/>
    <s v="196 Atkins St.;Meriden CT 06450;USA"/>
    <s v="USD"/>
    <x v="1593"/>
    <x v="26"/>
    <x v="213"/>
    <s v="Unarmed Guards, Event Security, Patrol Services, Security Consulting"/>
  </r>
  <r>
    <n v="144192"/>
    <x v="1"/>
    <x v="1683"/>
    <s v="TRAD"/>
    <s v="485 Hillsdale Drive;Suite 341;Charlottesville VA 22901;USA"/>
    <s v="USD"/>
    <x v="1594"/>
    <x v="5"/>
    <x v="814"/>
    <s v="Workers' Comp Claims, Property Claims, Liability Claims"/>
  </r>
  <r>
    <n v="140975"/>
    <x v="1"/>
    <x v="1684"/>
    <s v="TRAD"/>
    <s v="420 Montgomery Street;San Francisco CA 94101;USA"/>
    <s v="USD"/>
    <x v="1595"/>
    <x v="6"/>
    <x v="815"/>
    <s v="File Sharing, Collaboration, e-Signatures, Workflow Automation, AI-Powered Insights"/>
  </r>
  <r>
    <n v="140520"/>
    <x v="1"/>
    <x v="1685"/>
    <s v="RENT"/>
    <s v="4713 French Dr;Corpus Christi TX 78411;USA"/>
    <s v="USD"/>
    <x v="1595"/>
    <x v="8"/>
    <x v="28"/>
    <s v="Real Estate, Property Rental"/>
  </r>
  <r>
    <n v="118249"/>
    <x v="1"/>
    <x v="1686"/>
    <s v="RENT"/>
    <s v="673 ROUTE 115;SAYLORSBURG PA 18353-8721;USA"/>
    <s v="USD"/>
    <x v="1595"/>
    <x v="8"/>
    <x v="28"/>
    <s v="Real Estate, Property Management"/>
  </r>
  <r>
    <n v="143034"/>
    <x v="1"/>
    <x v="1687"/>
    <s v="RENT"/>
    <s v="3631 South 6th Street;Springfield IL 62703;USA"/>
    <s v="USD"/>
    <x v="1595"/>
    <x v="34"/>
    <x v="816"/>
    <s v="Fitness Equipment Leasing, Gym Setup, Commercial Fitness Solutions"/>
  </r>
  <r>
    <n v="116387"/>
    <x v="1"/>
    <x v="1688"/>
    <s v="TRAD"/>
    <s v="PO Box 180245;Casselberry FL 32718-0245;USA"/>
    <s v="USD"/>
    <x v="1595"/>
    <x v="10"/>
    <x v="87"/>
    <s v="General Contracting, Building Maintenance, Renovation, Commercial Construction"/>
  </r>
  <r>
    <n v="142434"/>
    <x v="1"/>
    <x v="1689"/>
    <s v="TRAD"/>
    <s v="PO Box 262;Rocky Point NC 28457;USA"/>
    <s v="USD"/>
    <x v="1595"/>
    <x v="3"/>
    <x v="514"/>
    <s v="Vehicle Towing, Transport, Roadside Assistance, Heavy-Duty Towing"/>
  </r>
  <r>
    <n v="125273"/>
    <x v="1"/>
    <x v="1690"/>
    <s v="TRAD"/>
    <s v="PO Box 8351;Turnersville NJ 08012-8351;USA"/>
    <s v="USD"/>
    <x v="1596"/>
    <x v="20"/>
    <x v="309"/>
    <s v="Janitorial, Office Cleaning, Floor Care"/>
  </r>
  <r>
    <n v="105581"/>
    <x v="1"/>
    <x v="1691"/>
    <s v="TRAD"/>
    <s v="PO Box 2462;Woodbridge VA 22195 2462;USA"/>
    <s v="USD"/>
    <x v="1597"/>
    <x v="20"/>
    <x v="817"/>
    <s v="Fleet Washing, Vehicle Detailing, Mobile Cleaning, Pressure Washing"/>
  </r>
  <r>
    <n v="145626"/>
    <x v="1"/>
    <x v="1692"/>
    <s v="TRAD"/>
    <s v="PO Box 763;Wrightwood CA 92397;USA"/>
    <s v="USD"/>
    <x v="1598"/>
    <x v="10"/>
    <x v="528"/>
    <s v="Professional Services"/>
  </r>
  <r>
    <s v="000621"/>
    <x v="1"/>
    <x v="1693"/>
    <s v="TRAD"/>
    <s v="500 Grande Allee Est;Quebec QC G1R 2J7;CAN"/>
    <s v="CAD"/>
    <x v="1599"/>
    <x v="12"/>
    <x v="48"/>
    <s v="Business Law, Litigation, M&amp;A, Tax, IP, Real Estate, Employment, Government"/>
  </r>
  <r>
    <n v="151267"/>
    <x v="1"/>
    <x v="1694"/>
    <s v="TRAD"/>
    <s v="177 JONES ACRES DR;MACON GA 31217-2200;USA"/>
    <s v="USD"/>
    <x v="1600"/>
    <x v="24"/>
    <x v="638"/>
    <s v="Mowing, Edging, Lawn Maintenance, Grounds Care"/>
  </r>
  <r>
    <n v="130111"/>
    <x v="1"/>
    <x v="1695"/>
    <s v="TRAD"/>
    <s v="PO Box 856274;Minneapolis MN 55485-6274;USA"/>
    <s v="USD"/>
    <x v="1601"/>
    <x v="11"/>
    <x v="37"/>
    <s v="Forklift Sales &amp; Rentals, Aerial Lifts, Warehouse Solutions, Parts &amp; Service"/>
  </r>
  <r>
    <n v="131504"/>
    <x v="1"/>
    <x v="1696"/>
    <s v="TRAD"/>
    <s v="2453 Carpenter Rd;Carlisle KY 40311-9774;USA"/>
    <s v="USD"/>
    <x v="1602"/>
    <x v="7"/>
    <x v="218"/>
    <s v="Consulting, Contracting Services"/>
  </r>
  <r>
    <n v="148733"/>
    <x v="1"/>
    <x v="1697"/>
    <s v="TRAD"/>
    <s v="21 Aldbourne Drive;Bristol CT 06010;USA"/>
    <s v="USD"/>
    <x v="1603"/>
    <x v="24"/>
    <x v="115"/>
    <s v="Lawn Maintenance, Landscape Design, Mulching, Tree Service, Seasonal Cleanup"/>
  </r>
  <r>
    <n v="141029"/>
    <x v="1"/>
    <x v="1698"/>
    <s v="TRAD"/>
    <s v="Po Box 690265;Houston TX 77269;USA"/>
    <s v="USD"/>
    <x v="1604"/>
    <x v="7"/>
    <x v="218"/>
    <s v="Consulting, Contracting Services"/>
  </r>
  <r>
    <s v="000025"/>
    <x v="1"/>
    <x v="1699"/>
    <s v="TRAD"/>
    <s v="51 King street;Suite 3;Barrie ON L4N 6B5;CAN"/>
    <s v="CAD"/>
    <x v="1605"/>
    <x v="8"/>
    <x v="28"/>
    <s v="Real Estate, Property Management"/>
  </r>
  <r>
    <n v="114964"/>
    <x v="1"/>
    <x v="1700"/>
    <s v="TRAD"/>
    <s v="29787 Network Place;Chicago IL 60673;USA"/>
    <s v="USD"/>
    <x v="1606"/>
    <x v="3"/>
    <x v="305"/>
    <s v="Truck Parts, Brake Components, Suspension, Driveline, Fleet Parts"/>
  </r>
  <r>
    <n v="151376"/>
    <x v="1"/>
    <x v="1701"/>
    <s v="TRAD"/>
    <s v="685 ROBERT M GRISSOM PKWY;MYRTLE BEACH SC 29577-6564;USA"/>
    <s v="USD"/>
    <x v="1607"/>
    <x v="21"/>
    <x v="818"/>
    <s v="Property Maintenance, Facility Services, Landscaping, Building Maintenance"/>
  </r>
  <r>
    <n v="109679"/>
    <x v="1"/>
    <x v="1702"/>
    <s v="TRAD"/>
    <s v="3224 Gresham Lake Rd;Raleigh NC 27615 4106;USA"/>
    <s v="USD"/>
    <x v="1608"/>
    <x v="30"/>
    <x v="188"/>
    <s v="Garage Door Installation, Repair, Commercial Doors, Openers"/>
  </r>
  <r>
    <n v="145315"/>
    <x v="1"/>
    <x v="1703"/>
    <s v="TRAD"/>
    <s v="PO Box 471280;Tulsa OK 74147;USA"/>
    <s v="USD"/>
    <x v="1609"/>
    <x v="20"/>
    <x v="309"/>
    <s v="Janitorial, Carpet Cleaning, Floor Maintenance"/>
  </r>
  <r>
    <n v="104702"/>
    <x v="1"/>
    <x v="1704"/>
    <s v="TRAD"/>
    <s v="PO Box 307;Maple Shade NJ 08052 0307;USA"/>
    <s v="USD"/>
    <x v="1610"/>
    <x v="3"/>
    <x v="819"/>
    <s v="Forklift Sales, Rentals, Parts, Service &amp; Repair"/>
  </r>
  <r>
    <n v="119534"/>
    <x v="1"/>
    <x v="1705"/>
    <s v="TRAD"/>
    <s v="3020 S West Temple;Salt Lake City UT 84115-3714;USA"/>
    <s v="USD"/>
    <x v="1611"/>
    <x v="10"/>
    <x v="820"/>
    <s v="Mechanical Engineering, HVAC Design, Plumbing Design, Construction Management"/>
  </r>
  <r>
    <n v="105505"/>
    <x v="1"/>
    <x v="1706"/>
    <s v="TRAD"/>
    <s v="2255 Avenue A;Bethlehem PA 18017 2107;USA"/>
    <s v="USD"/>
    <x v="1612"/>
    <x v="3"/>
    <x v="368"/>
    <s v="Truck Tires, Tire Retreading, Roadside Service, Fleet Tire Management"/>
  </r>
  <r>
    <n v="127466"/>
    <x v="1"/>
    <x v="1707"/>
    <s v="TRAD"/>
    <s v="36318 Sussex Hwy;Delmar DE 19940-3573;USA"/>
    <s v="USD"/>
    <x v="1613"/>
    <x v="30"/>
    <x v="601"/>
    <s v="Garage Doors, Commercial Doors, Openers, Installation, Repair, Maintenance"/>
  </r>
  <r>
    <n v="141102"/>
    <x v="1"/>
    <x v="1708"/>
    <s v="TRAD"/>
    <s v="Po Box 16489;Tampa FL 33687;USA"/>
    <s v="USD"/>
    <x v="1614"/>
    <x v="1"/>
    <x v="821"/>
    <s v="Printing, Copying, Binding, Document Management"/>
  </r>
  <r>
    <n v="151172"/>
    <x v="1"/>
    <x v="1709"/>
    <s v="TRAD"/>
    <s v="6990 BRIGHTON DR;DUBLIN CA 94568-1753;USA"/>
    <s v="USD"/>
    <x v="1615"/>
    <x v="20"/>
    <x v="822"/>
    <s v="Commercial Cleaning, Exterior Cleaning, Surface Restoration"/>
  </r>
  <r>
    <n v="125598"/>
    <x v="1"/>
    <x v="1710"/>
    <s v="LEGAL"/>
    <s v="10 Temple Back, 1st Floor;BRISTOL ;USA"/>
    <s v="USD"/>
    <x v="1616"/>
    <x v="4"/>
    <x v="823"/>
    <s v="Trust Administration, Company Formation, Corporate Governance, Compliance, Fund Services"/>
  </r>
  <r>
    <n v="151251"/>
    <x v="1"/>
    <x v="1711"/>
    <s v="TRAD"/>
    <s v="1470 LAKESIDE DR;HUDSONVILLE MI 49426-8104;USA"/>
    <s v="USD"/>
    <x v="1617"/>
    <x v="20"/>
    <x v="309"/>
    <s v="Residential Cleaning, Office Cleaning, Facility Maintenance"/>
  </r>
  <r>
    <n v="130438"/>
    <x v="1"/>
    <x v="1712"/>
    <s v="RENT"/>
    <s v="7 Josephine Rd;Santa Fe NM 87508-4445;USA"/>
    <s v="USD"/>
    <x v="1617"/>
    <x v="8"/>
    <x v="28"/>
    <s v="Real Estate, Property Management"/>
  </r>
  <r>
    <n v="150355"/>
    <x v="1"/>
    <x v="1713"/>
    <s v="FRGT"/>
    <s v="5950 FAIRVIEW RD;STE 502;CHARLOTTE NC 28210-3104;USA"/>
    <s v="USD"/>
    <x v="1618"/>
    <x v="2"/>
    <x v="2"/>
    <s v="Truckload, LTL, Logistics, Expedited Freight, Warehousing"/>
  </r>
  <r>
    <n v="144092"/>
    <x v="1"/>
    <x v="1714"/>
    <s v="TRAD"/>
    <s v="335 Ronkonkoma Avenue;Ronkonkoma NY 11779;USA"/>
    <s v="USD"/>
    <x v="1619"/>
    <x v="3"/>
    <x v="270"/>
    <s v="Vehicle Towing, Roadside Assistance, Recovery"/>
  </r>
  <r>
    <n v="150048"/>
    <x v="1"/>
    <x v="1715"/>
    <s v="TRAD"/>
    <s v="7001 Saint Andrews Rd.;PPO 426;Columbia SC 29212;USA"/>
    <s v="USD"/>
    <x v="1620"/>
    <x v="3"/>
    <x v="236"/>
    <s v="Vehicle Wraps, Window Tinting, Custom Graphics, Fleet Graphics, Signage"/>
  </r>
  <r>
    <n v="120376"/>
    <x v="1"/>
    <x v="1716"/>
    <s v="TRAD"/>
    <s v="PO Box 508;Nederland TX 77627-0508;USA"/>
    <s v="USD"/>
    <x v="1621"/>
    <x v="24"/>
    <x v="824"/>
    <s v="Landscape Contractors, Fence Installation, Lawn Maintenance"/>
  </r>
  <r>
    <n v="103210"/>
    <x v="1"/>
    <x v="1717"/>
    <s v="FRAN"/>
    <s v="CAROLINA;440 Viking Dr,Ste 240;Virginia Beach VA 23452 7326;USA"/>
    <s v="USD"/>
    <x v="1622"/>
    <x v="8"/>
    <x v="63"/>
    <s v="Container Rental, Moving Storage, On-Site Storage"/>
  </r>
  <r>
    <n v="145101"/>
    <x v="1"/>
    <x v="1718"/>
    <s v="FRGT"/>
    <s v="PO Box 4484;Wallingford CT 06492;USA"/>
    <s v="USD"/>
    <x v="1623"/>
    <x v="2"/>
    <x v="24"/>
    <s v="Freight Brokerage, Trucking, Transportation, Delivery"/>
  </r>
  <r>
    <n v="132407"/>
    <x v="1"/>
    <x v="1719"/>
    <s v="TRAD"/>
    <s v="225 Rocky Creek Rd;Greenville SC 29615;USA"/>
    <s v="USD"/>
    <x v="1624"/>
    <x v="33"/>
    <x v="825"/>
    <s v="Grading, Erosion Control, Stormwater Design, Land Planning, Utility Design"/>
  </r>
  <r>
    <n v="127807"/>
    <x v="1"/>
    <x v="1720"/>
    <s v="UTIL"/>
    <s v="PO Box 791519;Baltimore MD 21279-1519;USA"/>
    <s v="USD"/>
    <x v="1625"/>
    <x v="25"/>
    <x v="826"/>
    <s v="Waste Collection, Recycling, Solid Waste Disposal, Liquid Waste Services"/>
  </r>
  <r>
    <n v="150706"/>
    <x v="1"/>
    <x v="1721"/>
    <s v="TRAD"/>
    <s v="4504 - 14 Street NE;Calgary AB T2E 6T7;CAN"/>
    <s v="CAD"/>
    <x v="1626"/>
    <x v="20"/>
    <x v="827"/>
    <s v="Forklift Repair, Heavy Equipment Service, Preventive Maintenance, Parts Supply"/>
  </r>
  <r>
    <n v="129158"/>
    <x v="1"/>
    <x v="1722"/>
    <s v="TRAD"/>
    <s v="3205 Baumberg Ct;Hayward CA 94545-4400;USA"/>
    <s v="USD"/>
    <x v="1627"/>
    <x v="24"/>
    <x v="478"/>
    <s v="Fence Installation, Chain Link, Wood Fencing, Gates"/>
  </r>
  <r>
    <n v="151626"/>
    <x v="1"/>
    <x v="1723"/>
    <s v="TRAD"/>
    <s v="213 MARTHA LEE DR;HAMPTON VA 23666-3822;USA"/>
    <s v="USD"/>
    <x v="1628"/>
    <x v="4"/>
    <x v="828"/>
    <s v="Equipment Repair, Maintenance, Service"/>
  </r>
  <r>
    <n v="151159"/>
    <x v="1"/>
    <x v="1724"/>
    <s v="TRAD"/>
    <s v="2201 MENAUL BLVD NE;Ste A;ALBUQUERQUE NM 87107-1711;USA"/>
    <s v="USD"/>
    <x v="1629"/>
    <x v="8"/>
    <x v="28"/>
    <s v="Real Estate, Property Management"/>
  </r>
  <r>
    <n v="152343"/>
    <x v="1"/>
    <x v="1725"/>
    <s v="TRAD"/>
    <s v="17105 BEYER JOHN DR;SELMA TX 78154-0359;USA"/>
    <s v="USD"/>
    <x v="1630"/>
    <x v="10"/>
    <x v="250"/>
    <s v="HVAC, Plumbing, Refrigeration, Mechanical Repair"/>
  </r>
  <r>
    <n v="140876"/>
    <x v="1"/>
    <x v="1726"/>
    <s v="TRAD"/>
    <s v="PO Box 230368;Tigard OR 97281;USA"/>
    <s v="USD"/>
    <x v="1631"/>
    <x v="30"/>
    <x v="188"/>
    <s v="Garage Door Repair, Installation, Commercial Doors, Openers"/>
  </r>
  <r>
    <s v="001019"/>
    <x v="1"/>
    <x v="1727"/>
    <s v="TRAD"/>
    <s v="6801 Boul Levesque Est;Laval QC H7A 0E1;CAN"/>
    <s v="CAD"/>
    <x v="1632"/>
    <x v="4"/>
    <x v="182"/>
    <s v="Toll Collection, Transponder Services, Bridge Operations"/>
  </r>
  <r>
    <n v="152668"/>
    <x v="1"/>
    <x v="1728"/>
    <s v="RENT"/>
    <s v="125 S HOWES ST;STE 500;FORT COLLINS CO 80521-2737;USA"/>
    <s v="USD"/>
    <x v="1633"/>
    <x v="21"/>
    <x v="106"/>
    <s v="Property Management, Residential, Commercial, HOA Management, Leasing"/>
  </r>
  <r>
    <n v="147905"/>
    <x v="1"/>
    <x v="1729"/>
    <s v="TRAD"/>
    <s v="934 E Rose Street;Lakeland FL 33801;USA"/>
    <s v="USD"/>
    <x v="1634"/>
    <x v="24"/>
    <x v="760"/>
    <s v="Commercial Fencing, Residential Fencing, Chain Link, Wood, Vinyl Fences"/>
  </r>
  <r>
    <n v="145051"/>
    <x v="1"/>
    <x v="1730"/>
    <s v="BROKER"/>
    <s v="955 Deming Way;Sparks NV 89431;USA"/>
    <s v="USD"/>
    <x v="1635"/>
    <x v="13"/>
    <x v="539"/>
    <s v="Residential Moving, Commercial Moving, Storage, Logistics"/>
  </r>
  <r>
    <n v="150678"/>
    <x v="1"/>
    <x v="1731"/>
    <s v="FRGT"/>
    <s v="745 DILLON DR;WOOD DALE IL 60191-1273;USA"/>
    <s v="USD"/>
    <x v="1635"/>
    <x v="2"/>
    <x v="829"/>
    <s v="Global Shipping, Supply Chain, Freight Services"/>
  </r>
  <r>
    <n v="128084"/>
    <x v="1"/>
    <x v="1732"/>
    <s v="BROKER"/>
    <s v="126 E La Pasada Blvd;Goodyear AZ 85338-1218;USA"/>
    <s v="USD"/>
    <x v="1635"/>
    <x v="2"/>
    <x v="830"/>
    <s v="Freight Brokerage, Transportation Management, Delivery Coordination"/>
  </r>
  <r>
    <n v="149482"/>
    <x v="1"/>
    <x v="1733"/>
    <s v="FRGT"/>
    <s v="100 Kachel Boulevard;Reading PA 19607;USA"/>
    <s v="USD"/>
    <x v="1635"/>
    <x v="2"/>
    <x v="831"/>
    <s v="Supply Chain Management, Dedicated Contract Carriage, Freight Brokerage, Logistics Technology"/>
  </r>
  <r>
    <n v="130970"/>
    <x v="1"/>
    <x v="1734"/>
    <s v="TRAD"/>
    <s v="PO Box 30268;Honolulu HI 96820-0268;USA"/>
    <s v="USD"/>
    <x v="1636"/>
    <x v="2"/>
    <x v="832"/>
    <s v="Freight Rates, Tariff Services, Transportation Consulting, Regulatory Compliance"/>
  </r>
  <r>
    <n v="145003"/>
    <x v="1"/>
    <x v="1735"/>
    <s v="TRAD"/>
    <s v="331 Eisenhower Lane South;Lombard IL 60148;USA"/>
    <s v="USD"/>
    <x v="1637"/>
    <x v="11"/>
    <x v="37"/>
    <s v="Forklift Sales &amp; Service, Aerial Lifts, Parts, Equipment Rental"/>
  </r>
  <r>
    <n v="142736"/>
    <x v="1"/>
    <x v="1736"/>
    <s v="TRAD"/>
    <s v="1 Overhead Way;Warwick RI 02888;USA"/>
    <s v="USD"/>
    <x v="1638"/>
    <x v="30"/>
    <x v="188"/>
    <s v="Garage Door Installation, Repair, Commercial Doors, Openers"/>
  </r>
  <r>
    <n v="146104"/>
    <x v="1"/>
    <x v="1737"/>
    <s v="TRAD"/>
    <s v="PO Box 2026;High Point NC 27261;USA"/>
    <s v="USD"/>
    <x v="1639"/>
    <x v="10"/>
    <x v="833"/>
    <s v="Building Automation, HVAC Service, Energy Management, Controls, Electrical Services"/>
  </r>
  <r>
    <n v="151899"/>
    <x v="1"/>
    <x v="1738"/>
    <s v="TRAD"/>
    <s v="750 S DEACON ST;DETROIT MI 48217-1609;USA"/>
    <s v="USD"/>
    <x v="1640"/>
    <x v="3"/>
    <x v="748"/>
    <s v="Vehicle Towing, Roadside Assistance, Recovery Services"/>
  </r>
  <r>
    <n v="140300"/>
    <x v="1"/>
    <x v="1739"/>
    <s v="TRAD"/>
    <s v="13399 72 AVE;SURREY BC V3W 2N5;CAN"/>
    <s v="CAD"/>
    <x v="1641"/>
    <x v="3"/>
    <x v="122"/>
    <s v="Agricultural Equipment, Construction Equipment, Parts &amp; Service, Rentals"/>
  </r>
  <r>
    <n v="150431"/>
    <x v="1"/>
    <x v="1740"/>
    <s v="TRAD"/>
    <s v="303 2ND ST;8th FL;SAN FRANCISCO CA 94107-1366;USA"/>
    <s v="USD"/>
    <x v="1642"/>
    <x v="2"/>
    <x v="834"/>
    <s v="Restaurant Delivery, Grocery Delivery, Retail Delivery, DashPass Subscription"/>
  </r>
  <r>
    <n v="152468"/>
    <x v="1"/>
    <x v="1741"/>
    <s v="TRAD"/>
    <s v="16099 COMMON RD;ROSEVILLE MI 48066-1813;USA"/>
    <s v="USD"/>
    <x v="1642"/>
    <x v="3"/>
    <x v="270"/>
    <s v="Vehicle Towing, Roadside Assistance, Accident Recovery"/>
  </r>
  <r>
    <n v="108060"/>
    <x v="1"/>
    <x v="1742"/>
    <s v="TRAD"/>
    <s v="PO Box 826398;Philadelphia PA 19182 6398;USA"/>
    <s v="USD"/>
    <x v="1643"/>
    <x v="11"/>
    <x v="835"/>
    <s v="Parker Fluid Connectors, Hose Assemblies, 24/7 Emergency Service"/>
  </r>
  <r>
    <n v="125467"/>
    <x v="1"/>
    <x v="1743"/>
    <s v="TRAD"/>
    <s v="PO Box 1320;Daphne AL 36526-1320;USA"/>
    <s v="USD"/>
    <x v="1644"/>
    <x v="26"/>
    <x v="836"/>
    <s v="Burglar Alarms, Fire Detection, Video Surveillance, Access Control, Monitoring"/>
  </r>
  <r>
    <n v="120986"/>
    <x v="1"/>
    <x v="1744"/>
    <s v="COMM"/>
    <s v="Attn: Trade Central;5550 Prairie Stone Parkway;Hoffman Estates IL 60192;USA"/>
    <s v="USD"/>
    <x v="1645"/>
    <x v="6"/>
    <x v="665"/>
    <s v="Social Services, Disaster Relief, Thrift Stores, Rehabilitation, Community Programs"/>
  </r>
  <r>
    <n v="100021"/>
    <x v="1"/>
    <x v="1745"/>
    <s v="TRAD"/>
    <s v="PO BOX 71414;Chicago IL 60694-1414;USA"/>
    <s v="USD"/>
    <x v="1646"/>
    <x v="20"/>
    <x v="709"/>
    <s v="Floor Scrubbers, Sweepers, Cleaning Equipment Sales, Service, Rental, Parts"/>
  </r>
  <r>
    <n v="140279"/>
    <x v="1"/>
    <x v="1746"/>
    <s v="TRAD"/>
    <s v="2694 Calder Dr;League City TX 77573;USA"/>
    <s v="USD"/>
    <x v="1647"/>
    <x v="19"/>
    <x v="299"/>
    <s v="Propane Delivery, Tank Installation, Commercial Propane Services"/>
  </r>
  <r>
    <n v="131028"/>
    <x v="1"/>
    <x v="1747"/>
    <s v="TRAD"/>
    <s v="6831 W Beaver St;Jacksonville FL 32254-2709;USA"/>
    <s v="USD"/>
    <x v="1648"/>
    <x v="3"/>
    <x v="270"/>
    <s v="Vehicle Towing, Heavy-Duty Recovery, Roadside Assistance, Transport"/>
  </r>
  <r>
    <n v="121137"/>
    <x v="1"/>
    <x v="1748"/>
    <s v="TRAD"/>
    <s v="959 Chicago Dr SW;Grand Rapids MI 49509-1187;USA"/>
    <s v="USD"/>
    <x v="1649"/>
    <x v="3"/>
    <x v="774"/>
    <s v="Towing, Wrecker Service, Roadside Assistance"/>
  </r>
  <r>
    <n v="105579"/>
    <x v="1"/>
    <x v="1749"/>
    <s v="TRAD"/>
    <s v="9195 Red Branch Rd;Columbia MD 21045 2013;USA"/>
    <s v="USD"/>
    <x v="1650"/>
    <x v="10"/>
    <x v="250"/>
    <s v="HVAC, Plumbing, Piping, Mechanical Systems, Building Maintenance"/>
  </r>
  <r>
    <s v="000556"/>
    <x v="1"/>
    <x v="1750"/>
    <s v="TRAD"/>
    <s v="11300 Twigg Place;Richmond BC V6V 3C1;CAN"/>
    <s v="CAD"/>
    <x v="1651"/>
    <x v="28"/>
    <x v="837"/>
    <s v="Corrugated Boxes, Custom Packaging, Labels, Displays, Retail Packaging"/>
  </r>
  <r>
    <n v="111835"/>
    <x v="1"/>
    <x v="1751"/>
    <s v="TRAD"/>
    <s v="401 Mississippi St;Vallejo CA 94590 3209;USA"/>
    <s v="USD"/>
    <x v="1652"/>
    <x v="30"/>
    <x v="480"/>
    <s v="Loading Dock Equipment, Overhead Doors, Installation, Service &amp; Repair"/>
  </r>
  <r>
    <n v="149684"/>
    <x v="1"/>
    <x v="1752"/>
    <s v="TRAD"/>
    <s v="P.O. Box 2425;Knoxville TN 37901;USA"/>
    <s v="USD"/>
    <x v="1653"/>
    <x v="12"/>
    <x v="838"/>
    <s v="Litigation, Insurance Defense, Healthcare, Employment Law, Business Law"/>
  </r>
  <r>
    <n v="103623"/>
    <x v="1"/>
    <x v="1753"/>
    <s v="TRAD"/>
    <s v="435 President Pl;West Babylon NY 11704 6427;USA"/>
    <s v="USD"/>
    <x v="1654"/>
    <x v="3"/>
    <x v="839"/>
    <s v="Windshield Repair, Glass Replacement"/>
  </r>
  <r>
    <n v="149809"/>
    <x v="1"/>
    <x v="1754"/>
    <s v="TRAD"/>
    <s v="P.O. Box 856;Salina KS 67401;USA"/>
    <s v="USD"/>
    <x v="1655"/>
    <x v="3"/>
    <x v="840"/>
    <s v="Truck Washing, Fleet Washing, Commercial Vehicle Cleaning"/>
  </r>
  <r>
    <n v="151979"/>
    <x v="1"/>
    <x v="1755"/>
    <s v="TRAD"/>
    <s v="522 GRAND BLVD;WESTBURY NY 11590-4742;USA"/>
    <s v="USD"/>
    <x v="1656"/>
    <x v="26"/>
    <x v="213"/>
    <s v="Security Patrols, Private Investigation, Security Equipment"/>
  </r>
  <r>
    <n v="152358"/>
    <x v="1"/>
    <x v="1756"/>
    <s v="LEGAL"/>
    <s v="1800 DIAGONAL RD;STE 600 PMB# 1152;ALEXANDRIA VA 22314-2840;USA"/>
    <s v="USD"/>
    <x v="1657"/>
    <x v="12"/>
    <x v="260"/>
    <s v="Immigration Law, Business Law, Estate Planning, Litigation"/>
  </r>
  <r>
    <n v="128667"/>
    <x v="1"/>
    <x v="1757"/>
    <s v="TRAD"/>
    <s v="17 Lakewood Rd;New Egypt NJ 08533-1307;USA"/>
    <s v="USD"/>
    <x v="1658"/>
    <x v="4"/>
    <x v="500"/>
    <s v="Pressure Washer Sales, Repair, Parts, Industrial Cleaning Equipment"/>
  </r>
  <r>
    <n v="150398"/>
    <x v="1"/>
    <x v="1758"/>
    <s v="TRAD"/>
    <s v="10 ERICK RD;APT 10;MANSFIELD MA 02048-3069;USA"/>
    <s v="USD"/>
    <x v="1659"/>
    <x v="10"/>
    <x v="283"/>
    <s v="Consulting Services"/>
  </r>
  <r>
    <n v="151069"/>
    <x v="1"/>
    <x v="1759"/>
    <s v="TRAD"/>
    <s v="2630 HANCO CENTER DR;WOODBRIDGE VA 22191-4017;USA"/>
    <s v="USD"/>
    <x v="1660"/>
    <x v="3"/>
    <x v="270"/>
    <s v="Vehicle Towing, Roadside Assistance, Recovery"/>
  </r>
  <r>
    <n v="145439"/>
    <x v="1"/>
    <x v="1760"/>
    <s v="TRAD"/>
    <s v="1920 Rankin Road;Suite 170;Houston TX 77073;USA"/>
    <s v="USD"/>
    <x v="1661"/>
    <x v="11"/>
    <x v="201"/>
    <s v="On-Site Hydraulic Hose Repair, Mobile Service, Industrial Fittings, Fluid Transfer Solutions"/>
  </r>
  <r>
    <n v="141934"/>
    <x v="1"/>
    <x v="1761"/>
    <s v="TRAD"/>
    <s v="1 Wellington Road;Lincoln RI 02865;USA"/>
    <s v="USD"/>
    <x v="1662"/>
    <x v="16"/>
    <x v="587"/>
    <s v="HVAC Services, Drain Cleaning, Water Heater Repair, Emergency Service"/>
  </r>
  <r>
    <s v="001242"/>
    <x v="1"/>
    <x v="1762"/>
    <s v="TRAD"/>
    <s v="20412 118A Avenue NW;Edmonton AB T5S 2S7;CAN"/>
    <s v="CAD"/>
    <x v="1663"/>
    <x v="4"/>
    <x v="841"/>
    <s v="Fumigation, Termite Treatment, Pest Control"/>
  </r>
  <r>
    <n v="150681"/>
    <x v="1"/>
    <x v="1763"/>
    <s v="TRAD"/>
    <s v="7992 PORT REPUBLIC RD;PORT REPUBLIC VA 24471-2651;USA"/>
    <s v="USD"/>
    <x v="1664"/>
    <x v="7"/>
    <x v="218"/>
    <s v="Consulting, Contracting Services"/>
  </r>
  <r>
    <n v="141358"/>
    <x v="1"/>
    <x v="1764"/>
    <s v="TRAD"/>
    <s v="97 PLEASANT ST;TRURO NS B2N 3S5;CAN"/>
    <s v="CAD"/>
    <x v="1665"/>
    <x v="19"/>
    <x v="593"/>
    <s v="Heating Oil, Furnace Oil, Diesel, Gasoline, Propane, Lubricants"/>
  </r>
  <r>
    <n v="150610"/>
    <x v="1"/>
    <x v="1765"/>
    <s v="TRAD"/>
    <s v="7460 E FURNACE BRANCH RD;GLEN BURNIE MD 21060-7284;USA"/>
    <s v="USD"/>
    <x v="1666"/>
    <x v="3"/>
    <x v="842"/>
    <s v="Light &amp; Heavy Towing, Roadside Assistance, Vehicle Transport"/>
  </r>
  <r>
    <n v="151571"/>
    <x v="1"/>
    <x v="1766"/>
    <s v="TRAD"/>
    <s v="135 TERRY DR;PENSACOLA FL 32503-7024;USA"/>
    <s v="USD"/>
    <x v="1667"/>
    <x v="4"/>
    <x v="660"/>
    <s v="Business Services, Consulting"/>
  </r>
  <r>
    <n v="106452"/>
    <x v="1"/>
    <x v="1767"/>
    <s v="TRAD"/>
    <s v="PO Box 854469;Minneapolis MN 55485;USA"/>
    <s v="USD"/>
    <x v="1668"/>
    <x v="11"/>
    <x v="37"/>
    <s v="Forklift Sales &amp; Service, Parts, Rental, Fleet Management, Warehouse Solutions"/>
  </r>
  <r>
    <n v="110988"/>
    <x v="1"/>
    <x v="1768"/>
    <s v="TRAD"/>
    <s v="PO Box 757;Bedford Park IL 60499 0757;USA"/>
    <s v="USD"/>
    <x v="1669"/>
    <x v="11"/>
    <x v="37"/>
    <s v="Forklift Parts, Material Handling Equipment, Batteries, Chargers, Service"/>
  </r>
  <r>
    <s v="000742"/>
    <x v="1"/>
    <x v="1769"/>
    <s v="TRAD"/>
    <s v="444, rue Bouvier;60 Commerce Valley Drive, East;Quebec QC G2J 1E3;CAN"/>
    <s v="CAD"/>
    <x v="1670"/>
    <x v="3"/>
    <x v="328"/>
    <s v="Roadside Assistance, Travel Services, Auto Insurance"/>
  </r>
  <r>
    <n v="150244"/>
    <x v="1"/>
    <x v="1770"/>
    <s v="TRAD"/>
    <s v="1248 S Fulton Ave;Tulsa OK 74112;USA"/>
    <s v="USD"/>
    <x v="1671"/>
    <x v="7"/>
    <x v="218"/>
    <s v="Consulting, Contracting Services"/>
  </r>
  <r>
    <n v="152520"/>
    <x v="1"/>
    <x v="1771"/>
    <s v="TRAD"/>
    <s v="1901 NANCITA CIR;PLACENTIA CA 92870-6737;USA"/>
    <s v="USD"/>
    <x v="1672"/>
    <x v="6"/>
    <x v="843"/>
    <s v="Mobile Device Repair, Enterprise Mobility, IT Support"/>
  </r>
  <r>
    <n v="149060"/>
    <x v="1"/>
    <x v="1772"/>
    <s v="TRAD"/>
    <s v="1741 Rudder Industrial Park Dr;Fenton MO 63026;USA"/>
    <s v="USD"/>
    <x v="1673"/>
    <x v="21"/>
    <x v="818"/>
    <s v="Property Maintenance, Building Repairs, Facility Management, Renovation"/>
  </r>
  <r>
    <n v="127937"/>
    <x v="1"/>
    <x v="1773"/>
    <s v="TRAD"/>
    <s v="PO Box 19049;Louisville KY 40259-0049;USA"/>
    <s v="USD"/>
    <x v="1674"/>
    <x v="3"/>
    <x v="270"/>
    <s v="Vehicle Towing, Roadside Assistance, Accident Recovery, Heavy-Duty Towing"/>
  </r>
  <r>
    <n v="150118"/>
    <x v="1"/>
    <x v="1774"/>
    <s v="TRAD"/>
    <s v="5341 Welchance Road,;Murfreesboro TN 37127;USA"/>
    <s v="USD"/>
    <x v="1675"/>
    <x v="10"/>
    <x v="283"/>
    <s v="Consulting Services"/>
  </r>
  <r>
    <n v="101112"/>
    <x v="1"/>
    <x v="1775"/>
    <s v="TRAD"/>
    <s v="2905 PREMIERE PKWY;STE 280;DULUTH GA 30097-5247;USA"/>
    <s v="USD"/>
    <x v="1676"/>
    <x v="15"/>
    <x v="489"/>
    <s v="Employee Discounts, Corporate Perks, Voluntary Benefits, Rewards Programs, Group Buying"/>
  </r>
  <r>
    <n v="129839"/>
    <x v="1"/>
    <x v="1776"/>
    <s v="TRAD"/>
    <s v="7219 White Oak Ave;Hammond IN 46324-2197;USA"/>
    <s v="USD"/>
    <x v="1677"/>
    <x v="16"/>
    <x v="844"/>
    <s v="Plumbing Repair, Sewer Cleaning, Drain Services"/>
  </r>
  <r>
    <n v="144993"/>
    <x v="1"/>
    <x v="1777"/>
    <s v="TRAD"/>
    <s v="22 Tribology Drive;Asheville NC 28806;USA"/>
    <s v="USD"/>
    <x v="1678"/>
    <x v="19"/>
    <x v="845"/>
    <s v="Fuel Delivery, Oil Products, Fleet Fueling"/>
  </r>
  <r>
    <n v="104467"/>
    <x v="1"/>
    <x v="1778"/>
    <s v="TRAD"/>
    <s v="4525 Littlejohn St;Baldwin Park CA 91706 2239;USA"/>
    <s v="USD"/>
    <x v="1679"/>
    <x v="30"/>
    <x v="437"/>
    <s v="Commercial Doors, Rolling Steel Doors, Dock Equipment, Repair"/>
  </r>
  <r>
    <n v="147322"/>
    <x v="1"/>
    <x v="1779"/>
    <s v="TRAD"/>
    <s v="PO Box 460687;San Antonio TX 78246;USA"/>
    <s v="USD"/>
    <x v="1680"/>
    <x v="4"/>
    <x v="149"/>
    <s v="Termite Treatment, Extermination, Pest Prevention"/>
  </r>
  <r>
    <n v="150755"/>
    <x v="1"/>
    <x v="1780"/>
    <s v="TRAD"/>
    <s v="2947 GREENFIELD RD;MELVINDALE MI 48122-1239;USA"/>
    <s v="USD"/>
    <x v="1681"/>
    <x v="20"/>
    <x v="846"/>
    <s v="Building Maintenance, Janitorial, Landscaping, Snow Removal, Facility Services"/>
  </r>
  <r>
    <n v="150731"/>
    <x v="1"/>
    <x v="1781"/>
    <s v="FRGT"/>
    <s v="1247-B Highway 8;Stoney Creek ON L8E 5G8;CAN"/>
    <s v="USD"/>
    <x v="1681"/>
    <x v="2"/>
    <x v="111"/>
    <s v="Trucking, Freight Brokerage, Cross-Border Shipping"/>
  </r>
  <r>
    <n v="145618"/>
    <x v="1"/>
    <x v="1782"/>
    <s v="FRGT"/>
    <s v="2429 1ST AVE N;BIRMINGHAM AL 35203-4303;USA"/>
    <s v="USD"/>
    <x v="1681"/>
    <x v="2"/>
    <x v="2"/>
    <s v="Trucking, LTL Shipping, Logistics"/>
  </r>
  <r>
    <n v="152519"/>
    <x v="1"/>
    <x v="1783"/>
    <s v="LEGAL"/>
    <s v="1211 E CARY ST;RICHMOND VA 23219-4115;USA"/>
    <s v="USD"/>
    <x v="1682"/>
    <x v="12"/>
    <x v="260"/>
    <s v="Insurance Defense, Civil Litigation, Business Law, Employment Law"/>
  </r>
  <r>
    <n v="144982"/>
    <x v="1"/>
    <x v="1784"/>
    <s v="TRAD"/>
    <s v="4020 Alvis Court;Rocklin CA 95677;USA"/>
    <s v="USD"/>
    <x v="1683"/>
    <x v="28"/>
    <x v="847"/>
    <s v="Foodservice Packaging, Janitorial Supplies, Restaurant Equipment"/>
  </r>
  <r>
    <s v="000889"/>
    <x v="1"/>
    <x v="1785"/>
    <s v="TRAD"/>
    <s v="PO BOX 4626 STN A;TORONTO ON M5W 5B4;CAN"/>
    <s v="CAD"/>
    <x v="1684"/>
    <x v="2"/>
    <x v="118"/>
    <s v="Express Shipping, Ground &amp; Air Freight, International Shipping, Customs Brokerage"/>
  </r>
  <r>
    <n v="130334"/>
    <x v="1"/>
    <x v="1786"/>
    <s v="TRAD"/>
    <s v="51162 Milano Dr;Macomb MI 48042-4018;USA"/>
    <s v="USD"/>
    <x v="1685"/>
    <x v="16"/>
    <x v="396"/>
    <s v="Drain Cleaning, Sewer Repair, Rooter Service, Plumbing Repair"/>
  </r>
  <r>
    <n v="114444"/>
    <x v="1"/>
    <x v="1787"/>
    <s v="TRAD"/>
    <s v="75 Remittance Dr;Dept 1376;Chicago IL 60675-1001;USA"/>
    <s v="USD"/>
    <x v="1686"/>
    <x v="26"/>
    <x v="710"/>
    <s v="Alarm Monitoring, Video Surveillance, Access Control, Fire Detection"/>
  </r>
  <r>
    <n v="151137"/>
    <x v="1"/>
    <x v="1788"/>
    <s v="TRAD"/>
    <s v="3916 Ogeechee Rd;Savannah GA 31405;USA"/>
    <s v="USD"/>
    <x v="1687"/>
    <x v="16"/>
    <x v="281"/>
    <s v="Heating, Air Conditioning, Commercial HVAC"/>
  </r>
  <r>
    <n v="100298"/>
    <x v="1"/>
    <x v="1789"/>
    <s v="UTIL"/>
    <s v="PO Box 160;Whippany NJ 07981-0260;USA"/>
    <s v="USD"/>
    <x v="1688"/>
    <x v="19"/>
    <x v="299"/>
    <s v="Propane Delivery, Tank Installation, Heating, Commercial Propane, Appliance Sales"/>
  </r>
  <r>
    <n v="118163"/>
    <x v="1"/>
    <x v="1790"/>
    <s v="TRAD"/>
    <s v="PO Box 248;Durand WI 54736-0248;USA"/>
    <s v="USD"/>
    <x v="1689"/>
    <x v="3"/>
    <x v="444"/>
    <s v="Truck Tires, Fleet Services, Retread Manufacturing, Tire Repair"/>
  </r>
  <r>
    <n v="127499"/>
    <x v="1"/>
    <x v="1791"/>
    <s v="TRAD"/>
    <s v="245 Main St;Suite 220;White Plains NY 10601-2411;USA"/>
    <s v="USD"/>
    <x v="1690"/>
    <x v="25"/>
    <x v="848"/>
    <s v="Plastic Recycling, Waste Reduction, Sustainability Consulting, Material Recovery"/>
  </r>
  <r>
    <n v="110642"/>
    <x v="1"/>
    <x v="1792"/>
    <s v="RENT"/>
    <s v="PO Box 10605;Lancaster PA 17605 0605;USA"/>
    <s v="USD"/>
    <x v="1691"/>
    <x v="8"/>
    <x v="28"/>
    <s v="Real Estate, Office/Industrial Space, Property Management"/>
  </r>
  <r>
    <n v="145314"/>
    <x v="1"/>
    <x v="1793"/>
    <s v="TRAD"/>
    <s v="120 Almgren Drive;Agawam MA 01001;USA"/>
    <s v="USD"/>
    <x v="1692"/>
    <x v="16"/>
    <x v="849"/>
    <s v="Rigging, Millwright, Machinery Installation, Piping, Welding, Industrial Maintenance"/>
  </r>
  <r>
    <s v="000958"/>
    <x v="1"/>
    <x v="1794"/>
    <s v="TRAD"/>
    <s v="Units 8-9 9045 Airport Rd;Brampton ON L6S 0B8;CAN"/>
    <s v="CAD"/>
    <x v="1693"/>
    <x v="4"/>
    <x v="73"/>
    <s v="Paints, Stains, Coatings, Color Matching, Industrial Coatings"/>
  </r>
  <r>
    <n v="151313"/>
    <x v="1"/>
    <x v="1795"/>
    <s v="TRAD"/>
    <s v="6093 S LINCOLN CT;FRESNO CA 93725-8933;USA"/>
    <s v="USD"/>
    <x v="1694"/>
    <x v="30"/>
    <x v="850"/>
    <s v="Window Screens, Door Screens, Screen Repair, Custom Screens"/>
  </r>
  <r>
    <n v="151360"/>
    <x v="1"/>
    <x v="1796"/>
    <s v="LEGAL"/>
    <s v="200 PUBLIC SQ;STE 3000;CLEVELAND OH 44114-2316;USA"/>
    <s v="USD"/>
    <x v="1695"/>
    <x v="12"/>
    <x v="542"/>
    <s v="Business Litigation, Real Estate, Corporate Law, Labor &amp; Employment, IP"/>
  </r>
  <r>
    <n v="127180"/>
    <x v="1"/>
    <x v="1797"/>
    <s v="TRAD"/>
    <s v="17 Park Dr;Franklin NJ 07416-9758;USA"/>
    <s v="USD"/>
    <x v="1696"/>
    <x v="19"/>
    <x v="851"/>
    <s v="Fuel Delivery, Diesel, Gasoline, Heating Oil"/>
  </r>
  <r>
    <n v="140547"/>
    <x v="1"/>
    <x v="1798"/>
    <s v="TRAD"/>
    <s v="PO Box 40620;Mobile AL 36640;USA"/>
    <s v="USD"/>
    <x v="1697"/>
    <x v="26"/>
    <x v="852"/>
    <s v="Fire Extinguisher Sales &amp; Service, Inspection, Safety Equipment, Suppression Systems"/>
  </r>
  <r>
    <n v="126603"/>
    <x v="1"/>
    <x v="1799"/>
    <s v="TRAD"/>
    <s v="6400 Louisiana Ave;Nashville TN 37209-1330;USA"/>
    <s v="USD"/>
    <x v="1698"/>
    <x v="3"/>
    <x v="473"/>
    <s v="Light &amp; Heavy Towing, Roadside Assistance, Accident Recovery, Impound"/>
  </r>
  <r>
    <n v="146681"/>
    <x v="1"/>
    <x v="1800"/>
    <s v="TRAD"/>
    <s v="1800 Thunderbird;Troy MI 48084;USA"/>
    <s v="USD"/>
    <x v="1699"/>
    <x v="32"/>
    <x v="853"/>
    <s v="Wire Terminals, Connectors, Electrical Components, Wiring Accessories, Tools"/>
  </r>
  <r>
    <n v="146282"/>
    <x v="1"/>
    <x v="1801"/>
    <s v="TRAD"/>
    <s v="242 US Highway 70 W;Havelock NC 28532;USA"/>
    <s v="USD"/>
    <x v="1700"/>
    <x v="3"/>
    <x v="748"/>
    <s v="Vehicle Towing, Roadside Assistance, Recovery Services"/>
  </r>
  <r>
    <n v="150278"/>
    <x v="1"/>
    <x v="1802"/>
    <s v="TRAD"/>
    <s v="1145 STATE ROUTE 33;FARMINGDALE NJ 07727-3632;USA"/>
    <s v="USD"/>
    <x v="1701"/>
    <x v="4"/>
    <x v="149"/>
    <s v="Termite Treatment, Extermination, Pest Prevention"/>
  </r>
  <r>
    <n v="118736"/>
    <x v="1"/>
    <x v="1803"/>
    <s v="TRAD"/>
    <s v="PO Box 3215;Eugene OR 97403-0215;USA"/>
    <s v="USD"/>
    <x v="1702"/>
    <x v="10"/>
    <x v="854"/>
    <s v="Epoxy Flooring, Polished Concrete, Floor Coatings, Industrial Floor Repair"/>
  </r>
  <r>
    <n v="112169"/>
    <x v="1"/>
    <x v="1804"/>
    <s v="TRAD"/>
    <s v="PO Box 12612;Pittsburgh PA 15241 0612;USA"/>
    <s v="USD"/>
    <x v="1703"/>
    <x v="3"/>
    <x v="855"/>
    <s v="Truck Washing, Trailer Washing, Pressure Washing, Fleet Cleaning"/>
  </r>
  <r>
    <n v="150197"/>
    <x v="1"/>
    <x v="1805"/>
    <s v="TRAD"/>
    <s v="245 Shaker Rd, PO BOX 1134;Enfield CT 06083;USA"/>
    <s v="USD"/>
    <x v="1704"/>
    <x v="10"/>
    <x v="856"/>
    <s v="Waste Removal, Demolition, Dumpster Rental, Excavation"/>
  </r>
  <r>
    <n v="150735"/>
    <x v="1"/>
    <x v="1806"/>
    <s v="TRAD"/>
    <s v="140 BOUCHARD ST;MANCHESTER NH 03103-3350;USA"/>
    <s v="USD"/>
    <x v="1705"/>
    <x v="20"/>
    <x v="857"/>
    <s v="Facility Services, Equipment Repair, Industrial Cleaning"/>
  </r>
  <r>
    <n v="100630"/>
    <x v="1"/>
    <x v="1807"/>
    <s v="TRAD"/>
    <s v="733 Shore Dr E;Oldsmar FL 34677 4305;USA"/>
    <s v="USD"/>
    <x v="1706"/>
    <x v="26"/>
    <x v="858"/>
    <s v="Commercial Locksmith, Lock Installation, Key Services"/>
  </r>
  <r>
    <n v="132383"/>
    <x v="1"/>
    <x v="1808"/>
    <s v="TRAD"/>
    <s v="PO Box 413;Troy IL 62294-0413;USA"/>
    <s v="USD"/>
    <x v="1707"/>
    <x v="20"/>
    <x v="859"/>
    <s v="Fleet Washing, Building Cleaning, Power Washing"/>
  </r>
  <r>
    <n v="150433"/>
    <x v="1"/>
    <x v="1809"/>
    <s v="TRAD"/>
    <s v="1650 S 23RD ST;BEAUMONT TX 77707-4304;USA"/>
    <s v="USD"/>
    <x v="1708"/>
    <x v="16"/>
    <x v="396"/>
    <s v="Plumbing Repair, Installation, Commercial Plumbing, Drain Cleaning, Water Heaters"/>
  </r>
  <r>
    <n v="115839"/>
    <x v="1"/>
    <x v="1810"/>
    <s v="UTIL"/>
    <s v="1709 N Kickapoo St;Lincoln IL 62656-1366;USA"/>
    <s v="USD"/>
    <x v="1709"/>
    <x v="2"/>
    <x v="407"/>
    <s v="Bottled Water Delivery, Filtration Systems, Water Coolers"/>
  </r>
  <r>
    <n v="150878"/>
    <x v="1"/>
    <x v="1811"/>
    <s v="TRAD"/>
    <s v="1706 MAIN ST;TEWKSBURY MA 01876-2065;USA"/>
    <s v="USD"/>
    <x v="1710"/>
    <x v="16"/>
    <x v="860"/>
    <s v="HVAC Repair, Plumbing, Commercial Maintenance, Installation Services"/>
  </r>
  <r>
    <n v="124006"/>
    <x v="1"/>
    <x v="1812"/>
    <s v="TRAD"/>
    <s v="3273 Biddle Rd;Medford OR 97504-4122;USA"/>
    <s v="USD"/>
    <x v="1711"/>
    <x v="26"/>
    <x v="710"/>
    <s v="Burglar Alarms, Fire Alarms, Video Surveillance, Access Control, Monitoring"/>
  </r>
  <r>
    <n v="149622"/>
    <x v="1"/>
    <x v="1813"/>
    <s v="TRAD"/>
    <s v="80, rue Jean-Baptiste-Meilleur;Repentigny QC J6A 3T5;CAN"/>
    <s v="CAD"/>
    <x v="1712"/>
    <x v="4"/>
    <x v="861"/>
    <s v="AV Equipment, Conference Room Systems, Digital Signage, Installation"/>
  </r>
  <r>
    <s v="000965"/>
    <x v="1"/>
    <x v="1814"/>
    <s v="UTIL"/>
    <s v="19395 Langley Bypass;Surrey BC V3S 6K1;CAN"/>
    <s v="CAD"/>
    <x v="1713"/>
    <x v="4"/>
    <x v="862"/>
    <s v="Waste Collection, Recycling, Roll-Off Containers, Dumpster Rental"/>
  </r>
  <r>
    <n v="124875"/>
    <x v="1"/>
    <x v="1815"/>
    <s v="TRAD"/>
    <s v="14608 285th Ave NW;Zimmerman MN 55398-4201;USA"/>
    <s v="USD"/>
    <x v="1714"/>
    <x v="3"/>
    <x v="272"/>
    <s v="Freight Hauling, Local &amp; Regional Trucking, Delivery Services"/>
  </r>
  <r>
    <n v="103035"/>
    <x v="1"/>
    <x v="1816"/>
    <s v="TRAD"/>
    <s v="PO Box 825736;Philadelphia PA 19182;USA"/>
    <s v="USD"/>
    <x v="1715"/>
    <x v="0"/>
    <x v="513"/>
    <s v="Vendor Finance, Fleet Solutions, Commercial &amp; Retail Finance, Used Equipment Finance"/>
  </r>
  <r>
    <n v="129953"/>
    <x v="1"/>
    <x v="1817"/>
    <s v="TRAD"/>
    <s v="Attn: Venkatesh Ganapathy;855 Grandview Avenue;#140;Columbus OH 43215;USA"/>
    <s v="USD"/>
    <x v="1716"/>
    <x v="13"/>
    <x v="539"/>
    <s v="Residential Moving, Commercial Moving, Long-Distance, Packing"/>
  </r>
  <r>
    <n v="125741"/>
    <x v="1"/>
    <x v="548"/>
    <s v="TRAD"/>
    <s v="Dept. 886636450;PO Box 419267;Kansas City MO 64141;USA"/>
    <s v="USD"/>
    <x v="1717"/>
    <x v="11"/>
    <x v="269"/>
    <s v="Safety Products, Fasteners, Power Tools, Lighting, Material Handling, Electrical Supplies"/>
  </r>
  <r>
    <n v="151657"/>
    <x v="1"/>
    <x v="1818"/>
    <s v="TRAD"/>
    <s v="1920 9TH ST SE;ROANOKE VA 24013-2904;USA"/>
    <s v="USD"/>
    <x v="1718"/>
    <x v="10"/>
    <x v="863"/>
    <s v="Welding, Machining, Custom Fabrication, Repair, Industrial Maintenance"/>
  </r>
  <r>
    <n v="151971"/>
    <x v="1"/>
    <x v="1819"/>
    <s v="TRAD"/>
    <s v="10950 SAN JOSE BLVD;STE 60;JACKSONVILLE FL 32223-6688;USA"/>
    <s v="USD"/>
    <x v="1719"/>
    <x v="10"/>
    <x v="528"/>
    <s v="Professional Services"/>
  </r>
  <r>
    <n v="150361"/>
    <x v="1"/>
    <x v="1820"/>
    <s v="TRAD"/>
    <s v="2008 MAGDALENE MANOR DR;TAMPA FL 33613-1919;USA"/>
    <s v="USD"/>
    <x v="1719"/>
    <x v="30"/>
    <x v="864"/>
    <s v="Mold Testing, Air Quality Analysis, Environmental Assessments, VOC Testing"/>
  </r>
  <r>
    <n v="149012"/>
    <x v="1"/>
    <x v="1821"/>
    <s v="TRAD"/>
    <s v="15 Johnsontown Rd;Sloatsburg NY 10974;USA"/>
    <s v="USD"/>
    <x v="1719"/>
    <x v="25"/>
    <x v="865"/>
    <s v="Mold Testing, Air Quality Testing, Asbestos Testing, HVAC Inspection, Lead Testing, Water Damage Assessment"/>
  </r>
  <r>
    <n v="150788"/>
    <x v="1"/>
    <x v="1822"/>
    <s v="TRAD"/>
    <s v="2640 SE ANKENY ST;APT 402;PORTLAND OR 97214-1699;USA"/>
    <s v="USD"/>
    <x v="1719"/>
    <x v="7"/>
    <x v="218"/>
    <s v="Consulting, Contracting Services"/>
  </r>
  <r>
    <n v="148157"/>
    <x v="1"/>
    <x v="1823"/>
    <s v="TRAD"/>
    <s v="2001 North Warm Springs Rd;Suite B;Salt Lake City UT 84116;USA"/>
    <s v="USD"/>
    <x v="1720"/>
    <x v="16"/>
    <x v="866"/>
    <s v="HVAC, Plumbing, Electrical, Home Services"/>
  </r>
  <r>
    <n v="129585"/>
    <x v="1"/>
    <x v="1824"/>
    <s v="TRAD"/>
    <s v="10550 Highway 78 E;Summerville SC 29483-8705;USA"/>
    <s v="USD"/>
    <x v="1721"/>
    <x v="3"/>
    <x v="518"/>
    <s v="Auto Repair, Maintenance, Diagnostics, Parts"/>
  </r>
  <r>
    <n v="129493"/>
    <x v="1"/>
    <x v="1825"/>
    <s v="TRAD"/>
    <s v="602 Cambridge Ave;Syracuse NY 13208-1434;USA"/>
    <s v="USD"/>
    <x v="1722"/>
    <x v="30"/>
    <x v="437"/>
    <s v="Overhead Doors, Commercial Doors, Loading Dock Equipment, Repair"/>
  </r>
  <r>
    <n v="152054"/>
    <x v="1"/>
    <x v="1826"/>
    <s v="TRAD"/>
    <s v="6901A N 9TH AVE;PENSACOLA FL 32504-6638;USA"/>
    <s v="USD"/>
    <x v="1723"/>
    <x v="10"/>
    <x v="867"/>
    <s v="Maintenance, Handyman, Property Services"/>
  </r>
  <r>
    <n v="140830"/>
    <x v="1"/>
    <x v="1827"/>
    <s v="TRAD"/>
    <s v="Po Box 735064;Dallas TX 75373;USA"/>
    <s v="USD"/>
    <x v="1724"/>
    <x v="26"/>
    <x v="292"/>
    <s v="Fire Sprinkler Systems, Fire Alarm Installation, Inspection, Extinguisher Service"/>
  </r>
  <r>
    <n v="147096"/>
    <x v="1"/>
    <x v="1828"/>
    <s v="TRAD"/>
    <s v="7676 HILLMONT ST;STE 290N;HOUSTON TX 77040-6425;USA"/>
    <s v="USD"/>
    <x v="1725"/>
    <x v="6"/>
    <x v="868"/>
    <s v="Cloud-Based Signage, Content Management, Display Solutions, Remote Management"/>
  </r>
  <r>
    <n v="150876"/>
    <x v="1"/>
    <x v="1829"/>
    <s v="TRAD"/>
    <s v="801 CHESTNUT ST;Apt 703;CLEARWATER FL 33756-5626;USA"/>
    <s v="USD"/>
    <x v="1726"/>
    <x v="10"/>
    <x v="528"/>
    <s v="Professional Services"/>
  </r>
  <r>
    <n v="147381"/>
    <x v="1"/>
    <x v="1830"/>
    <s v="TRAD"/>
    <s v="700 Columbia Street;Bldg 301A;Brooklyn NY 11231;USA"/>
    <s v="USD"/>
    <x v="1727"/>
    <x v="26"/>
    <x v="320"/>
    <s v="Sprinkler Installation, Fire Sprinkler Design, Inspection, Repair, Standpipe Systems"/>
  </r>
  <r>
    <n v="127872"/>
    <x v="1"/>
    <x v="1831"/>
    <s v="FRGT"/>
    <s v="4627 Town N Country Blvd;Tampa FL 33615-4523;USA"/>
    <s v="USD"/>
    <x v="1728"/>
    <x v="2"/>
    <x v="2"/>
    <s v="Trucking, Logistics, LTL/FTL Shipping"/>
  </r>
  <r>
    <n v="150307"/>
    <x v="1"/>
    <x v="1832"/>
    <s v="FRGT"/>
    <s v="175 ALABAMA AVE;LEAGUE CITY TX 77573-2680;USA"/>
    <s v="USD"/>
    <x v="1728"/>
    <x v="2"/>
    <x v="2"/>
    <s v="Truckload Shipping, Logistics, Supply Chain Solutions"/>
  </r>
  <r>
    <n v="141401"/>
    <x v="1"/>
    <x v="1833"/>
    <s v="TRAD"/>
    <s v="PO Box 10749;Rock Hill SC 29731;USA"/>
    <s v="USD"/>
    <x v="1729"/>
    <x v="26"/>
    <x v="740"/>
    <s v="Fire Extinguisher Sales &amp; Service, Inspections, Safety Equipment, Code Compliance"/>
  </r>
  <r>
    <n v="129246"/>
    <x v="1"/>
    <x v="1834"/>
    <s v="TRAD"/>
    <s v="5393 Farrell Rd;Sanford NC 27330-7976;USA"/>
    <s v="USD"/>
    <x v="1730"/>
    <x v="19"/>
    <x v="869"/>
    <s v="Energy Trading, Commodities, Merchant Trading"/>
  </r>
  <r>
    <n v="113648"/>
    <x v="1"/>
    <x v="1835"/>
    <s v="TRAD"/>
    <s v="11620 54th St N;Clearwater FL 33760-4851;USA"/>
    <s v="USD"/>
    <x v="1731"/>
    <x v="16"/>
    <x v="592"/>
    <s v="Commercial HVAC, Air Conditioning Repair, Refrigeration, Preventive Maintenance"/>
  </r>
  <r>
    <n v="131900"/>
    <x v="1"/>
    <x v="1836"/>
    <s v="TRAD"/>
    <s v="545 Ballough Rd;Daytona Beach FL 32114-2205;USA"/>
    <s v="USD"/>
    <x v="1732"/>
    <x v="26"/>
    <x v="836"/>
    <s v="Commercial Security, Fire Alarms, Video Surveillance, Access Control, 24/7 Monitoring"/>
  </r>
  <r>
    <n v="140086"/>
    <x v="1"/>
    <x v="1837"/>
    <s v="TRAD"/>
    <s v="2544 Alamance Church Rd;Greensboro NC 27406;USA"/>
    <s v="USD"/>
    <x v="1733"/>
    <x v="17"/>
    <x v="516"/>
    <s v="Portable Toilets, Event Sanitation, Rental Services"/>
  </r>
  <r>
    <n v="150698"/>
    <x v="1"/>
    <x v="1838"/>
    <s v="TRAD"/>
    <s v="6625 MAUNA LOA BLVD;SARASOTA FL 34241-5732;USA"/>
    <s v="USD"/>
    <x v="1733"/>
    <x v="3"/>
    <x v="270"/>
    <s v="Vehicle Towing, Roadside Assistance, Transport"/>
  </r>
  <r>
    <n v="150308"/>
    <x v="1"/>
    <x v="1839"/>
    <s v="TRAD"/>
    <s v="26711 NORTHWESTERN HWY;STE 600;SOUTHFIELD MI 48033-2139;USA"/>
    <s v="USD"/>
    <x v="1734"/>
    <x v="26"/>
    <x v="131"/>
    <s v="Burglar Alarm Monitoring, Video Surveillance, Access Control, Fire Detection"/>
  </r>
  <r>
    <s v="000976"/>
    <x v="1"/>
    <x v="1840"/>
    <s v="TRAD"/>
    <s v="PO Box 12225;Station A;Toronto ON M5W 0J5;CAN"/>
    <s v="CAD"/>
    <x v="1735"/>
    <x v="4"/>
    <x v="464"/>
    <s v="Bottleless Water Coolers, Filtration, Sparkling Water, Coffee Service"/>
  </r>
  <r>
    <n v="118491"/>
    <x v="1"/>
    <x v="1841"/>
    <s v="TRAD"/>
    <s v="1920 NW 32nd St;Pompano Beach FL 33064-1304;USA"/>
    <s v="USD"/>
    <x v="1736"/>
    <x v="16"/>
    <x v="281"/>
    <s v="Air Conditioning, Heating, Ventilation Systems"/>
  </r>
  <r>
    <n v="131234"/>
    <x v="1"/>
    <x v="1842"/>
    <s v="TRAD"/>
    <s v="94-1043 Hanauna St;Waipahu HI 96797-4702;USA"/>
    <s v="USD"/>
    <x v="1737"/>
    <x v="26"/>
    <x v="292"/>
    <s v="Fire Sprinkler Systems, Inspections, Installation, Maintenance"/>
  </r>
  <r>
    <n v="145772"/>
    <x v="1"/>
    <x v="1843"/>
    <s v="TRAD"/>
    <s v="201 N Washington St;Alexander VA 22314;USA"/>
    <s v="USD"/>
    <x v="1738"/>
    <x v="14"/>
    <x v="870"/>
    <s v="Advocacy, Career Transition, Member Benefits, Insurance, Financial Services"/>
  </r>
  <r>
    <n v="126087"/>
    <x v="1"/>
    <x v="1844"/>
    <s v="TRAD"/>
    <s v="75 1st St;Unit 3;Bridgewater MA 02324-1059;USA"/>
    <s v="USD"/>
    <x v="1739"/>
    <x v="30"/>
    <x v="346"/>
    <s v="Door Installation, Repair, Industrial Doors, Service"/>
  </r>
  <r>
    <n v="148856"/>
    <x v="1"/>
    <x v="1845"/>
    <s v="TRAD"/>
    <s v="PO Box 851675;Minneapolis MN 55485;USA"/>
    <s v="USD"/>
    <x v="1740"/>
    <x v="26"/>
    <x v="292"/>
    <s v="Fire Sprinkler Installation, Inspection, Design, Maintenance, Fire Protection"/>
  </r>
  <r>
    <n v="144544"/>
    <x v="1"/>
    <x v="1846"/>
    <s v="TRAD"/>
    <s v="PO Box 37385;Louisville KY 40233;USA"/>
    <s v="USD"/>
    <x v="1741"/>
    <x v="3"/>
    <x v="871"/>
    <s v="LTL &amp; FTL Freight, Heavy Haul, Hazmat, Multi-Modal Logistics, Warehousing"/>
  </r>
  <r>
    <n v="150747"/>
    <x v="1"/>
    <x v="1847"/>
    <s v="TRAD"/>
    <s v="225 W 690 N;LOGAN UT 84321-4075;USA"/>
    <s v="USD"/>
    <x v="1742"/>
    <x v="10"/>
    <x v="302"/>
    <s v="General Trade Services, Contracting"/>
  </r>
  <r>
    <n v="144866"/>
    <x v="1"/>
    <x v="1848"/>
    <s v="TRAD"/>
    <s v="Attn: Darryl Dionne;3964 Portage Road;Niagara Falls ON L2J 2K9;CAN"/>
    <s v="USD"/>
    <x v="1743"/>
    <x v="14"/>
    <x v="872"/>
    <s v="Player Representation, Benefits Administration, Labor Relations"/>
  </r>
  <r>
    <n v="126868"/>
    <x v="1"/>
    <x v="1849"/>
    <s v="TRAD"/>
    <s v="299 Gregory St;Rochester NY 14620-1305;USA"/>
    <s v="USD"/>
    <x v="1744"/>
    <x v="16"/>
    <x v="873"/>
    <s v="HVAC Installation, Maintenance, Refrigeration, Industrial Climate Control"/>
  </r>
  <r>
    <n v="151775"/>
    <x v="1"/>
    <x v="1850"/>
    <s v="TRAD"/>
    <s v="13412 FREEMAN CT;DOVER FL 33527-4029;USA"/>
    <s v="USD"/>
    <x v="1745"/>
    <x v="20"/>
    <x v="736"/>
    <s v="Janitorial, Floor Care, Facility Maintenance"/>
  </r>
  <r>
    <n v="103645"/>
    <x v="1"/>
    <x v="1851"/>
    <s v="UTIL"/>
    <s v="PO BOX 660579;Dallas TX 75266-0579;USA"/>
    <s v="USD"/>
    <x v="1746"/>
    <x v="2"/>
    <x v="490"/>
    <s v="Water Delivery, Water Coolers, Coffee Service, Filtration Systems"/>
  </r>
  <r>
    <n v="112316"/>
    <x v="1"/>
    <x v="1852"/>
    <s v="UTIL"/>
    <s v="4446 Anaheim Ave NE;Albuquerque NM 87113 1663;USA"/>
    <s v="USD"/>
    <x v="1747"/>
    <x v="19"/>
    <x v="874"/>
    <s v="Water Treatment, Utilities, Environmental Services"/>
  </r>
  <r>
    <n v="127770"/>
    <x v="1"/>
    <x v="1853"/>
    <s v="TRAD"/>
    <s v="4611 S 134th Pl;Ste 100;Seattle WA 98168-3212;USA"/>
    <s v="USD"/>
    <x v="1748"/>
    <x v="15"/>
    <x v="875"/>
    <s v="Chemical Analysis, Water Testing, Soil Testing, Environmental Consulting"/>
  </r>
  <r>
    <n v="147906"/>
    <x v="1"/>
    <x v="1854"/>
    <s v="TRAD"/>
    <s v="11524 WILMAR BLVD;CHARLOTTE NC 28273-6448;USA"/>
    <s v="USD"/>
    <x v="1749"/>
    <x v="32"/>
    <x v="876"/>
    <s v="Structured Cabling, Electrical Contracting, Audio/Visual, Security Systems"/>
  </r>
  <r>
    <n v="151858"/>
    <x v="1"/>
    <x v="1855"/>
    <s v="TRAD"/>
    <s v="738 WOODLAND FARMS CIR;AYNOR SC 29511-3485;USA"/>
    <s v="USD"/>
    <x v="1750"/>
    <x v="6"/>
    <x v="877"/>
    <s v="Social Commerce, Referral Marketing, Customer Recovery"/>
  </r>
  <r>
    <n v="140429"/>
    <x v="1"/>
    <x v="1856"/>
    <s v="TRAD"/>
    <s v="4520 Robards Ln;Louisville KY 40218;USA"/>
    <s v="USD"/>
    <x v="1750"/>
    <x v="20"/>
    <x v="878"/>
    <s v="Janitorial Supplies, Facility Maintenance, Building Products"/>
  </r>
  <r>
    <n v="143329"/>
    <x v="1"/>
    <x v="1857"/>
    <s v="TRAD"/>
    <s v="215 E 38th Street;Indianapolis IN 46205;USA"/>
    <s v="USD"/>
    <x v="1751"/>
    <x v="13"/>
    <x v="879"/>
    <s v="Community Marketing, Remote Worker Incentives, Relocation Services"/>
  </r>
  <r>
    <n v="131214"/>
    <x v="1"/>
    <x v="1858"/>
    <s v="TRAD"/>
    <s v="PO Box 1023;Smithfield NC 27577-1023;USA"/>
    <s v="USD"/>
    <x v="1752"/>
    <x v="20"/>
    <x v="309"/>
    <s v="Janitorial Services, Office Cleaning, Floor Care, Facility Maintenance"/>
  </r>
  <r>
    <n v="150589"/>
    <x v="1"/>
    <x v="1859"/>
    <s v="TRAD"/>
    <s v="500 WALFORD RD;CEDAR RAPIDS IA 52404-8921;USA"/>
    <s v="USD"/>
    <x v="1753"/>
    <x v="10"/>
    <x v="880"/>
    <s v="Industrial Piping, HVAC, Process Equipment, Sheet Metal, Plumbing"/>
  </r>
  <r>
    <s v="000587"/>
    <x v="1"/>
    <x v="1860"/>
    <s v="TRAD"/>
    <s v="35 University Ave East Unit 3;Waterloo ON N2J 2V9;CAN"/>
    <s v="CAD"/>
    <x v="1754"/>
    <x v="20"/>
    <x v="881"/>
    <s v="Dust Suppression, Entry Mats, Industrial Mats, Facility Supplies, Linen Services"/>
  </r>
  <r>
    <n v="115270"/>
    <x v="1"/>
    <x v="1861"/>
    <s v="TRAD"/>
    <s v="2168 S Live Oak Dr;Moncks Corner SC 29461-8700;USA"/>
    <s v="USD"/>
    <x v="1755"/>
    <x v="3"/>
    <x v="270"/>
    <s v="Vehicle Towing, Roadside Assistance, Recovery"/>
  </r>
  <r>
    <n v="131178"/>
    <x v="1"/>
    <x v="1862"/>
    <s v="TRAD"/>
    <s v="Attn:Rob Archibald;4145 SW Watson Ave ;Ste 350;Beaverton OR 97005;USA"/>
    <s v="USD"/>
    <x v="1756"/>
    <x v="13"/>
    <x v="369"/>
    <s v="Household Moving, Rental Services, Real Estate, Settling-In Services"/>
  </r>
  <r>
    <n v="152006"/>
    <x v="1"/>
    <x v="1863"/>
    <s v="TRAD"/>
    <s v="PO BOX 74008750;CHICAGO IL 60674-8750;USA"/>
    <s v="USD"/>
    <x v="1757"/>
    <x v="5"/>
    <x v="358"/>
    <s v="Commercial Insurance, Business Coverage, Risk Management"/>
  </r>
  <r>
    <n v="150635"/>
    <x v="1"/>
    <x v="1864"/>
    <s v="TRAD"/>
    <s v="247 Shirley Ave Unit 101;Kitchener ON N2B 2E1;CAN"/>
    <s v="CAD"/>
    <x v="1758"/>
    <x v="30"/>
    <x v="882"/>
    <s v="Loading Dock Equipment, Overhead Doors, Installation, Repair, Maintenance"/>
  </r>
  <r>
    <n v="122666"/>
    <x v="1"/>
    <x v="1865"/>
    <s v="UTIL"/>
    <s v="PO Box 40192;Charleston SC 29423-0192;USA"/>
    <s v="USD"/>
    <x v="1759"/>
    <x v="2"/>
    <x v="490"/>
    <s v="Water Delivery, Office Water Service"/>
  </r>
  <r>
    <n v="152407"/>
    <x v="1"/>
    <x v="1866"/>
    <s v="TRAD"/>
    <s v="5601 S ORANGE BLOSSOM TRL;ORLANDO FL 32839-3353;USA"/>
    <s v="USD"/>
    <x v="1760"/>
    <x v="6"/>
    <x v="883"/>
    <s v="Aircraft Cleaning, Lavatory Service, Potable Water, Flammability Testing"/>
  </r>
  <r>
    <n v="121717"/>
    <x v="1"/>
    <x v="1867"/>
    <s v="BROKER"/>
    <s v="102-8277 129 ST;SURREY BC V3W 0A6;CAN"/>
    <s v="USD"/>
    <x v="1760"/>
    <x v="2"/>
    <x v="2"/>
    <s v="Cross-Border Shipping, LTL, Truckload, Logistics"/>
  </r>
  <r>
    <n v="145579"/>
    <x v="1"/>
    <x v="1868"/>
    <s v="TRAD"/>
    <s v="576 Grandview Drive;Lewisberry PA 17339;USA"/>
    <s v="USD"/>
    <x v="1761"/>
    <x v="30"/>
    <x v="188"/>
    <s v="Garage Door Installation, Repair, Commercial Doors, Openers"/>
  </r>
  <r>
    <n v="148750"/>
    <x v="1"/>
    <x v="1869"/>
    <s v="TRAD"/>
    <s v="2255 E Sunnyside Ave;#58829;Salt Lake City UT 84158;USA"/>
    <s v="USD"/>
    <x v="1762"/>
    <x v="4"/>
    <x v="862"/>
    <s v="Waste Hauling, Dumpster Rental, Roll-Off Containers, Recycling, Debris Removal"/>
  </r>
  <r>
    <n v="149181"/>
    <x v="1"/>
    <x v="1870"/>
    <s v="TRAD"/>
    <s v="2045 E M78;East Lansing MI 48823;USA"/>
    <s v="USD"/>
    <x v="1763"/>
    <x v="30"/>
    <x v="188"/>
    <s v="Garage Door Installation, Repair, Commercial Doors, Openers"/>
  </r>
  <r>
    <n v="115244"/>
    <x v="1"/>
    <x v="1871"/>
    <s v="TRAD"/>
    <s v="3901 E Broadway St;North Little Rock AR 72114-6454;USA"/>
    <s v="USD"/>
    <x v="1764"/>
    <x v="11"/>
    <x v="884"/>
    <s v="Tools, Building Materials, Equipment Rental, Contractor Supplies"/>
  </r>
  <r>
    <n v="152544"/>
    <x v="1"/>
    <x v="1872"/>
    <s v="TRAD"/>
    <s v="8601 HAGEMAN RD;BAKERSFIELD CA 93312-3957;USA"/>
    <s v="USD"/>
    <x v="1765"/>
    <x v="8"/>
    <x v="28"/>
    <s v="Real Estate, Property Investment"/>
  </r>
  <r>
    <n v="103079"/>
    <x v="1"/>
    <x v="1873"/>
    <s v="TRAD"/>
    <s v="10300 W Roosevelt Rd;Westchester IL 60154 2568;USA"/>
    <s v="USD"/>
    <x v="1765"/>
    <x v="14"/>
    <x v="885"/>
    <s v="Municipal Services, Permits, Taxes, Public Works, Community Services"/>
  </r>
  <r>
    <n v="103369"/>
    <x v="1"/>
    <x v="1874"/>
    <s v="FRAN"/>
    <s v="1400 Village Square Blvd;Unit 3-219;Tallahassee FL 32312 1250;USA"/>
    <s v="USD"/>
    <x v="1766"/>
    <x v="3"/>
    <x v="886"/>
    <s v="FAVR Programs, Mileage Tracking, Fleet Reimbursement, Tax Compliance, Driver Insurance Verification"/>
  </r>
  <r>
    <n v="123832"/>
    <x v="1"/>
    <x v="1875"/>
    <s v="TRAD"/>
    <s v="580 Trade Center St;Montgomery AL 36108-2108;USA"/>
    <s v="USD"/>
    <x v="1767"/>
    <x v="10"/>
    <x v="258"/>
    <s v="Electrical Installation, Maintenance, Industrial Electrical"/>
  </r>
  <r>
    <n v="131755"/>
    <x v="1"/>
    <x v="1876"/>
    <s v="TRAD"/>
    <s v="12402 County Road 1240;Wolfforth TX 79382-7088;USA"/>
    <s v="USD"/>
    <x v="1768"/>
    <x v="24"/>
    <x v="638"/>
    <s v="Mowing, Edging, Lawn Maintenance, Grounds Care"/>
  </r>
  <r>
    <n v="145055"/>
    <x v="1"/>
    <x v="1877"/>
    <s v="TRAD"/>
    <s v="2811 Central Avenue;Charlotte NC 28205;USA"/>
    <s v="USD"/>
    <x v="1769"/>
    <x v="10"/>
    <x v="250"/>
    <s v="HVAC, Plumbing, Piping, Mechanical Systems, Design-Build, Service &amp; Maintenance"/>
  </r>
  <r>
    <n v="125881"/>
    <x v="1"/>
    <x v="1878"/>
    <s v="TRAD"/>
    <s v="135 N Church Street;Suite 400;Spartanburg SC 29306;USA"/>
    <s v="USD"/>
    <x v="1770"/>
    <x v="7"/>
    <x v="317"/>
    <s v="Business Consulting, Professional Services, Management Consulting"/>
  </r>
  <r>
    <n v="146309"/>
    <x v="1"/>
    <x v="1879"/>
    <s v="TRAD"/>
    <s v="3743 East Verrue Avenue;Fresno CA 93702;USA"/>
    <s v="USD"/>
    <x v="1771"/>
    <x v="20"/>
    <x v="309"/>
    <s v="Janitorial, Office Cleaning, Residential Cleaning"/>
  </r>
  <r>
    <n v="146222"/>
    <x v="1"/>
    <x v="1880"/>
    <s v="TRAD"/>
    <s v="15 Purdy Crescent;North York ON M9N 3X8;CAN"/>
    <s v="CAD"/>
    <x v="1771"/>
    <x v="10"/>
    <x v="283"/>
    <s v="Consulting Services"/>
  </r>
  <r>
    <n v="112205"/>
    <x v="1"/>
    <x v="1881"/>
    <s v="TRAD"/>
    <s v="PO Box 6538;Pasadena CA 91109-6502;USA"/>
    <s v="USD"/>
    <x v="1772"/>
    <x v="11"/>
    <x v="411"/>
    <s v="Bolts, Nuts, Screws, Specialty Fasteners, Custom Orders"/>
  </r>
  <r>
    <n v="109834"/>
    <x v="1"/>
    <x v="1882"/>
    <s v="TRAD"/>
    <s v="1210 Dexter Corner Rd;Townsend DE 19734-9661;USA"/>
    <s v="USD"/>
    <x v="1773"/>
    <x v="10"/>
    <x v="707"/>
    <s v="Custom Welding, Steel Fabrication, Mobile Welding, Structural Work"/>
  </r>
  <r>
    <n v="129740"/>
    <x v="1"/>
    <x v="1883"/>
    <s v="TRAD"/>
    <s v="22670 Network Pl;Chicago IL 60673-1226;USA"/>
    <s v="USD"/>
    <x v="1774"/>
    <x v="11"/>
    <x v="887"/>
    <s v="Laboratory Balances, Industrial Scales, Process Analytics, Product Inspection, Pipettes"/>
  </r>
  <r>
    <n v="105668"/>
    <x v="1"/>
    <x v="1884"/>
    <s v="TRAD"/>
    <s v="2601 River Rd;Cinnaminson NJ 08077 1623;USA"/>
    <s v="USD"/>
    <x v="1775"/>
    <x v="11"/>
    <x v="333"/>
    <s v="Janitorial Supplies, Industrial Chemicals, Paper Products, Cleaning Equipment"/>
  </r>
  <r>
    <n v="103929"/>
    <x v="1"/>
    <x v="1885"/>
    <s v="TRAD"/>
    <s v="Revenue OPS &amp; Client Svcs;33 KING ST W;PO BOX 620;Oshawa ON L1H 8E9;CAN"/>
    <s v="CAD"/>
    <x v="1776"/>
    <x v="14"/>
    <x v="888"/>
    <s v="Tax Collection, Licensing, Provincial Services"/>
  </r>
  <r>
    <n v="148215"/>
    <x v="1"/>
    <x v="1886"/>
    <s v="TRAD"/>
    <s v="5659 Herman Hill Rd;Hamburg NY 14075;USA"/>
    <s v="USD"/>
    <x v="1777"/>
    <x v="30"/>
    <x v="188"/>
    <s v="Garage Door Installation, Repair, Maintenance, Commercial Doors"/>
  </r>
  <r>
    <n v="150242"/>
    <x v="1"/>
    <x v="1887"/>
    <s v="TRAD"/>
    <s v="892 Barcelona PI;Walnut CA 91789;USA"/>
    <s v="USD"/>
    <x v="1778"/>
    <x v="20"/>
    <x v="889"/>
    <s v="Commercial Window Cleaning, Residential Window Cleaning, High-Rise Cleaning"/>
  </r>
  <r>
    <n v="129099"/>
    <x v="1"/>
    <x v="1888"/>
    <s v="TRAD"/>
    <s v="18575 Stage Run Rd;Apt 206;Parker CO 80134-4963;USA"/>
    <s v="USD"/>
    <x v="1779"/>
    <x v="3"/>
    <x v="890"/>
    <s v="Fleet Management Consulting, Vehicle Tracking, Telematics, Cost Analysis"/>
  </r>
  <r>
    <n v="151910"/>
    <x v="1"/>
    <x v="1889"/>
    <s v="TRAD"/>
    <s v="PO BOX 339;GUILDERLAND NY 12084-0339;USA"/>
    <s v="USD"/>
    <x v="1780"/>
    <x v="14"/>
    <x v="885"/>
    <s v="Municipal Services, Permits, Taxes, Public Works, Community Services"/>
  </r>
  <r>
    <n v="150461"/>
    <x v="1"/>
    <x v="1890"/>
    <s v="TRAD"/>
    <s v="2511 DIVISION AVE;WEST PALM BEACH FL 33407-5345;USA"/>
    <s v="USD"/>
    <x v="1781"/>
    <x v="10"/>
    <x v="791"/>
    <s v="Metal Supply, Steel Fabrication, Industrial Metals"/>
  </r>
  <r>
    <n v="128730"/>
    <x v="1"/>
    <x v="1891"/>
    <s v="TRAD"/>
    <s v="PO Box 1287;Fort Wayne IN 46801-1287;USA"/>
    <s v="USD"/>
    <x v="1782"/>
    <x v="10"/>
    <x v="250"/>
    <s v="HVAC, Plumbing, Piping, Process Systems, Design-Build, Sheet Metal"/>
  </r>
  <r>
    <n v="149425"/>
    <x v="1"/>
    <x v="1892"/>
    <s v="TRAD"/>
    <s v="100 Pleasant St;Brunswick ME 04011;USA"/>
    <s v="USD"/>
    <x v="1783"/>
    <x v="4"/>
    <x v="149"/>
    <s v="Residential Pest Control, Commercial Pest Control, Wildlife Control, Termite Treatment"/>
  </r>
  <r>
    <n v="143289"/>
    <x v="1"/>
    <x v="1893"/>
    <s v="TRAD"/>
    <s v="PO Box 3312;La Habra CA 90631;USA"/>
    <s v="USD"/>
    <x v="1784"/>
    <x v="3"/>
    <x v="855"/>
    <s v="Truck Washing, Trailer Washing, Pressure Washing, Fleet Cleaning"/>
  </r>
  <r>
    <n v="151206"/>
    <x v="1"/>
    <x v="1894"/>
    <s v="TRAD"/>
    <s v="12156 HAVBURG DR;PENSACOLA FL 32506-8110;USA"/>
    <s v="USD"/>
    <x v="1785"/>
    <x v="16"/>
    <x v="396"/>
    <s v="Plumbing Repair, Installation, Drain Cleaning, Water Heater Service"/>
  </r>
  <r>
    <n v="147147"/>
    <x v="1"/>
    <x v="1895"/>
    <s v="TRAD"/>
    <s v="PO Box #147;Brookfield IL 60513;USA"/>
    <s v="USD"/>
    <x v="1786"/>
    <x v="30"/>
    <x v="346"/>
    <s v="Commercial Doors, Door Installation, Repair, Maintenance, Hardware"/>
  </r>
  <r>
    <n v="115322"/>
    <x v="1"/>
    <x v="1896"/>
    <s v="TRAD"/>
    <s v="8911 Directors Row;Dallas TX 75247-5309;USA"/>
    <s v="USD"/>
    <x v="1787"/>
    <x v="16"/>
    <x v="592"/>
    <s v="Heating, Air Conditioning, Energy Management, Building Automation"/>
  </r>
  <r>
    <n v="140118"/>
    <x v="1"/>
    <x v="1897"/>
    <s v="TRAD"/>
    <s v="PO Box 3434;Winchester VA 22604;USA"/>
    <s v="USD"/>
    <x v="1788"/>
    <x v="11"/>
    <x v="891"/>
    <s v="Scale Sales, Calibration, Repair"/>
  </r>
  <r>
    <n v="113712"/>
    <x v="1"/>
    <x v="1898"/>
    <s v="TRAD"/>
    <s v="PO Box 13565;Dayton OH 45413-0565;USA"/>
    <s v="USD"/>
    <x v="1789"/>
    <x v="16"/>
    <x v="892"/>
    <s v="HVAC Repair, Commercial Refrigeration, Mechanical Maintenance, Preventive Service"/>
  </r>
  <r>
    <n v="149334"/>
    <x v="1"/>
    <x v="1899"/>
    <s v="TRAD"/>
    <s v="75 STATE ST;STE 1705;BOSTON MA 02109-1827;USA"/>
    <s v="USD"/>
    <x v="1790"/>
    <x v="15"/>
    <x v="893"/>
    <s v="Employee Rewards, Benefits Communication, Surveys, Wellness Programs, Peer Recognition"/>
  </r>
  <r>
    <n v="112993"/>
    <x v="1"/>
    <x v="1900"/>
    <s v="TRAD"/>
    <s v="199 Little Britain Rd;Newburgh NY 12550-5114;USA"/>
    <s v="USD"/>
    <x v="1791"/>
    <x v="26"/>
    <x v="894"/>
    <s v="Fire Extinguishers, Safety Equipment, Inspections, Compliance"/>
  </r>
  <r>
    <n v="119087"/>
    <x v="1"/>
    <x v="1901"/>
    <s v="TRAD"/>
    <s v="6117 N Sullivan Rd;Wichita KS 67204-1953;USA"/>
    <s v="USD"/>
    <x v="1792"/>
    <x v="10"/>
    <x v="184"/>
    <s v="Commercial Construction, Renovation, Site Work, Project Management"/>
  </r>
  <r>
    <n v="119466"/>
    <x v="1"/>
    <x v="1902"/>
    <s v="TRAD"/>
    <s v="1427 Lindbergh Dr;Beaumont TX 77707-4128;USA"/>
    <s v="USD"/>
    <x v="1793"/>
    <x v="10"/>
    <x v="895"/>
    <s v="Fire/Burglar Alarms, CCTV, Access Control, Voice/Data Cabling"/>
  </r>
  <r>
    <n v="131212"/>
    <x v="1"/>
    <x v="1903"/>
    <s v="TRAD"/>
    <s v="PO Box 2650;Valdosta GA 31604;USA"/>
    <s v="USD"/>
    <x v="1794"/>
    <x v="4"/>
    <x v="621"/>
    <s v="Water Delivery, Bottled Water, Water Treatment"/>
  </r>
  <r>
    <n v="105122"/>
    <x v="1"/>
    <x v="1904"/>
    <s v="TRAD"/>
    <s v="Dept 1019;PO Box 121019;Dallas TX 75312;USA"/>
    <s v="USD"/>
    <x v="1795"/>
    <x v="26"/>
    <x v="292"/>
    <s v="Fire Sprinkler Installation, Fire Alarm Systems, Inspections, Maintenance"/>
  </r>
  <r>
    <n v="102281"/>
    <x v="1"/>
    <x v="1905"/>
    <s v="TRAD"/>
    <s v="1100 Route 109;Farmingdale NY 11735 4717;USA"/>
    <s v="USD"/>
    <x v="1796"/>
    <x v="3"/>
    <x v="896"/>
    <s v="Truck Bodies, Liftgates, Snowplows, Upfitting, Fleet Solutions"/>
  </r>
  <r>
    <n v="150906"/>
    <x v="1"/>
    <x v="1906"/>
    <s v="TRAD"/>
    <s v="16925 TX-317;Moody TX 76557;USA"/>
    <s v="USD"/>
    <x v="1797"/>
    <x v="16"/>
    <x v="281"/>
    <s v="Heating Repair, Air Conditioning, Furnace Installation, HVAC Maintenance"/>
  </r>
  <r>
    <n v="152477"/>
    <x v="1"/>
    <x v="1907"/>
    <s v="TRAD"/>
    <s v="5370 JAEGER RD;NAPLES FL 34109-5803;USA"/>
    <s v="USD"/>
    <x v="1798"/>
    <x v="26"/>
    <x v="894"/>
    <s v="Fire Extinguishers, Safety Equipment, Inspections"/>
  </r>
  <r>
    <n v="132108"/>
    <x v="1"/>
    <x v="1908"/>
    <s v="TRAD"/>
    <s v="206 Hargrove Rd E;Tuscaloosa AL 35401-5028;USA"/>
    <s v="USD"/>
    <x v="1798"/>
    <x v="26"/>
    <x v="894"/>
    <s v="Fire Extinguishers, Safety Equipment, Inspections"/>
  </r>
  <r>
    <n v="120555"/>
    <x v="1"/>
    <x v="1909"/>
    <s v="TRAD"/>
    <s v="471 Bannon St;Sacramento CA 95811-0203;USA"/>
    <s v="USD"/>
    <x v="1799"/>
    <x v="10"/>
    <x v="897"/>
    <s v="Commercial Wiring, Industrial Electrical, Lighting, Panel Upgrades"/>
  </r>
  <r>
    <n v="144316"/>
    <x v="1"/>
    <x v="1910"/>
    <s v="TRAD"/>
    <s v="PO Box 15628;Baton Rouge LA 70815;USA"/>
    <s v="USD"/>
    <x v="1800"/>
    <x v="26"/>
    <x v="743"/>
    <s v="Alarm Monitoring, Video Surveillance, Access Controls"/>
  </r>
  <r>
    <n v="124309"/>
    <x v="1"/>
    <x v="1911"/>
    <s v="COMM"/>
    <s v="109 WESTPARK DR;Ste 310;BRENTWOOD TN 37027-5063;USA"/>
    <s v="USD"/>
    <x v="1801"/>
    <x v="13"/>
    <x v="322"/>
    <s v="Domestic &amp; International Relocation, Program Management, Lump Sum, Service Provider Network"/>
  </r>
  <r>
    <n v="150902"/>
    <x v="1"/>
    <x v="1912"/>
    <s v="TRAD"/>
    <s v="10418 AUGUSTA RD;PELZER SC 29669-9282;USA"/>
    <s v="USD"/>
    <x v="1802"/>
    <x v="3"/>
    <x v="898"/>
    <s v="Used Auto Parts, Vehicle Salvage, Repair Services"/>
  </r>
  <r>
    <n v="150384"/>
    <x v="1"/>
    <x v="1913"/>
    <s v="TRAD"/>
    <s v="185 CHANNEL ST;APT 813;SAN FRANCISCO CA 94158-1712;USA"/>
    <s v="USD"/>
    <x v="1802"/>
    <x v="30"/>
    <x v="899"/>
    <s v="Garage Door Repair, Spring Replacement, Opener Repair, Emergency Service"/>
  </r>
  <r>
    <n v="151455"/>
    <x v="1"/>
    <x v="1914"/>
    <s v="TRAD"/>
    <s v="127 SHETLAND WOODS DR;MYRTLE BEACH SC 29577-9007;USA"/>
    <s v="USD"/>
    <x v="1802"/>
    <x v="15"/>
    <x v="179"/>
    <s v="Temporary Staffing, Workforce Solutions, Recruiting, Hiring"/>
  </r>
  <r>
    <n v="123077"/>
    <x v="1"/>
    <x v="1915"/>
    <s v="TRAD"/>
    <s v="8920 GLADES CUT OFF RD;PORT SAINT LUCIE FL 34986-2701;USA"/>
    <s v="USD"/>
    <x v="1803"/>
    <x v="3"/>
    <x v="270"/>
    <s v="Heavy Duty Towing, Roadside Assistance, Vehicle Transport"/>
  </r>
  <r>
    <n v="103870"/>
    <x v="1"/>
    <x v="1916"/>
    <s v="TRAD"/>
    <s v="2325 Crystal Dr;Fort Myers FL 33907 4011;USA"/>
    <s v="USD"/>
    <x v="1804"/>
    <x v="30"/>
    <x v="188"/>
    <s v="Garage Door Installation, Repair, Commercial Doors, Openers"/>
  </r>
  <r>
    <n v="126539"/>
    <x v="1"/>
    <x v="1917"/>
    <s v="TRAD"/>
    <s v="PO Box 59001;Dept. 4026;Tulsa OK 74159-9001;USA"/>
    <s v="USD"/>
    <x v="1805"/>
    <x v="20"/>
    <x v="366"/>
    <s v="Truck Repair, Preventive Maintenance, Fleet Maintenance, Diesel Service"/>
  </r>
  <r>
    <n v="152307"/>
    <x v="1"/>
    <x v="1918"/>
    <s v="TRAD"/>
    <s v="9449 MERCANTILE DR;MENTOR OH 44060-4524;USA"/>
    <s v="USD"/>
    <x v="1806"/>
    <x v="11"/>
    <x v="37"/>
    <s v="Forklift Sales &amp; Service, Parts, Rental, Fleet Management"/>
  </r>
  <r>
    <n v="140949"/>
    <x v="1"/>
    <x v="1919"/>
    <s v="TRAD"/>
    <s v="BAY7-624A BEAVER DAM RD NE;CALGARY AB T2K 6J9;CAN"/>
    <s v="CAD"/>
    <x v="1807"/>
    <x v="26"/>
    <x v="900"/>
    <s v="Fire Extinguishers, Fire Suppression Systems, Safety Inspections, Emergency Lighting"/>
  </r>
  <r>
    <n v="100652"/>
    <x v="1"/>
    <x v="1920"/>
    <s v="TRAD"/>
    <s v="725 Cool Springs Blvd;Suite 600;Franklin TN 37067-2702;USA"/>
    <s v="USD"/>
    <x v="1808"/>
    <x v="15"/>
    <x v="901"/>
    <s v="Corporate Discounts, Employee Benefits, Savings Programs"/>
  </r>
  <r>
    <n v="119715"/>
    <x v="1"/>
    <x v="1921"/>
    <s v="TRAD"/>
    <s v="3753 Ashley Phosphate Rd;Charleston SC 29418-8502;USA"/>
    <s v="USD"/>
    <x v="1809"/>
    <x v="17"/>
    <x v="516"/>
    <s v="Portable Toilets, Event Sanitation, Rental"/>
  </r>
  <r>
    <n v="126979"/>
    <x v="1"/>
    <x v="1922"/>
    <s v="TRAD"/>
    <s v="7669 N Loop Dr;El Paso TX 79915-2904;USA"/>
    <s v="USD"/>
    <x v="1810"/>
    <x v="30"/>
    <x v="486"/>
    <s v="Overhead Doors, Rolling Steel Doors, Gate Openers, Repair &amp; Installation"/>
  </r>
  <r>
    <n v="121044"/>
    <x v="1"/>
    <x v="1923"/>
    <s v="TRAD"/>
    <s v="1112 Emerson St;Rochester NY 14606-3003;USA"/>
    <s v="USD"/>
    <x v="1811"/>
    <x v="11"/>
    <x v="37"/>
    <s v="Material Handling Equipment, Conveyor Systems, Parts &amp; Service"/>
  </r>
  <r>
    <n v="144320"/>
    <x v="1"/>
    <x v="1924"/>
    <s v="TRAD"/>
    <s v="139 Bay Street;Bridgeport CT 06607;USA"/>
    <s v="USD"/>
    <x v="1812"/>
    <x v="4"/>
    <x v="500"/>
    <s v="Pressure Washer Rentals, Parts, Cleaning Chemicals, Equipment Maintenance"/>
  </r>
  <r>
    <n v="148372"/>
    <x v="1"/>
    <x v="1925"/>
    <s v="TRAD"/>
    <s v="PO Box 935434;Atlanta GA 31193;USA"/>
    <s v="USD"/>
    <x v="1813"/>
    <x v="26"/>
    <x v="292"/>
    <s v="Fire Sprinklers, Fire Alarms, Fire Suppression, Extinguishers, Inspections, Emergency Service"/>
  </r>
  <r>
    <n v="129008"/>
    <x v="1"/>
    <x v="1926"/>
    <s v="TRAD"/>
    <s v="11525 BLANKENBAKER ACCESS DR;LOUISVILLE KY 40299-6420;USA"/>
    <s v="USD"/>
    <x v="1814"/>
    <x v="11"/>
    <x v="902"/>
    <s v="Door Hardware, Security Products, Metal Doors, Building Supplies"/>
  </r>
  <r>
    <n v="111743"/>
    <x v="1"/>
    <x v="1927"/>
    <s v="TRAD"/>
    <s v="PO Box 743135;D-73037 Goppingen;Atlanta GA 30374-3135;USA"/>
    <s v="USD"/>
    <x v="1815"/>
    <x v="6"/>
    <x v="903"/>
    <s v="Remote Desktop, Remote Support, IoT Management, AR-Based Support, Enterprise Connectivity"/>
  </r>
  <r>
    <n v="150277"/>
    <x v="1"/>
    <x v="1928"/>
    <s v="TRAD"/>
    <s v="1333 N LAMAR BLVD;OXFORD MS 38655-2846;USA"/>
    <s v="USD"/>
    <x v="1816"/>
    <x v="3"/>
    <x v="270"/>
    <s v="Vehicle Towing, Roadside Assistance, Accident Recovery"/>
  </r>
  <r>
    <n v="152010"/>
    <x v="1"/>
    <x v="1929"/>
    <s v="TRAD"/>
    <s v="3703 E VALLEY DR;MISSOURI CITY TX 77459-4305;USA"/>
    <s v="USD"/>
    <x v="1817"/>
    <x v="7"/>
    <x v="218"/>
    <s v="Consulting, Contracting Services"/>
  </r>
  <r>
    <n v="103059"/>
    <x v="1"/>
    <x v="1930"/>
    <s v="FRAN"/>
    <s v="18804 Kenswick Dr;Humble TX 77338 7900;USA"/>
    <s v="USD"/>
    <x v="1818"/>
    <x v="8"/>
    <x v="533"/>
    <s v="Self-Storage Rental, Climate-Controlled Storage, Business Storage"/>
  </r>
  <r>
    <n v="146293"/>
    <x v="1"/>
    <x v="1931"/>
    <s v="TRAD"/>
    <s v="1140 Mid Rivers Industrial Dr.;Saint Peters MO 63376;USA"/>
    <s v="USD"/>
    <x v="1819"/>
    <x v="11"/>
    <x v="904"/>
    <s v="Material Handling Equipment, Forklift Sales &amp; Service, Parts"/>
  </r>
  <r>
    <n v="142946"/>
    <x v="1"/>
    <x v="1932"/>
    <s v="TRAD"/>
    <s v="383 Schuylkill Road;Phoenixville PA 19460;USA"/>
    <s v="USD"/>
    <x v="1820"/>
    <x v="3"/>
    <x v="905"/>
    <s v="Mobile Fuel Delivery, Diesel Fueling, Fleet Fueling, Fuel Management"/>
  </r>
  <r>
    <n v="147997"/>
    <x v="1"/>
    <x v="1933"/>
    <s v="TRAD"/>
    <s v="10920 Stellhorn Rd;New Haven IN 46774;USA"/>
    <s v="USD"/>
    <x v="1821"/>
    <x v="10"/>
    <x v="906"/>
    <s v="Plumbing, Electrical, HVAC, Remodeling, Handyman Services"/>
  </r>
  <r>
    <n v="109246"/>
    <x v="1"/>
    <x v="1934"/>
    <s v="TRAD"/>
    <s v="3478 Lamar Ave;Memphis TN 38118-1612;USA"/>
    <s v="USD"/>
    <x v="1822"/>
    <x v="3"/>
    <x v="378"/>
    <s v="Tire Sales, Tire Repair, Wheel Alignment, Fleet Tire Service"/>
  </r>
  <r>
    <n v="123131"/>
    <x v="1"/>
    <x v="1935"/>
    <s v="TRAD"/>
    <s v="1322 W Irving Park Rd;Bensenville IL 60106-1718;USA"/>
    <s v="USD"/>
    <x v="1823"/>
    <x v="3"/>
    <x v="270"/>
    <s v="Vehicle Towing, Roadside Assistance, Transport, Accident Recovery"/>
  </r>
  <r>
    <n v="150661"/>
    <x v="1"/>
    <x v="1936"/>
    <s v="TRAD"/>
    <s v="1548 ROUTE 3A;BOW NH 03304-4032;USA"/>
    <s v="USD"/>
    <x v="1824"/>
    <x v="3"/>
    <x v="907"/>
    <s v="New &amp; Used Trucks, Parts, Service, Leasing, Body Shop"/>
  </r>
  <r>
    <s v="000531"/>
    <x v="1"/>
    <x v="1937"/>
    <s v="TRAD"/>
    <s v="13 Kenview Blvd, Unit 10;Brampton ON L6T 5K9;CAN"/>
    <s v="CAD"/>
    <x v="1825"/>
    <x v="26"/>
    <x v="836"/>
    <s v="Alarm Monitoring, Video Surveillance, Access Control, Intrusion Detection"/>
  </r>
  <r>
    <n v="124291"/>
    <x v="1"/>
    <x v="1938"/>
    <s v="TRAD"/>
    <s v="14747 NW Greenbrier Pkwy;Beaverton OR 97006-5601;USA"/>
    <s v="USD"/>
    <x v="1826"/>
    <x v="6"/>
    <x v="908"/>
    <s v="Managed Print Services, Managed IT, Unified Communications, Production Print, Document Imaging"/>
  </r>
  <r>
    <n v="119790"/>
    <x v="1"/>
    <x v="1939"/>
    <s v="TRAD"/>
    <s v="10900 Main St;Fairfax VA 22030-4704;USA"/>
    <s v="USD"/>
    <x v="1827"/>
    <x v="3"/>
    <x v="378"/>
    <s v="Tire Sales, Tire Repair, Fleet Service, Automotive Repair, Alignment"/>
  </r>
  <r>
    <n v="104164"/>
    <x v="1"/>
    <x v="1940"/>
    <s v="UTIL"/>
    <s v="PO Box 531687;Atlanta GA 30353-1687;USA"/>
    <s v="USD"/>
    <x v="1828"/>
    <x v="26"/>
    <x v="909"/>
    <s v="Burglar Alarms, CCTV Surveillance, Home Automation, Access Control"/>
  </r>
  <r>
    <n v="106447"/>
    <x v="1"/>
    <x v="1941"/>
    <s v="TRAD"/>
    <s v="PO Box 85167;Chicago IL 60689;USA"/>
    <s v="USD"/>
    <x v="1829"/>
    <x v="13"/>
    <x v="910"/>
    <s v="Moving Dollies, Hand Trucks, Packing Supplies, Warehouse Equipment"/>
  </r>
  <r>
    <n v="148127"/>
    <x v="1"/>
    <x v="1942"/>
    <s v="TRAD"/>
    <s v="6 Spring Ave;Troy NY 12180;USA"/>
    <s v="USD"/>
    <x v="1830"/>
    <x v="2"/>
    <x v="911"/>
    <s v="Water Softeners, Water Filtration, Bottled Water, Delivery Service, Reverse Osmosis"/>
  </r>
  <r>
    <n v="142310"/>
    <x v="1"/>
    <x v="1943"/>
    <s v="TRAD"/>
    <s v="61 South Seiberling Street;Akron OH 44305;USA"/>
    <s v="USD"/>
    <x v="1831"/>
    <x v="16"/>
    <x v="673"/>
    <s v="Plumbing Repair, Heating, Air Conditioning, Water Heaters"/>
  </r>
  <r>
    <n v="107595"/>
    <x v="1"/>
    <x v="1944"/>
    <s v="TRAD"/>
    <s v="910 Oak Tree Ave;South Plainfield NJ 07080 5142;USA"/>
    <s v="USD"/>
    <x v="1832"/>
    <x v="26"/>
    <x v="292"/>
    <s v="Sprinkler Systems, Fire Alarm Installation, Inspections, Maintenance"/>
  </r>
  <r>
    <n v="150185"/>
    <x v="1"/>
    <x v="1945"/>
    <s v="TRAD"/>
    <s v="16221 Aldine Westfield Rd;Houston TX 77032;USA"/>
    <s v="USD"/>
    <x v="1833"/>
    <x v="24"/>
    <x v="478"/>
    <s v="Fence Installation, Chain Link, Wood Fencing, Gate Installation"/>
  </r>
  <r>
    <n v="114728"/>
    <x v="1"/>
    <x v="1946"/>
    <s v="TRAD"/>
    <s v="PO Box 412007;Boston MA 02241-2007;USA"/>
    <s v="USD"/>
    <x v="1834"/>
    <x v="26"/>
    <x v="292"/>
    <s v="Sprinkler Systems, Fire Suppression, Inspection, Maintenance"/>
  </r>
  <r>
    <n v="151042"/>
    <x v="1"/>
    <x v="1947"/>
    <s v="TRAD"/>
    <s v="10250 CONSTELLATION BLVD;Ste 2300;LOS ANGELES CA 90067-6200;USA"/>
    <s v="USD"/>
    <x v="1835"/>
    <x v="13"/>
    <x v="912"/>
    <s v="Relocation Technology, Destination Services, Immigration Support, Global Mobility Management"/>
  </r>
  <r>
    <n v="146709"/>
    <x v="1"/>
    <x v="1948"/>
    <s v="TRAD"/>
    <s v="1311 Lakeview Drive;Lockhart TX 78644;USA"/>
    <s v="USD"/>
    <x v="1836"/>
    <x v="20"/>
    <x v="913"/>
    <s v="IT Services, Commercial Cleaning, Facility Maintenance"/>
  </r>
  <r>
    <n v="151655"/>
    <x v="1"/>
    <x v="1949"/>
    <s v="TRAD"/>
    <s v="2181 LONZY LN;CONWAY SC 29526-8047;USA"/>
    <s v="USD"/>
    <x v="1836"/>
    <x v="7"/>
    <x v="218"/>
    <s v="Consulting, Contracting Services"/>
  </r>
  <r>
    <n v="128996"/>
    <x v="1"/>
    <x v="1950"/>
    <s v="TRAD"/>
    <s v="33 Tec St;Hicksville NY 11801-3618;USA"/>
    <s v="USD"/>
    <x v="1837"/>
    <x v="26"/>
    <x v="914"/>
    <s v="Fire Sprinkler Installation, Inspection, Fire Alarm Systems, Extinguisher Service"/>
  </r>
  <r>
    <n v="132088"/>
    <x v="1"/>
    <x v="1951"/>
    <s v="TRAD"/>
    <s v="PO Box 5621;Fort Wayne IN 46895-5621;USA"/>
    <s v="USD"/>
    <x v="1838"/>
    <x v="20"/>
    <x v="736"/>
    <s v="Janitorial, Building Maintenance, Facility Services"/>
  </r>
  <r>
    <n v="122479"/>
    <x v="1"/>
    <x v="1952"/>
    <s v="TRAD"/>
    <s v="12758 Gambusino Ave;El Paso TX 79938-8060;USA"/>
    <s v="USD"/>
    <x v="1839"/>
    <x v="11"/>
    <x v="37"/>
    <s v="Forklift Sales, Forklift Rental, Parts &amp; Service, Material Handling"/>
  </r>
  <r>
    <n v="107775"/>
    <x v="1"/>
    <x v="1953"/>
    <s v="TRAD"/>
    <s v="2991 Momentum Pl;Chicago IL 60689-5329;USA"/>
    <s v="USD"/>
    <x v="1840"/>
    <x v="26"/>
    <x v="894"/>
    <s v="Fire Extinguishers, Suppression Systems, Inspections, Safety Equipment"/>
  </r>
  <r>
    <n v="148865"/>
    <x v="1"/>
    <x v="1954"/>
    <s v="TRAD"/>
    <s v="PO Box 95230;Chicago IL 60694;USA"/>
    <s v="USD"/>
    <x v="1841"/>
    <x v="28"/>
    <x v="150"/>
    <s v="Office Supplies, Furniture, Technology, Print &amp; Copy, Breakroom Supplies, Cleaning Products"/>
  </r>
  <r>
    <n v="130903"/>
    <x v="1"/>
    <x v="1955"/>
    <s v="TRAD"/>
    <s v="403 Flomich St;Unit E;Holly Hill FL 32117-1600;USA"/>
    <s v="USD"/>
    <x v="1842"/>
    <x v="26"/>
    <x v="454"/>
    <s v="Fire Alarms, Security Systems, Monitoring, Sprinkler Systems, Inspections"/>
  </r>
  <r>
    <n v="125505"/>
    <x v="1"/>
    <x v="1956"/>
    <s v="TRAD"/>
    <s v="226 Russel St;Lansing MI 48906;USA"/>
    <s v="USD"/>
    <x v="1843"/>
    <x v="16"/>
    <x v="892"/>
    <s v="Heating, Air Conditioning, Plumbing, Mechanical Repair"/>
  </r>
  <r>
    <n v="120918"/>
    <x v="1"/>
    <x v="1957"/>
    <s v="TRAD"/>
    <s v="10655 E 120th Ct;Apt R;Henderson CO 80640-9141;USA"/>
    <s v="USD"/>
    <x v="1844"/>
    <x v="3"/>
    <x v="839"/>
    <s v="Windshield Repair, Auto Glass Replacement, Mobile Service"/>
  </r>
  <r>
    <n v="145773"/>
    <x v="1"/>
    <x v="1958"/>
    <s v="TRAD"/>
    <s v="17777 Main Street;Suite E-2;Irvine CA 92614;USA"/>
    <s v="USD"/>
    <x v="1845"/>
    <x v="15"/>
    <x v="489"/>
    <s v="Corporate Discounts, Employee Benefits, Voluntary Benefits"/>
  </r>
  <r>
    <n v="103251"/>
    <x v="1"/>
    <x v="1959"/>
    <s v="FRAN"/>
    <s v="3240 Flightline Dr;Lakeland FL 33811 2844;USA"/>
    <s v="USD"/>
    <x v="1846"/>
    <x v="8"/>
    <x v="63"/>
    <s v="Container Rental, Moving Storage, On-Site Storage"/>
  </r>
  <r>
    <n v="130612"/>
    <x v="1"/>
    <x v="1960"/>
    <s v="TRAD"/>
    <s v="1801 50th St E;Inver Grove Heights MN 55077-1269;USA"/>
    <s v="USD"/>
    <x v="1847"/>
    <x v="4"/>
    <x v="915"/>
    <s v="Water Softeners, Drinking Water Systems, Bottled Water Delivery, Water Coolers"/>
  </r>
  <r>
    <n v="150799"/>
    <x v="1"/>
    <x v="1961"/>
    <s v="TRAD"/>
    <s v="2902 HELMET ST;IRVING TX 75060-3406;USA"/>
    <s v="USD"/>
    <x v="1848"/>
    <x v="3"/>
    <x v="270"/>
    <s v="Vehicle Towing, Roadside Assistance, Accident Recovery, Heavy-Duty Towing"/>
  </r>
  <r>
    <n v="144619"/>
    <x v="1"/>
    <x v="1962"/>
    <s v="TRAD"/>
    <s v="21897 PALOMINO CIR;ROBERTSDALE AL 36567-5614;USA"/>
    <s v="USD"/>
    <x v="1848"/>
    <x v="4"/>
    <x v="621"/>
    <s v="Water Treatment, Aquatic Services"/>
  </r>
  <r>
    <n v="150588"/>
    <x v="1"/>
    <x v="1963"/>
    <s v="TRAD"/>
    <s v="19 PENNSYLVANIA AVE;YORK HAVEN PA 17370;USA"/>
    <s v="USD"/>
    <x v="1849"/>
    <x v="10"/>
    <x v="302"/>
    <s v="General Trade Services, Contracting"/>
  </r>
  <r>
    <n v="151247"/>
    <x v="1"/>
    <x v="1964"/>
    <s v="TRAD"/>
    <s v="1 CONNECTOR RD;ANDOVER MA 01810-5931;USA"/>
    <s v="USD"/>
    <x v="1849"/>
    <x v="26"/>
    <x v="916"/>
    <s v="Access Control, Video Surveillance, Intrusion Detection, Fire Alarms, Monitoring"/>
  </r>
  <r>
    <n v="130468"/>
    <x v="1"/>
    <x v="1965"/>
    <s v="TRAD"/>
    <s v="PO Box 1622;Southampton NY 11969-1622;USA"/>
    <s v="USD"/>
    <x v="1850"/>
    <x v="4"/>
    <x v="917"/>
    <s v="Septic Services, Wastewater Treatment, Pumping"/>
  </r>
  <r>
    <n v="123814"/>
    <x v="1"/>
    <x v="1966"/>
    <s v="TRAD"/>
    <s v="PO Box 1273;Gray GA 31032-1273;USA"/>
    <s v="USD"/>
    <x v="1851"/>
    <x v="10"/>
    <x v="918"/>
    <s v="Consulting Services"/>
  </r>
  <r>
    <n v="129257"/>
    <x v="1"/>
    <x v="1967"/>
    <s v="TRAD"/>
    <s v="PO Box 392495;Snellville GA 30039;USA"/>
    <s v="USD"/>
    <x v="1852"/>
    <x v="26"/>
    <x v="292"/>
    <s v="Fire Sprinklers, Inspections, Fire Extinguishers"/>
  </r>
  <r>
    <n v="140092"/>
    <x v="1"/>
    <x v="1968"/>
    <s v="TRAD"/>
    <s v="PO Box 1532;East Greenwich RI 02818;USA"/>
    <s v="USD"/>
    <x v="1853"/>
    <x v="8"/>
    <x v="28"/>
    <s v="Real Estate, Property Management"/>
  </r>
  <r>
    <s v="001282"/>
    <x v="1"/>
    <x v="1969"/>
    <s v="TRAD"/>
    <s v="PO Box 24039;Market Square RO;Windsor ON N8Y 4Y9;CAN"/>
    <s v="CAD"/>
    <x v="1854"/>
    <x v="6"/>
    <x v="919"/>
    <s v="Customs Clearance, eManifest, Border Compliance"/>
  </r>
  <r>
    <n v="117136"/>
    <x v="1"/>
    <x v="1970"/>
    <s v="TRAD"/>
    <s v="1440 E 168th St;South Holland IL 60473-2640;USA"/>
    <s v="USD"/>
    <x v="1855"/>
    <x v="16"/>
    <x v="281"/>
    <s v="Heating, Air Conditioning, Furnace Repair, AC Installation, Duct Cleaning"/>
  </r>
  <r>
    <n v="150323"/>
    <x v="1"/>
    <x v="1971"/>
    <s v="TRAD"/>
    <s v="21419 MEGAN CT;RIVERSIDE CA 92507-0071;USA"/>
    <s v="USD"/>
    <x v="1856"/>
    <x v="3"/>
    <x v="839"/>
    <s v="Windshield Repair, Glass Replacement, Mobile Service, Auto Glass Installation"/>
  </r>
  <r>
    <n v="149277"/>
    <x v="1"/>
    <x v="1972"/>
    <s v="TRAD"/>
    <s v="160 Kingsley Rd;Burnt Hills NY 12027;USA"/>
    <s v="USD"/>
    <x v="1857"/>
    <x v="3"/>
    <x v="920"/>
    <s v="Windshield Repair, Auto Glass Replacement, Mobile Service"/>
  </r>
  <r>
    <s v="000905"/>
    <x v="1"/>
    <x v="1973"/>
    <s v="TRAD"/>
    <s v="#13 62 Fawcett Road;Coquitlam BC V3K 6V5;CAN"/>
    <s v="CAD"/>
    <x v="1858"/>
    <x v="6"/>
    <x v="921"/>
    <s v="Managed IT, Cloud Services, Cybersecurity, Network Infrastructure"/>
  </r>
  <r>
    <n v="143480"/>
    <x v="1"/>
    <x v="1974"/>
    <s v="TRAD"/>
    <s v="18735 WALL ST;TONTOGANY OH 43565-6419;USA"/>
    <s v="USD"/>
    <x v="1859"/>
    <x v="10"/>
    <x v="302"/>
    <s v="General Trade Services, Contracting"/>
  </r>
  <r>
    <n v="152517"/>
    <x v="1"/>
    <x v="1975"/>
    <s v="TRAD"/>
    <s v="2500 S HIGHLAND AVE;STE 200;LOMBARD IL 60148-5363;USA"/>
    <s v="USD"/>
    <x v="1860"/>
    <x v="12"/>
    <x v="922"/>
    <s v="Debt Relief, Creditor Harassment Defense, Credit Report Correction, Employment Law"/>
  </r>
  <r>
    <n v="151094"/>
    <x v="1"/>
    <x v="1976"/>
    <s v="TRAD"/>
    <s v="PO BOX 1110;ACP 5749;ALBANY NY 12201-1110;USA"/>
    <s v="USD"/>
    <x v="1860"/>
    <x v="10"/>
    <x v="302"/>
    <s v="General Trade Services, Contracting"/>
  </r>
  <r>
    <n v="131927"/>
    <x v="1"/>
    <x v="1977"/>
    <s v="TRAD"/>
    <s v="35 Spring St;Salinas CA 93901-3613;USA"/>
    <s v="USD"/>
    <x v="1860"/>
    <x v="26"/>
    <x v="710"/>
    <s v="Alarm Monitoring, Installation, Intrusion Detection"/>
  </r>
  <r>
    <n v="150107"/>
    <x v="1"/>
    <x v="1978"/>
    <s v="RENT"/>
    <s v="2090 Dunwoody Club Drive,;Ste 106-22,;Atlanta GA 30350;USA"/>
    <s v="USD"/>
    <x v="1860"/>
    <x v="33"/>
    <x v="923"/>
    <s v="Foundation Assessments, Construction Defect Analysis, Residential Inspections"/>
  </r>
  <r>
    <n v="111966"/>
    <x v="1"/>
    <x v="1979"/>
    <s v="TRAD"/>
    <s v="153 S Dupont Hwy;New Castle DE 19720 4127;USA"/>
    <s v="USD"/>
    <x v="1861"/>
    <x v="11"/>
    <x v="924"/>
    <s v="Hydraulic Repair, Parts, Industrial Hydraulics"/>
  </r>
  <r>
    <n v="150734"/>
    <x v="1"/>
    <x v="1980"/>
    <s v="TRAD"/>
    <s v="1409 N BISHOP ST;STE B5;SAN MARCOS TX 78666-2600;USA"/>
    <s v="USD"/>
    <x v="1862"/>
    <x v="16"/>
    <x v="396"/>
    <s v="Plumbing Repair, Installation, Drain Cleaning, Water Heater Service"/>
  </r>
  <r>
    <n v="147415"/>
    <x v="1"/>
    <x v="1981"/>
    <s v="TRAD"/>
    <s v="600-1741 Lower Water Street;Halifax NS B3J 0J4;CAN"/>
    <s v="CAD"/>
    <x v="1863"/>
    <x v="19"/>
    <x v="74"/>
    <s v="Bulk Fuel Delivery, Fleet Fueling, Fuel Management"/>
  </r>
  <r>
    <s v="001327"/>
    <x v="1"/>
    <x v="1982"/>
    <s v="TRAD"/>
    <s v="323-552A Clarke Rd;Coquitlam BC V3J 0A3;CAN"/>
    <s v="CAD"/>
    <x v="1864"/>
    <x v="16"/>
    <x v="587"/>
    <s v="Plumbing Repair, Boiler Service, Hot Water Systems, Drain Cleaning"/>
  </r>
  <r>
    <n v="145350"/>
    <x v="1"/>
    <x v="1983"/>
    <s v="TRAD"/>
    <s v="10235 Systems Parkway ;Suite B;Sacramento CA 95827;USA"/>
    <s v="USD"/>
    <x v="1865"/>
    <x v="30"/>
    <x v="346"/>
    <s v="Industrial Doors, Installation, Repair, Service"/>
  </r>
  <r>
    <n v="132116"/>
    <x v="1"/>
    <x v="1984"/>
    <s v="TRAD"/>
    <s v="PO Box 9489;Hickory NC 28603-9489;USA"/>
    <s v="USD"/>
    <x v="1866"/>
    <x v="26"/>
    <x v="894"/>
    <s v="Fire Extinguishers, Fire Alarms, Sprinkler Systems, Safety Equipment, Inspections"/>
  </r>
  <r>
    <n v="120987"/>
    <x v="1"/>
    <x v="1985"/>
    <s v="COMM"/>
    <s v="Attn: Trade Eastern ;Supplies &amp; Purchasing Dept;440 West Nyack Road;West Nyack NY 10994;USA"/>
    <s v="USD"/>
    <x v="1867"/>
    <x v="6"/>
    <x v="665"/>
    <s v="Social Services, Disaster Relief, Thrift Stores, Rehabilitation, Community Programs"/>
  </r>
  <r>
    <n v="118622"/>
    <x v="1"/>
    <x v="1986"/>
    <s v="UTIL"/>
    <s v="Department 8511;PO Box 77043;Minneapolis MN 55480;USA"/>
    <s v="USD"/>
    <x v="1868"/>
    <x v="2"/>
    <x v="925"/>
    <s v="Bottled Water, Water Coolers, Water Treatment, Filtration Systems"/>
  </r>
  <r>
    <n v="105667"/>
    <x v="1"/>
    <x v="1987"/>
    <s v="TRAD"/>
    <s v="20201 County Road 50;Corcoran MN 55340 9423;USA"/>
    <s v="USD"/>
    <x v="1869"/>
    <x v="26"/>
    <x v="292"/>
    <s v="Fire Extinguishers, Safety Inspections, Fire Training"/>
  </r>
  <r>
    <n v="120012"/>
    <x v="1"/>
    <x v="1988"/>
    <s v="TRAD"/>
    <s v="2383 Northpointe Dr;Miamisburg OH 45342-2989;USA"/>
    <s v="USD"/>
    <x v="1870"/>
    <x v="26"/>
    <x v="320"/>
    <s v="Sprinkler Installation, Inspection, Fire Protection"/>
  </r>
  <r>
    <n v="148731"/>
    <x v="1"/>
    <x v="1989"/>
    <s v="TRAD"/>
    <s v="PO BOX 96151;CHARLOTTE NC 28296-6151;USA"/>
    <s v="USD"/>
    <x v="1871"/>
    <x v="26"/>
    <x v="292"/>
    <s v="Fire Sprinkler Installation, Inspection, Alarm Systems, Suppression"/>
  </r>
  <r>
    <n v="121164"/>
    <x v="1"/>
    <x v="1990"/>
    <s v="TRAD"/>
    <s v="PO Box 1666;Fresno CA 93717-1666;USA"/>
    <s v="USD"/>
    <x v="1872"/>
    <x v="10"/>
    <x v="926"/>
    <s v="Welding Equipment, Industrial Gases, Safety Supplies"/>
  </r>
  <r>
    <n v="126738"/>
    <x v="1"/>
    <x v="1991"/>
    <s v="TRAD"/>
    <s v="1901 E 119th St;Olathe KS 66061-9502;USA"/>
    <s v="USD"/>
    <x v="1873"/>
    <x v="30"/>
    <x v="188"/>
    <s v="Garage Door Installation, Repair, Commercial Doors, Openers"/>
  </r>
  <r>
    <n v="145098"/>
    <x v="1"/>
    <x v="1992"/>
    <s v="COMM"/>
    <s v="27271 Las Ramblas;STE 120;ATTN: Oliver Dubester;Mission Viejo CA 92691;USA"/>
    <s v="USD"/>
    <x v="1874"/>
    <x v="13"/>
    <x v="322"/>
    <s v="Employee Relocation, Destination Services, Move Management, Policy Consulting"/>
  </r>
  <r>
    <n v="120072"/>
    <x v="1"/>
    <x v="1993"/>
    <s v="TRAD"/>
    <s v="11515 Prosperous Dr;Odessa FL 33556-3453;USA"/>
    <s v="USD"/>
    <x v="1875"/>
    <x v="6"/>
    <x v="927"/>
    <s v="IT Consulting, Business Process Solutions, Technology Services, Software Development"/>
  </r>
  <r>
    <n v="150611"/>
    <x v="1"/>
    <x v="1994"/>
    <s v="TRAD"/>
    <s v="4106 CARRINGTON GREENE DR;LOUISVILLE KY 40299-5476;USA"/>
    <s v="USD"/>
    <x v="1876"/>
    <x v="13"/>
    <x v="928"/>
    <s v="Corporate Moving, Household Goods Shipping, Storage"/>
  </r>
  <r>
    <n v="128026"/>
    <x v="1"/>
    <x v="1995"/>
    <s v="TRAD"/>
    <s v="6362 Dean Pkwy;Ontario NY 14519-8970;USA"/>
    <s v="USD"/>
    <x v="1877"/>
    <x v="30"/>
    <x v="601"/>
    <s v="Garage Door Installation, Repair, Commercial &amp; Residential Doors, Dock Equipment"/>
  </r>
  <r>
    <n v="128787"/>
    <x v="1"/>
    <x v="1996"/>
    <s v="TRAD"/>
    <s v="PO Box 975444;Dallas TX 75397-5444;USA"/>
    <s v="USD"/>
    <x v="1878"/>
    <x v="15"/>
    <x v="929"/>
    <s v="Environmental Testing, Quality Assurance, Analysis"/>
  </r>
  <r>
    <n v="114992"/>
    <x v="1"/>
    <x v="1997"/>
    <s v="TRAD"/>
    <s v="2900 Newpark Drive;Barberton OH 44203;USA"/>
    <s v="USD"/>
    <x v="1879"/>
    <x v="26"/>
    <x v="683"/>
    <s v="Fire Sprinkler Installation, Inspection, Suppression Systems, Backflow Testing"/>
  </r>
  <r>
    <n v="151217"/>
    <x v="1"/>
    <x v="1998"/>
    <s v="TRAD"/>
    <s v="3008 MONTANA DR;TEMPLE TX 76502-1521;USA"/>
    <s v="USD"/>
    <x v="1879"/>
    <x v="3"/>
    <x v="930"/>
    <s v="On-Site Equipment Repair, Fleet Maintenance, Mobile Mechanic"/>
  </r>
  <r>
    <n v="147309"/>
    <x v="1"/>
    <x v="1999"/>
    <s v="TRAD"/>
    <s v="468 Yolanda Ave ;#201;Santa Rosa CA 95404;USA"/>
    <s v="USD"/>
    <x v="1880"/>
    <x v="26"/>
    <x v="931"/>
    <s v="Fire Extinguishers, Safety Equipment, Inspections, Emergency Supplies"/>
  </r>
  <r>
    <n v="126554"/>
    <x v="1"/>
    <x v="2000"/>
    <s v="TRAD"/>
    <s v="PO Box 2977;Fayetteville NC 28302-2977;USA"/>
    <s v="USD"/>
    <x v="1881"/>
    <x v="26"/>
    <x v="836"/>
    <s v="Alarm Monitoring, Video Surveillance, Access Control, Intrusion Detection"/>
  </r>
  <r>
    <n v="112070"/>
    <x v="1"/>
    <x v="2001"/>
    <s v="TRAD"/>
    <s v="81 N Central Hwy;Garnerville NY 10923 1258;USA"/>
    <s v="USD"/>
    <x v="1882"/>
    <x v="32"/>
    <x v="932"/>
    <s v="Cabling, Audio/Video, Security Systems, Network Wiring"/>
  </r>
  <r>
    <n v="114908"/>
    <x v="1"/>
    <x v="2002"/>
    <s v="TRAD"/>
    <s v="PO Box 242502;Little Rock AR 72223;USA"/>
    <s v="USD"/>
    <x v="1883"/>
    <x v="26"/>
    <x v="710"/>
    <s v="Intrusion Detection, Alarm Monitoring, Installation"/>
  </r>
  <r>
    <n v="132423"/>
    <x v="1"/>
    <x v="2003"/>
    <s v="TRAD"/>
    <s v="2212 E 39th St N;Sioux Falls SD 57104-5409;USA"/>
    <s v="USD"/>
    <x v="1884"/>
    <x v="26"/>
    <x v="292"/>
    <s v="Fire Sprinklers, Fire Suppression, Inspections, Installation"/>
  </r>
  <r>
    <n v="112675"/>
    <x v="1"/>
    <x v="2004"/>
    <s v="TRAD"/>
    <s v="PO Box 29365;New Orleans LA 70189-0365;USA"/>
    <s v="USD"/>
    <x v="1885"/>
    <x v="3"/>
    <x v="122"/>
    <s v="Industrial Equipment, Forklifts, Parts &amp; Service"/>
  </r>
  <r>
    <n v="151859"/>
    <x v="1"/>
    <x v="2005"/>
    <s v="TRAD"/>
    <s v="10917 MCBRIDE LN;KNOXVILLE TN 37932-3251;USA"/>
    <s v="USD"/>
    <x v="1886"/>
    <x v="11"/>
    <x v="933"/>
    <s v="Forklift Batteries, Chargers, Industrial Power Solutions, Battery Maintenance"/>
  </r>
  <r>
    <n v="110058"/>
    <x v="1"/>
    <x v="2006"/>
    <s v="TRAD"/>
    <s v="PO Box 44347;Madison WI 53744 4347;USA"/>
    <s v="USD"/>
    <x v="1887"/>
    <x v="5"/>
    <x v="934"/>
    <s v="Group Benefits, Health Insurance, Retirement Plans, Voluntary Benefits"/>
  </r>
  <r>
    <n v="141145"/>
    <x v="1"/>
    <x v="2007"/>
    <s v="TRAD"/>
    <s v="5195 Marshall Street;Arvada CO 80002;USA"/>
    <s v="USD"/>
    <x v="1888"/>
    <x v="6"/>
    <x v="935"/>
    <s v="Managed Print Services, Copiers, IT Services, Document Management"/>
  </r>
  <r>
    <n v="151268"/>
    <x v="1"/>
    <x v="2008"/>
    <s v="TRAD"/>
    <s v="3975 W HACIENDA AVE;LAS VEGAS NV 89118-1783;USA"/>
    <s v="USD"/>
    <x v="1889"/>
    <x v="3"/>
    <x v="270"/>
    <s v="Vehicle Towing, Roadside Assistance, Accident Recovery, Heavy-Duty Towing"/>
  </r>
  <r>
    <n v="116556"/>
    <x v="1"/>
    <x v="2009"/>
    <s v="TRAD"/>
    <s v="P.O. Box 145;Powell TN 37849;USA"/>
    <s v="USD"/>
    <x v="1890"/>
    <x v="26"/>
    <x v="936"/>
    <s v="Fire Protection Planning, Code Compliance, Fire Safety Consulting, Inspections"/>
  </r>
  <r>
    <n v="108110"/>
    <x v="1"/>
    <x v="2010"/>
    <s v="TRAD"/>
    <s v="PO Box 2932;Wichita KS 67201-2932;USA"/>
    <s v="USD"/>
    <x v="1891"/>
    <x v="2"/>
    <x v="911"/>
    <s v="Water Softening, Filtration, Bottled Water, Cooler Rental"/>
  </r>
  <r>
    <n v="145056"/>
    <x v="1"/>
    <x v="2011"/>
    <s v="TRAD"/>
    <s v="61 South Danebo Avenue;Eugene OR 97402;USA"/>
    <s v="USD"/>
    <x v="1892"/>
    <x v="19"/>
    <x v="299"/>
    <s v="Propane Delivery, Gas Services, Tank Installation"/>
  </r>
  <r>
    <n v="118679"/>
    <x v="1"/>
    <x v="2012"/>
    <s v="TRAD"/>
    <s v="6515 4th St SW;Cedar Rapids IA 52404-4761;USA"/>
    <s v="USD"/>
    <x v="1893"/>
    <x v="30"/>
    <x v="188"/>
    <s v="Garage Door Installation, Repair, Commercial Doors, Openers"/>
  </r>
  <r>
    <n v="128516"/>
    <x v="1"/>
    <x v="2013"/>
    <s v="TRAD"/>
    <s v="1001 Boulders Pkwy;Ste 300;Richmond VA 23225-5512;USA"/>
    <s v="USD"/>
    <x v="1894"/>
    <x v="33"/>
    <x v="937"/>
    <s v="Civil Engineering, GIS, Environmental, Survey, IT Solutions, Transportation Planning"/>
  </r>
  <r>
    <n v="151004"/>
    <x v="1"/>
    <x v="2014"/>
    <s v="TRAD"/>
    <s v="9752 HANOVER CT E;COMMERCE CITY CO 80640-8469;USA"/>
    <s v="USD"/>
    <x v="1894"/>
    <x v="3"/>
    <x v="938"/>
    <s v="On-Site Equipment Repair, Mobile Welding, Industrial Maintenance"/>
  </r>
  <r>
    <n v="140188"/>
    <x v="1"/>
    <x v="2015"/>
    <s v="TRAD"/>
    <s v="PO. Box 791475;San Antonio TX 78279;USA"/>
    <s v="USD"/>
    <x v="1895"/>
    <x v="26"/>
    <x v="710"/>
    <s v="Alarm Monitoring, Intrusion Detection, Installation, Security Consulting"/>
  </r>
  <r>
    <n v="149724"/>
    <x v="1"/>
    <x v="2016"/>
    <s v="TRAD"/>
    <s v="2315 Vandy Dr.;Palmyra NY 14522;USA"/>
    <s v="USD"/>
    <x v="1896"/>
    <x v="16"/>
    <x v="587"/>
    <s v="Plumbing Repair, Heating Installation, Water Heaters, Drain Cleaning"/>
  </r>
  <r>
    <n v="105155"/>
    <x v="1"/>
    <x v="2017"/>
    <s v="COMM"/>
    <s v="11100 Wayzata Blvd Suite 470;ATTN: Sara Lindstrom;Minnetonka MN 55305;USA"/>
    <s v="USD"/>
    <x v="1897"/>
    <x v="13"/>
    <x v="369"/>
    <s v="Employee Relocation, Home Sale Assistance, Household Goods Moving, Destination Services"/>
  </r>
  <r>
    <n v="152193"/>
    <x v="1"/>
    <x v="2018"/>
    <s v="TRAD"/>
    <s v="7951 Sacqueline Way;White City OR 97503;USA"/>
    <s v="USD"/>
    <x v="1898"/>
    <x v="10"/>
    <x v="247"/>
    <s v="Contractor Services"/>
  </r>
  <r>
    <n v="140344"/>
    <x v="1"/>
    <x v="2019"/>
    <s v="TRAD"/>
    <s v="7206 Impala Dr;Richmond VA 23228;USA"/>
    <s v="USD"/>
    <x v="1899"/>
    <x v="26"/>
    <x v="894"/>
    <s v="Fire Extinguishers, Suppression Systems, Inspections, Safety Equipment"/>
  </r>
  <r>
    <n v="131084"/>
    <x v="1"/>
    <x v="2020"/>
    <s v="TRAD"/>
    <s v="290 Gus Hipp Blvd;Rockledge FL 32955-4801;USA"/>
    <s v="USD"/>
    <x v="1900"/>
    <x v="7"/>
    <x v="218"/>
    <s v="Business Consulting, Project Management, Operations Support"/>
  </r>
  <r>
    <n v="106934"/>
    <x v="1"/>
    <x v="2021"/>
    <s v="TRAD"/>
    <s v="PO Box 2208;Decatur AL 35609-2208;USA"/>
    <s v="USD"/>
    <x v="1901"/>
    <x v="2"/>
    <x v="939"/>
    <s v="Freight Payment, Billing Administration, Carrier Settlements, Audit Services"/>
  </r>
  <r>
    <n v="128902"/>
    <x v="1"/>
    <x v="2022"/>
    <s v="COMM"/>
    <s v="ATTN: Jeff Peterson;15771 Red Hill Avenue;Tustin CA 92780;USA"/>
    <s v="USD"/>
    <x v="1902"/>
    <x v="13"/>
    <x v="940"/>
    <s v="Furnished Apartments, Temporary Housing, Extended Stay, Relocation Services"/>
  </r>
  <r>
    <n v="150979"/>
    <x v="1"/>
    <x v="2023"/>
    <s v="TRAD"/>
    <s v="2921 S OLD MISSOURI RD;STE 5;SPRINGDALE AR 72764-7695;USA"/>
    <s v="USD"/>
    <x v="1903"/>
    <x v="27"/>
    <x v="941"/>
    <s v="Cleaning Chemicals, Industrial Chemicals, Specialty Products"/>
  </r>
  <r>
    <n v="118099"/>
    <x v="1"/>
    <x v="2024"/>
    <s v="UTIL"/>
    <s v="21 First St;New City NY 10956-5028;USA"/>
    <s v="USD"/>
    <x v="1904"/>
    <x v="2"/>
    <x v="911"/>
    <s v="Water Softening, Filtration, Bottled Water, Cooler Rental"/>
  </r>
  <r>
    <n v="150853"/>
    <x v="1"/>
    <x v="2025"/>
    <s v="TRAD"/>
    <s v="815 N MAIN ST;WICHITA KS 67203-3606;USA"/>
    <s v="USD"/>
    <x v="1905"/>
    <x v="4"/>
    <x v="660"/>
    <s v="Business Services, Commercial Operations"/>
  </r>
  <r>
    <n v="107949"/>
    <x v="1"/>
    <x v="2026"/>
    <s v="TRAD"/>
    <s v="4920 Hazelwood Ave;Baltimore MD 21206 2210;USA"/>
    <s v="USD"/>
    <x v="1906"/>
    <x v="3"/>
    <x v="270"/>
    <s v="Vehicle Towing, Roadside Assistance, Accident Recovery"/>
  </r>
  <r>
    <n v="114296"/>
    <x v="1"/>
    <x v="2027"/>
    <s v="TRAD"/>
    <s v="PO Box 7577;Springfield OR 97475-0022;USA"/>
    <s v="USD"/>
    <x v="1907"/>
    <x v="11"/>
    <x v="333"/>
    <s v="Industrial Equipment, MRO Supplies, Safety Products, Fasteners"/>
  </r>
  <r>
    <n v="104433"/>
    <x v="1"/>
    <x v="2028"/>
    <s v="TRAD"/>
    <s v="USA"/>
    <s v="USD"/>
    <x v="1908"/>
    <x v="11"/>
    <x v="942"/>
    <s v="Fasteners, Bolts, Nuts, Screws, Industrial Hardware, Custom Orders"/>
  </r>
  <r>
    <n v="130618"/>
    <x v="1"/>
    <x v="2029"/>
    <s v="RENT"/>
    <s v="508 Main Street, Ste A;Evansville IN 47708;USA"/>
    <s v="USD"/>
    <x v="1909"/>
    <x v="8"/>
    <x v="28"/>
    <s v="Real Estate Investment, Property Management"/>
  </r>
  <r>
    <n v="125313"/>
    <x v="1"/>
    <x v="2030"/>
    <s v="TRAD"/>
    <s v="127 Lake Arbor Dr;Lake Worth FL 33461-2147;USA"/>
    <s v="USD"/>
    <x v="1909"/>
    <x v="20"/>
    <x v="822"/>
    <s v="Pressure Cleaning, Roof Cleaning, Building Washing, Concrete Cleaning, Commercial Cleaning"/>
  </r>
  <r>
    <n v="144549"/>
    <x v="1"/>
    <x v="2031"/>
    <s v="TRAD"/>
    <s v="5720 Industry Way SE;Albuquerque NM 87105;USA"/>
    <s v="USD"/>
    <x v="1910"/>
    <x v="16"/>
    <x v="396"/>
    <s v="Plumbing Repair, Installation, Commercial Plumbing"/>
  </r>
  <r>
    <n v="104862"/>
    <x v="1"/>
    <x v="2032"/>
    <s v="TRAD"/>
    <s v="24019 Jamaica Ave;Bellerose NY 11426 1054;USA"/>
    <s v="USD"/>
    <x v="1911"/>
    <x v="26"/>
    <x v="943"/>
    <s v="Fire Extinguishers, Safety Equipment, Inspections, Compliance"/>
  </r>
  <r>
    <n v="150587"/>
    <x v="1"/>
    <x v="2033"/>
    <s v="TRAD"/>
    <s v="1801 W DETROIT ST;BROKEN ARROW OK 74012-3613;USA"/>
    <s v="USD"/>
    <x v="1912"/>
    <x v="4"/>
    <x v="944"/>
    <s v="Property Services, Home Maintenance, Repairs"/>
  </r>
  <r>
    <n v="126905"/>
    <x v="1"/>
    <x v="2034"/>
    <s v="TRAD"/>
    <s v="13905 Shell Belt Rd;Bayou La Batre AL 36509-2305;USA"/>
    <s v="USD"/>
    <x v="1913"/>
    <x v="4"/>
    <x v="945"/>
    <s v="Marine Parts, Boat Supplies, Fishing Equipment, Marine Hardware"/>
  </r>
  <r>
    <n v="143345"/>
    <x v="1"/>
    <x v="2035"/>
    <s v="TRAD"/>
    <s v="File # 742843;PO Box 742843;Los Angeles CA 90074;USA"/>
    <s v="USD"/>
    <x v="1914"/>
    <x v="26"/>
    <x v="946"/>
    <s v="SSH Key Management, Encryption, Zero Trust, Network Security"/>
  </r>
  <r>
    <n v="150365"/>
    <x v="1"/>
    <x v="2036"/>
    <s v="TRAD"/>
    <s v="3320 PECAN VALLEY DR;STE C;TEMPLE TX 76502-1569;USA"/>
    <s v="USD"/>
    <x v="1915"/>
    <x v="16"/>
    <x v="947"/>
    <s v="Air Systems, HVAC Engineering, Ventilation"/>
  </r>
  <r>
    <n v="128517"/>
    <x v="1"/>
    <x v="2037"/>
    <s v="TRAD"/>
    <s v="541 Burton St SW;Grand Rapids MI 49507-2309;USA"/>
    <s v="USD"/>
    <x v="1916"/>
    <x v="3"/>
    <x v="757"/>
    <s v="Truck Repair, Trailer Repair, Fleet Maintenance, Welding, Roadside Service"/>
  </r>
  <r>
    <n v="149501"/>
    <x v="1"/>
    <x v="2038"/>
    <s v="TRAD"/>
    <s v="117 Maktech Circle, Unit 107;Melissa TX 75454;USA"/>
    <s v="USD"/>
    <x v="1917"/>
    <x v="20"/>
    <x v="366"/>
    <s v="Mobile Fleet Service, Truck Repair, Preventive Maintenance, Diagnostics"/>
  </r>
  <r>
    <n v="103182"/>
    <x v="1"/>
    <x v="2039"/>
    <s v="TRAD"/>
    <s v="COUNTY;31298 SAN ANTONIO ST;Hayward CA 94544;USA"/>
    <s v="USD"/>
    <x v="1917"/>
    <x v="30"/>
    <x v="480"/>
    <s v="Loading Dock Equipment, Overhead Doors, Installation, Service &amp; Repair"/>
  </r>
  <r>
    <n v="110671"/>
    <x v="1"/>
    <x v="2040"/>
    <s v="RENT"/>
    <s v="16 SQUADRON BLVD;STE 106;NEW CITY NY 10956-5259;USA"/>
    <s v="USD"/>
    <x v="1918"/>
    <x v="8"/>
    <x v="28"/>
    <s v="Real Estate, Industrial Space, Property Management"/>
  </r>
  <r>
    <n v="145406"/>
    <x v="1"/>
    <x v="2041"/>
    <s v="TRAD"/>
    <s v="131 Whitmore Avenue;Unit #5;Vaughan ON L4L 6E3;CAN"/>
    <s v="CAD"/>
    <x v="1919"/>
    <x v="26"/>
    <x v="948"/>
    <s v="Fire Sprinklers, Fire Alarms, Suppression Systems, Code Compliance"/>
  </r>
  <r>
    <n v="140293"/>
    <x v="1"/>
    <x v="2042"/>
    <s v="TRAD"/>
    <s v="ATTN: Apriana Phelps;18500 Von Karman Ave ;Irvine CA 92612;USA"/>
    <s v="USD"/>
    <x v="1920"/>
    <x v="8"/>
    <x v="783"/>
    <s v="Residential Real Estate, Relocation Services, Mortgage, Title &amp; Closing"/>
  </r>
  <r>
    <n v="150903"/>
    <x v="1"/>
    <x v="2043"/>
    <s v="TRAD"/>
    <s v="PO BOX 74008409;CHICAGO IL 60674-8409;USA"/>
    <s v="USD"/>
    <x v="1921"/>
    <x v="26"/>
    <x v="292"/>
    <s v="Fire Sprinklers, Fire Alarms, Special Hazards, Fire Extinguishers, Monitoring"/>
  </r>
  <r>
    <n v="144633"/>
    <x v="1"/>
    <x v="2044"/>
    <s v="TRAD"/>
    <s v="PO Box 6019;Fremont CA 94538;USA"/>
    <s v="USD"/>
    <x v="1922"/>
    <x v="10"/>
    <x v="949"/>
    <s v="Water Damage Restoration, General Contracting, Reconstruction"/>
  </r>
  <r>
    <n v="152473"/>
    <x v="1"/>
    <x v="2045"/>
    <s v="TRAD"/>
    <s v="112 E COLLINS RD;FORT WAYNE IN 46825-5302;USA"/>
    <s v="USD"/>
    <x v="1922"/>
    <x v="20"/>
    <x v="950"/>
    <s v="Janitorial, Maintenance, Cleaning, Facility Solutions"/>
  </r>
  <r>
    <n v="144082"/>
    <x v="1"/>
    <x v="2046"/>
    <s v="TRAD"/>
    <s v="5417 Boone Avenue North;New Hope MN 55428-3648;USA"/>
    <s v="USD"/>
    <x v="1923"/>
    <x v="16"/>
    <x v="592"/>
    <s v="Industrial Ventilation, Heating, Air Conditioning, Installation &amp; Repair"/>
  </r>
  <r>
    <n v="117783"/>
    <x v="1"/>
    <x v="2047"/>
    <s v="TRAD"/>
    <s v="25 Ross St;PO BOX 596;Wharton NJ 07885-2307;USA"/>
    <s v="USD"/>
    <x v="1924"/>
    <x v="26"/>
    <x v="951"/>
    <s v="Alarm Systems, Access Control, Telecommunications"/>
  </r>
  <r>
    <n v="111305"/>
    <x v="1"/>
    <x v="2048"/>
    <s v="TRAD"/>
    <s v="PO Box 371878;Pittsburgh PA 15250 7878;USA"/>
    <s v="USD"/>
    <x v="1925"/>
    <x v="26"/>
    <x v="952"/>
    <s v="Burglar Alarms, Fire Detection, Smart Home Security"/>
  </r>
  <r>
    <n v="141239"/>
    <x v="1"/>
    <x v="2049"/>
    <s v="COMM"/>
    <s v="ATTN: Jim Zimmitti ;10 Corporate Circle, Suite 210;New Castle DE 19720;USA"/>
    <s v="USD"/>
    <x v="1926"/>
    <x v="13"/>
    <x v="369"/>
    <s v="Employee Relocation, Household Goods Moving, Destination Services, Policy Consulting, Global Mobility"/>
  </r>
  <r>
    <n v="111398"/>
    <x v="1"/>
    <x v="2050"/>
    <s v="TRAD"/>
    <s v="PO Box 932678;Cleveland OH 44193-0014;USA"/>
    <s v="USD"/>
    <x v="1927"/>
    <x v="11"/>
    <x v="953"/>
    <s v="Material Handling, Equipment Sales, Industrial Supply"/>
  </r>
  <r>
    <n v="114499"/>
    <x v="1"/>
    <x v="2051"/>
    <s v="TRAD"/>
    <s v="1568 Panama Street;Memphis TN 38108;USA"/>
    <s v="USD"/>
    <x v="1928"/>
    <x v="20"/>
    <x v="954"/>
    <s v="Industrial Cleaning, Facility Maintenance, Equipment Maintenance"/>
  </r>
  <r>
    <n v="147476"/>
    <x v="1"/>
    <x v="2052"/>
    <s v="TRAD"/>
    <s v="280 W 900 N;Springville UT 84663;USA"/>
    <s v="USD"/>
    <x v="1929"/>
    <x v="6"/>
    <x v="955"/>
    <s v="Company Swag, Custom Apparel, Employee Rewards"/>
  </r>
  <r>
    <n v="144369"/>
    <x v="1"/>
    <x v="2053"/>
    <s v="TRAD"/>
    <s v="PO Box 2309;Southampton NY 11969;USA"/>
    <s v="USD"/>
    <x v="1930"/>
    <x v="16"/>
    <x v="587"/>
    <s v="Plumbing Repair, Heating Installation, Water Heaters, Drain Cleaning"/>
  </r>
  <r>
    <n v="130615"/>
    <x v="1"/>
    <x v="2054"/>
    <s v="TRAD"/>
    <s v="PO Box 12487;Ogden UT 84412-2487;USA"/>
    <s v="USD"/>
    <x v="1931"/>
    <x v="26"/>
    <x v="710"/>
    <s v="Burglar Alarms, Fire Alarms, Video Surveillance, Access Control, Home Automation"/>
  </r>
  <r>
    <n v="127527"/>
    <x v="1"/>
    <x v="2055"/>
    <s v="TRAD"/>
    <s v="PO Box 30750;Honolulu HI 96820-0750;USA"/>
    <s v="USD"/>
    <x v="1932"/>
    <x v="2"/>
    <x v="490"/>
    <s v="Water Treatment Systems, Home Delivery, Office Delivery, Water Dispensers"/>
  </r>
  <r>
    <n v="145525"/>
    <x v="1"/>
    <x v="2056"/>
    <s v="TRAD"/>
    <s v="PO Box 888655;Los Angeles CA 90088;USA"/>
    <s v="USD"/>
    <x v="1933"/>
    <x v="11"/>
    <x v="956"/>
    <s v="Steel Products, Metals Supply, Material Processing"/>
  </r>
  <r>
    <n v="115334"/>
    <x v="1"/>
    <x v="2057"/>
    <s v="TRAD"/>
    <s v="10 Industrial Blvd;Pensacola FL 32503-7602;USA"/>
    <s v="USD"/>
    <x v="1934"/>
    <x v="26"/>
    <x v="957"/>
    <s v="Alarm Systems, Fire Alarms, Telephone Installation, Video Surveillance, Access Control"/>
  </r>
  <r>
    <n v="114165"/>
    <x v="1"/>
    <x v="2058"/>
    <s v="TRAD"/>
    <s v="1823 B Rd;Loxahatchee FL 33470-4221;USA"/>
    <s v="USD"/>
    <x v="1935"/>
    <x v="20"/>
    <x v="719"/>
    <s v="Lawn Care, Landscaping, Tree Service, Property Maintenance"/>
  </r>
  <r>
    <n v="123416"/>
    <x v="1"/>
    <x v="2059"/>
    <s v="TRAD"/>
    <s v="Dept. 100 PO Box 830604;Birmingham AL 35283;USA"/>
    <s v="USD"/>
    <x v="1936"/>
    <x v="4"/>
    <x v="958"/>
    <s v="Invoice Processing, Collections, Revenue Cycle Management"/>
  </r>
  <r>
    <n v="150800"/>
    <x v="1"/>
    <x v="2060"/>
    <s v="TRAD"/>
    <s v="1831 E 73RD AVE;UNIT B;DENVER CO 80229-6901;USA"/>
    <s v="USD"/>
    <x v="1937"/>
    <x v="32"/>
    <x v="959"/>
    <s v="LED Retrofits, Lighting Design, Electrical Installation, Energy Efficiency"/>
  </r>
  <r>
    <s v="000839"/>
    <x v="1"/>
    <x v="2061"/>
    <s v="TRAD"/>
    <s v="6305 Northern Dr.;Unit 6;Mississauga ON L4W 1V9;CAN"/>
    <s v="CAD"/>
    <x v="1938"/>
    <x v="1"/>
    <x v="960"/>
    <s v="Custom Signs, Vehicle Wraps, Print Design, Branding"/>
  </r>
  <r>
    <n v="148575"/>
    <x v="1"/>
    <x v="2062"/>
    <s v="TRAD"/>
    <s v="P.O.BOX 650598;Dallas TX 75265;USA"/>
    <s v="USD"/>
    <x v="1939"/>
    <x v="3"/>
    <x v="961"/>
    <s v="Auto Loans, Vehicle Financing, Subprime Lending, Online Account Management"/>
  </r>
  <r>
    <n v="146628"/>
    <x v="1"/>
    <x v="2063"/>
    <s v="TRAD"/>
    <s v="PO Box 80204;Baton Rouge LA 70898;USA"/>
    <s v="USD"/>
    <x v="1940"/>
    <x v="10"/>
    <x v="44"/>
    <s v="Construction, Maintenance, Building Services"/>
  </r>
  <r>
    <n v="152515"/>
    <x v="1"/>
    <x v="2064"/>
    <s v="TRAD"/>
    <s v="219 JUDY ANN DR;ROCHESTER NY 14616-1943;USA"/>
    <s v="USD"/>
    <x v="1940"/>
    <x v="10"/>
    <x v="283"/>
    <s v="Consulting, Professional Services"/>
  </r>
  <r>
    <n v="146521"/>
    <x v="1"/>
    <x v="2065"/>
    <s v="TRAD"/>
    <s v="615 Industrial Circle;Phenix City AL 36869;USA"/>
    <s v="USD"/>
    <x v="1940"/>
    <x v="10"/>
    <x v="962"/>
    <s v="Custom Fabrication, Welding, Chassis Repair, Structural Steel Work"/>
  </r>
  <r>
    <n v="144511"/>
    <x v="1"/>
    <x v="2066"/>
    <s v="TRAD"/>
    <s v="4224 Evan Brooks Drive;Baton Rouge LA 70814;USA"/>
    <s v="USD"/>
    <x v="1941"/>
    <x v="1"/>
    <x v="963"/>
    <s v="Full Color Printing, Screen Printing, Banners, Decals, Vinyl Graphics"/>
  </r>
  <r>
    <n v="122738"/>
    <x v="1"/>
    <x v="2067"/>
    <s v="TRAD"/>
    <s v="3101 2nd Ave/PO Box 791;Columbus GA 31902;USA"/>
    <s v="USD"/>
    <x v="1942"/>
    <x v="26"/>
    <x v="292"/>
    <s v="Fire Extinguishers, Safety Equipment, Inspections, Suppression Systems"/>
  </r>
  <r>
    <n v="132496"/>
    <x v="1"/>
    <x v="2068"/>
    <s v="COMM"/>
    <s v="PO Box 842700;Los Angeles CA 90084;USA"/>
    <s v="USD"/>
    <x v="1943"/>
    <x v="22"/>
    <x v="448"/>
    <s v="Lodging, Corporate Travel, Hotel Accommodations"/>
  </r>
  <r>
    <n v="108493"/>
    <x v="1"/>
    <x v="2069"/>
    <s v="TRAD"/>
    <s v="4400 S State Road 7;Lake Worth FL 33449-8100;USA"/>
    <s v="USD"/>
    <x v="1944"/>
    <x v="16"/>
    <x v="964"/>
    <s v="AC Repair, Heating, Commercial Refrigeration, Maintenance"/>
  </r>
  <r>
    <n v="122556"/>
    <x v="1"/>
    <x v="2070"/>
    <s v="TRAD"/>
    <s v="25187 Huntsville Brownsferry Rd;Madison AL 35756-3601;USA"/>
    <s v="USD"/>
    <x v="1945"/>
    <x v="26"/>
    <x v="292"/>
    <s v="Fire Suppression, Sprinkler Systems, Fire Alarm, Emergency Lighting"/>
  </r>
  <r>
    <n v="128725"/>
    <x v="1"/>
    <x v="2071"/>
    <s v="TRAD"/>
    <s v="56 E IL ROUTE 83;MUNDELEIN IL 60060-4238;USA"/>
    <s v="USD"/>
    <x v="1946"/>
    <x v="27"/>
    <x v="965"/>
    <s v="Automotive Batteries, Commercial Batteries, Battery Recycling, Testing"/>
  </r>
  <r>
    <n v="152056"/>
    <x v="1"/>
    <x v="2072"/>
    <s v="TRAD"/>
    <s v="567 ABBOTT FARM RD;AYDEN NC 28513-8762;USA"/>
    <s v="USD"/>
    <x v="1947"/>
    <x v="10"/>
    <x v="258"/>
    <s v="Electrical Installation, Wiring, Electrical Repair, Commercial Electrical"/>
  </r>
  <r>
    <n v="130782"/>
    <x v="1"/>
    <x v="2073"/>
    <s v="TRAD"/>
    <s v="2021 N Frederick Pike;Winchester VA 22603-4132;USA"/>
    <s v="USD"/>
    <x v="1948"/>
    <x v="3"/>
    <x v="518"/>
    <s v="Auto Repair, Towing, Tire Service, Fleet Maintenance"/>
  </r>
  <r>
    <s v="000723"/>
    <x v="1"/>
    <x v="2074"/>
    <s v="TRAD"/>
    <s v="Corporate Service Centre;PO Box 7000 Station B;North York ON M2K 2R6;CAN"/>
    <s v="CAD"/>
    <x v="1949"/>
    <x v="4"/>
    <x v="43"/>
    <s v="Credit Cards, Expense Management, Travel Rewards"/>
  </r>
  <r>
    <n v="131446"/>
    <x v="1"/>
    <x v="2075"/>
    <s v="TRAD"/>
    <s v="PO Box 89456;Cleveland OH 44101-6456;USA"/>
    <s v="USD"/>
    <x v="1950"/>
    <x v="5"/>
    <x v="966"/>
    <s v="Workers' Comp Claims, Liability Claims, Risk Management, Disability Claims, Absence Management"/>
  </r>
  <r>
    <n v="149816"/>
    <x v="1"/>
    <x v="2076"/>
    <s v="TRAD"/>
    <s v="Po Box 36;Clayton NJ 08312;USA"/>
    <s v="USD"/>
    <x v="1951"/>
    <x v="10"/>
    <x v="967"/>
    <s v="Dock Building, Waterfront Construction, Marine Repair, Pile Driving"/>
  </r>
  <r>
    <n v="106450"/>
    <x v="1"/>
    <x v="2077"/>
    <s v="TRAD"/>
    <s v="PO Box 176595;Covington KY 41017;USA"/>
    <s v="USD"/>
    <x v="1952"/>
    <x v="26"/>
    <x v="743"/>
    <s v="Alarm Systems, Video Surveillance, Access Control, 24/7 Monitoring"/>
  </r>
  <r>
    <n v="145222"/>
    <x v="1"/>
    <x v="2078"/>
    <s v="TRAD"/>
    <s v="PO Box 40306;Jacksonville FL 32203;USA"/>
    <s v="USD"/>
    <x v="1953"/>
    <x v="3"/>
    <x v="839"/>
    <s v="Windshield Repair, Glass Replacement, Mobile Service"/>
  </r>
  <r>
    <n v="126778"/>
    <x v="1"/>
    <x v="2079"/>
    <s v="UTIL"/>
    <s v="2791 E Point St;Atlanta GA 30344-3239;USA"/>
    <s v="USD"/>
    <x v="1954"/>
    <x v="19"/>
    <x v="968"/>
    <s v="Water, Sewer, Electricity, Municipal Services"/>
  </r>
  <r>
    <n v="140948"/>
    <x v="1"/>
    <x v="2080"/>
    <s v="TRAD"/>
    <s v="5113 Steinbeck Bend ;Waco TX 76708;USA"/>
    <s v="USD"/>
    <x v="1955"/>
    <x v="26"/>
    <x v="292"/>
    <s v="Fire Sprinklers, Fire Alarms, Suppression Systems, Inspections, Maintenance"/>
  </r>
  <r>
    <n v="119909"/>
    <x v="1"/>
    <x v="2081"/>
    <s v="TRAD"/>
    <s v="136 S Lulu St;Wichita KS 67211-1709;USA"/>
    <s v="USD"/>
    <x v="1956"/>
    <x v="7"/>
    <x v="218"/>
    <s v="Business Services, Consulting"/>
  </r>
  <r>
    <n v="149911"/>
    <x v="1"/>
    <x v="2082"/>
    <s v="TRAD"/>
    <s v="PO Box 1133;Eaton Park FL 33840;USA"/>
    <s v="USD"/>
    <x v="1957"/>
    <x v="26"/>
    <x v="292"/>
    <s v="Fire Sprinklers, Fire Suppression, Inspections, Installation"/>
  </r>
  <r>
    <n v="147397"/>
    <x v="1"/>
    <x v="2083"/>
    <s v="TRAD"/>
    <s v="PO BOX 9908;Riviera Beach FL 33419;USA"/>
    <s v="USD"/>
    <x v="1958"/>
    <x v="10"/>
    <x v="897"/>
    <s v="Electrical Installation, Wiring, Panel Upgrades, Commercial Electrical, Repairs"/>
  </r>
  <r>
    <n v="150756"/>
    <x v="1"/>
    <x v="2084"/>
    <s v="TRAD"/>
    <s v="5313 N MAIN ST;EAST PEORIA IL 61611-1321;USA"/>
    <s v="USD"/>
    <x v="1959"/>
    <x v="10"/>
    <x v="579"/>
    <s v="Commercial Welding, Fabrication, Repair"/>
  </r>
  <r>
    <n v="131277"/>
    <x v="1"/>
    <x v="2085"/>
    <s v="TRAD"/>
    <s v="PO Box 506;Mauldin SC 29662-0506;USA"/>
    <s v="USD"/>
    <x v="1960"/>
    <x v="11"/>
    <x v="969"/>
    <s v="On-Site Hose Replacement, Hydraulic Fittings, Industrial Hose Assembly"/>
  </r>
  <r>
    <s v="000984"/>
    <x v="1"/>
    <x v="2086"/>
    <s v="TRAD"/>
    <s v="PO Box 57004;Toronto ON M5W 5M5;CAN"/>
    <s v="CAD"/>
    <x v="1961"/>
    <x v="26"/>
    <x v="952"/>
    <s v="24/7 Alarm Monitoring, Fire Monitoring, Video Surveillance"/>
  </r>
  <r>
    <s v="000764"/>
    <x v="1"/>
    <x v="2087"/>
    <s v="TRAD"/>
    <s v="188 Joseph ZZatzman Dr;Dartmouth NS B3B 1N4;CAN"/>
    <s v="CAD"/>
    <x v="1962"/>
    <x v="11"/>
    <x v="333"/>
    <s v="Industrial Parts, Equipment, Safety Supplies, Maintenance Products"/>
  </r>
  <r>
    <n v="149005"/>
    <x v="1"/>
    <x v="2088"/>
    <s v="TRAD"/>
    <s v="663 Kakoi Street;Honolulu HI 96819;USA"/>
    <s v="USD"/>
    <x v="1963"/>
    <x v="4"/>
    <x v="970"/>
    <s v="Traffic Signs, Safety Signs, Road Markers, Installation"/>
  </r>
  <r>
    <n v="152593"/>
    <x v="1"/>
    <x v="2089"/>
    <s v="TRAD"/>
    <s v="4030 HIGHWAY 31 W;COTTONTOWN TN 37048-4848;USA"/>
    <s v="USD"/>
    <x v="1964"/>
    <x v="3"/>
    <x v="839"/>
    <s v="Windshield Repair, Glass Replacement, Mobile Service"/>
  </r>
  <r>
    <n v="109508"/>
    <x v="1"/>
    <x v="2090"/>
    <s v="TRAD"/>
    <s v="PO Box 890;Clanton AL 35046 0890;USA"/>
    <s v="USD"/>
    <x v="1965"/>
    <x v="19"/>
    <x v="593"/>
    <s v="Fuel Distribution, Heating Oil, Gasoline, Diesel, Lubricants, Convenience Stores"/>
  </r>
  <r>
    <n v="149971"/>
    <x v="1"/>
    <x v="2091"/>
    <s v="TRAD"/>
    <s v="7071 Bayers Rd;Halifax NS B3L 2C2;CAN"/>
    <s v="CAD"/>
    <x v="1966"/>
    <x v="6"/>
    <x v="971"/>
    <s v="Telecom Solutions, Network Infrastructure, Managed IT Services"/>
  </r>
  <r>
    <n v="103262"/>
    <x v="1"/>
    <x v="2092"/>
    <s v="TRAD"/>
    <s v="5 Peters Canyon Rd;Suite 150;Irvine CA 92606;USA"/>
    <s v="USD"/>
    <x v="1967"/>
    <x v="13"/>
    <x v="369"/>
    <s v="Household Moving, Long Distance, International Moving, Storage"/>
  </r>
  <r>
    <n v="128355"/>
    <x v="1"/>
    <x v="2093"/>
    <s v="TRAD"/>
    <s v="3536 S 1950 W;West Valley City UT 84119-3827;USA"/>
    <s v="USD"/>
    <x v="1968"/>
    <x v="25"/>
    <x v="972"/>
    <s v="Water Softeners, Water Filtration, Air Purifiers, HVAC, Plumbing"/>
  </r>
  <r>
    <n v="147887"/>
    <x v="1"/>
    <x v="2094"/>
    <s v="TRAD"/>
    <s v="149 Landmark Dr;Taylors SC 29687;USA"/>
    <s v="USD"/>
    <x v="1969"/>
    <x v="11"/>
    <x v="973"/>
    <s v="Truck Scales, Platform Scales, Calibration, Scale Repair, Weighing Systems"/>
  </r>
  <r>
    <n v="144795"/>
    <x v="1"/>
    <x v="2095"/>
    <s v="TRAD"/>
    <s v="495 S HIGH ST;STE 50;COLUMBUS OH 43215-5689;USA"/>
    <s v="USD"/>
    <x v="1969"/>
    <x v="10"/>
    <x v="974"/>
    <s v="Insulation Installation, Garage Doors, Gutters, Shelving, Mirrors, Shower Doors"/>
  </r>
  <r>
    <n v="118983"/>
    <x v="1"/>
    <x v="2096"/>
    <s v="TRAD"/>
    <s v="PO Boc 10;Lacon IL 61540;USA"/>
    <s v="USD"/>
    <x v="1970"/>
    <x v="4"/>
    <x v="975"/>
    <s v="Vending Machine Installation, Snack &amp; Beverage Supply, Machine Maintenance"/>
  </r>
  <r>
    <n v="121580"/>
    <x v="1"/>
    <x v="2097"/>
    <s v="TRAD"/>
    <s v="945 Comstock St;Marne MI 49435-8751;USA"/>
    <s v="USD"/>
    <x v="1971"/>
    <x v="16"/>
    <x v="104"/>
    <s v="Walk-In Coolers, Freezers, Refrigeration Repair"/>
  </r>
  <r>
    <n v="129420"/>
    <x v="1"/>
    <x v="2098"/>
    <s v="TRAD"/>
    <s v="7030 Woodbine Ave;Suite 500;Markham ON L3R 6G2;CAN"/>
    <s v="USD"/>
    <x v="1972"/>
    <x v="4"/>
    <x v="10"/>
    <s v="Fuel Cards, Corporate Payments, Expense Management"/>
  </r>
  <r>
    <n v="125358"/>
    <x v="1"/>
    <x v="2099"/>
    <s v="TRAD"/>
    <s v="8165 Alpine Ave;Sacramento CA 95826-4706;USA"/>
    <s v="USD"/>
    <x v="1973"/>
    <x v="20"/>
    <x v="309"/>
    <s v="Janitorial Services, Floor Care, Window Cleaning, Facility Maintenance"/>
  </r>
  <r>
    <n v="103051"/>
    <x v="1"/>
    <x v="2100"/>
    <s v="TRAD"/>
    <s v="12855 Daniels Dr;Ste A;Clearwater FL 33762-4758;USA"/>
    <s v="USD"/>
    <x v="1974"/>
    <x v="30"/>
    <x v="188"/>
    <s v="Garage Door Installation, Repair, Commercial Doors, Openers"/>
  </r>
  <r>
    <n v="109730"/>
    <x v="1"/>
    <x v="2101"/>
    <s v="TRAD"/>
    <s v="11775 Reading Rd;Cincinnati OH 45241 1548;USA"/>
    <s v="USD"/>
    <x v="1975"/>
    <x v="3"/>
    <x v="839"/>
    <s v="Windshield Repair, Glass Replacement, Mobile Service"/>
  </r>
  <r>
    <n v="145273"/>
    <x v="1"/>
    <x v="2102"/>
    <s v="TRAD"/>
    <s v="PO Box 1607;Charlottesville VA 22902;USA"/>
    <s v="USD"/>
    <x v="1976"/>
    <x v="19"/>
    <x v="851"/>
    <s v="Gasoline, Diesel, Heating Oil, Propane, Convenience Stores, Lubricants"/>
  </r>
  <r>
    <n v="146074"/>
    <x v="1"/>
    <x v="2103"/>
    <s v="TRAD"/>
    <s v="PO Box 9128;Minneapolis MN 55480;USA"/>
    <s v="USD"/>
    <x v="1977"/>
    <x v="27"/>
    <x v="976"/>
    <s v="Water Delivery, Private Label Water, Coffee Service, Beverage Distribution"/>
  </r>
  <r>
    <n v="131810"/>
    <x v="1"/>
    <x v="2104"/>
    <s v="TRAD"/>
    <s v="2800 5th Ave S;Birmingham AL 35233-2820;USA"/>
    <s v="USD"/>
    <x v="1978"/>
    <x v="10"/>
    <x v="250"/>
    <s v="HVAC, Plumbing, Piping, Mechanical Systems, Sheet Metal"/>
  </r>
  <r>
    <n v="143974"/>
    <x v="1"/>
    <x v="2105"/>
    <s v="TRAD"/>
    <s v="80 Westcreek Boulevard, Unit 1;Brampton ON L6T 0B8;CAN"/>
    <s v="CAD"/>
    <x v="1979"/>
    <x v="11"/>
    <x v="416"/>
    <s v="Industrial Gases, Medical Gases, Welding Products, Gas Equipment"/>
  </r>
  <r>
    <n v="122704"/>
    <x v="1"/>
    <x v="2106"/>
    <s v="TRAD"/>
    <s v="2141 Gamble Rd;Savannah GA 31405-2830;USA"/>
    <s v="USD"/>
    <x v="1980"/>
    <x v="3"/>
    <x v="270"/>
    <s v="Vehicle Towing, Roadside Assistance, Accident Recovery"/>
  </r>
  <r>
    <n v="126216"/>
    <x v="1"/>
    <x v="2107"/>
    <s v="TRAD"/>
    <s v="Dept CH 19648;Palatine IL 60055;USA"/>
    <s v="USD"/>
    <x v="1981"/>
    <x v="2"/>
    <x v="407"/>
    <s v="Bottled Water Delivery, Filtration Systems, Water Coolers"/>
  </r>
  <r>
    <n v="130146"/>
    <x v="1"/>
    <x v="2108"/>
    <s v="TRAD"/>
    <s v="5315 N 6th Ave;Sioux Falls SD 57104;USA"/>
    <s v="USD"/>
    <x v="1982"/>
    <x v="26"/>
    <x v="743"/>
    <s v="Video Surveillance, Fire Alarms, Access Controls, Alarm Monitoring"/>
  </r>
  <r>
    <n v="100397"/>
    <x v="1"/>
    <x v="2109"/>
    <s v="TRAD"/>
    <s v="High Point Branch;4600 140th Ave N;Suite 100;Clearwater FL 33762;USA"/>
    <s v="USD"/>
    <x v="1983"/>
    <x v="4"/>
    <x v="977"/>
    <s v="Mail Delivery, Package Shipping, PO Boxes, Stamps, Certified Mail, Priority Mail"/>
  </r>
  <r>
    <n v="144026"/>
    <x v="1"/>
    <x v="2110"/>
    <s v="TRAD"/>
    <s v="540 Paddle Drive;Crowley TX 76036;USA"/>
    <s v="USD"/>
    <x v="1984"/>
    <x v="20"/>
    <x v="954"/>
    <s v="Industrial Maintenance, Welding, Fabrication, Facility Services"/>
  </r>
  <r>
    <n v="111306"/>
    <x v="1"/>
    <x v="2111"/>
    <s v="TRAD"/>
    <s v="4312 N Palafox St;Pensacola FL 32505 2921;USA"/>
    <s v="USD"/>
    <x v="1985"/>
    <x v="11"/>
    <x v="978"/>
    <s v="Rubber Gaskets, Seals, O-Rings, Hoses, Custom Fabrication, Industrial Supplies"/>
  </r>
  <r>
    <n v="152474"/>
    <x v="1"/>
    <x v="2112"/>
    <s v="TRAD"/>
    <s v="850 TESON RD;HAZELWOOD MO 63042-3336;USA"/>
    <s v="USD"/>
    <x v="1986"/>
    <x v="12"/>
    <x v="327"/>
    <s v="Legal Counsel, Attorney Services"/>
  </r>
  <r>
    <n v="142356"/>
    <x v="1"/>
    <x v="2113"/>
    <s v="TRAD"/>
    <s v="78 South Hook Road;Pennsville NJ 08070;USA"/>
    <s v="USD"/>
    <x v="1987"/>
    <x v="30"/>
    <x v="717"/>
    <s v="Door Installation, Repair, Rolling Steel Doors, Dock Equipment"/>
  </r>
  <r>
    <n v="150305"/>
    <x v="1"/>
    <x v="2114"/>
    <s v="TRAD"/>
    <s v="825 S TOPEKA AVE;FRESNO CA 93721-2406;USA"/>
    <s v="USD"/>
    <x v="1988"/>
    <x v="16"/>
    <x v="281"/>
    <s v="Air Conditioning, Heating, HVAC Repair, Installation, Maintenance"/>
  </r>
  <r>
    <n v="152642"/>
    <x v="1"/>
    <x v="2115"/>
    <s v="TRAD"/>
    <s v="5646 SPRINGFIELD URBANA PIKE;Pike lot 102;URBANA OH 43078-9471;USA"/>
    <s v="USD"/>
    <x v="1989"/>
    <x v="10"/>
    <x v="247"/>
    <s v="Contractor Services"/>
  </r>
  <r>
    <n v="110749"/>
    <x v="1"/>
    <x v="2116"/>
    <s v="TRAD"/>
    <s v="PO Box 2057;Bakersfield CA 93303 2057;USA"/>
    <s v="USD"/>
    <x v="1990"/>
    <x v="14"/>
    <x v="979"/>
    <s v="City Services, Permits, Utilities"/>
  </r>
  <r>
    <n v="104700"/>
    <x v="1"/>
    <x v="2117"/>
    <s v="TRAD"/>
    <s v="ATTN: Robbie Reed;720 Brazos Street;Austin TX 78717;USA"/>
    <s v="USD"/>
    <x v="1991"/>
    <x v="9"/>
    <x v="980"/>
    <s v="Storage Facility Search, Price Comparison, Self-Storage Booking, Moving Resources"/>
  </r>
  <r>
    <n v="104621"/>
    <x v="1"/>
    <x v="2118"/>
    <s v="COMM"/>
    <s v="Atttn: Dennis Wright 10550 Deerwood Park Blvd;Ste 110;Jacksonville FL 32256 0596;USA"/>
    <s v="USD"/>
    <x v="1992"/>
    <x v="10"/>
    <x v="981"/>
    <s v="Property Restoration, Insurance Claims, Contractor Network"/>
  </r>
  <r>
    <n v="140422"/>
    <x v="1"/>
    <x v="2119"/>
    <s v="TRAD"/>
    <s v="716 West Byrd Boulevard;Universal City TX 78148;USA"/>
    <s v="USD"/>
    <x v="1993"/>
    <x v="26"/>
    <x v="693"/>
    <s v="Alarm Systems, Video Surveillance, Monitoring Services, Smart Home Security"/>
  </r>
  <r>
    <n v="110654"/>
    <x v="1"/>
    <x v="2120"/>
    <s v="TRAD"/>
    <s v="3179 Walden Ave;Depew NY 14043 2843;USA"/>
    <s v="USD"/>
    <x v="1994"/>
    <x v="11"/>
    <x v="982"/>
    <s v="Warehouse Equipment, Storage Solutions, Distribution, Material Handling"/>
  </r>
  <r>
    <s v="000690"/>
    <x v="1"/>
    <x v="2121"/>
    <s v="TRAD"/>
    <s v="PO/CP 9634 Station T;Ottawa ON K1G 6H5;CAN"/>
    <s v="CAD"/>
    <x v="1995"/>
    <x v="4"/>
    <x v="983"/>
    <s v="Police Services, Public Safety, Community Policing"/>
  </r>
  <r>
    <n v="145945"/>
    <x v="1"/>
    <x v="2122"/>
    <s v="TRAD"/>
    <s v="2511 San Mateo Blvd. NE;Albuquerque NM 87110;USA"/>
    <s v="USD"/>
    <x v="1996"/>
    <x v="20"/>
    <x v="984"/>
    <s v="Cleaning Supplies, Paper Products, Cleaning Chemicals, Equipment Sales"/>
  </r>
  <r>
    <n v="141226"/>
    <x v="1"/>
    <x v="2123"/>
    <s v="TRAD"/>
    <s v="125 W 11TH ST;TRACY CA 95376-3907;USA"/>
    <s v="USD"/>
    <x v="1997"/>
    <x v="26"/>
    <x v="858"/>
    <s v="Lock Repair, Key Cutting, Safe Sales, Access Control, Emergency Locksmith"/>
  </r>
  <r>
    <n v="121225"/>
    <x v="1"/>
    <x v="1938"/>
    <s v="TRAD"/>
    <s v="PO Box 41602;Philadelphia PA 19101-1602;USA"/>
    <s v="USD"/>
    <x v="1998"/>
    <x v="6"/>
    <x v="908"/>
    <s v="Managed Print Services, Managed IT, Unified Communications, Production Print, Document Imaging"/>
  </r>
  <r>
    <n v="142528"/>
    <x v="1"/>
    <x v="2124"/>
    <s v="COMM"/>
    <s v="ATTN: Debbie Curtis;1226 Huron Road E;Cleveland OH 44115;USA"/>
    <s v="USD"/>
    <x v="1999"/>
    <x v="31"/>
    <x v="985"/>
    <s v="Group Purchasing, Medical Supplies, Healthcare Procurement, Cost Savings Programs"/>
  </r>
  <r>
    <n v="141388"/>
    <x v="1"/>
    <x v="2125"/>
    <s v="TRAD"/>
    <s v="PO Box 3508;Seal Beach CA 90740;USA"/>
    <s v="USD"/>
    <x v="2000"/>
    <x v="20"/>
    <x v="846"/>
    <s v="Janitorial, Building Maintenance, Handyman Services"/>
  </r>
  <r>
    <n v="109333"/>
    <x v="1"/>
    <x v="2126"/>
    <s v="TRAD"/>
    <s v="7684 Southrail Rd;Apt A;Charleston SC 29420-9000;USA"/>
    <s v="USD"/>
    <x v="2001"/>
    <x v="30"/>
    <x v="986"/>
    <s v="Lawn Mower Sales, Chainsaw Sales, Parts, Equipment Repair"/>
  </r>
  <r>
    <n v="125389"/>
    <x v="1"/>
    <x v="2127"/>
    <s v="TRAD"/>
    <s v="2552 Pelham Pkwy;Pelham AL 35124-1329;USA"/>
    <s v="USD"/>
    <x v="2002"/>
    <x v="32"/>
    <x v="987"/>
    <s v="Commercial Lighting, LED Products, Lamp Replacement, Light Fixtures"/>
  </r>
  <r>
    <n v="128157"/>
    <x v="1"/>
    <x v="2128"/>
    <s v="TRAD"/>
    <s v="4140 F Ave NW;Cedar Rapids IA 52405-1947;USA"/>
    <s v="USD"/>
    <x v="2003"/>
    <x v="10"/>
    <x v="250"/>
    <s v="HVAC, Plumbing, Mechanical Systems, Installation"/>
  </r>
  <r>
    <n v="147603"/>
    <x v="1"/>
    <x v="2129"/>
    <s v="TRAD"/>
    <s v="10627 5th Ave;Ocoee FL 34761;USA"/>
    <s v="USD"/>
    <x v="2004"/>
    <x v="26"/>
    <x v="740"/>
    <s v="Fire Extinguisher Service, Kitchen Suppression, Inspections, Safety Equipment"/>
  </r>
  <r>
    <n v="147613"/>
    <x v="1"/>
    <x v="2130"/>
    <s v="TRAD"/>
    <s v="1150 S Joplin;Tulsa OK 74112;USA"/>
    <s v="USD"/>
    <x v="2005"/>
    <x v="16"/>
    <x v="281"/>
    <s v="Heating, Air Conditioning, Repair, Installation, Maintenance"/>
  </r>
  <r>
    <n v="129221"/>
    <x v="1"/>
    <x v="2131"/>
    <s v="TRAD"/>
    <s v="2221 Ross Way;Tacoma WA 98421-3401;USA"/>
    <s v="USD"/>
    <x v="2006"/>
    <x v="15"/>
    <x v="988"/>
    <s v="Water Testing, Soil Testing, Air Quality, Environmental Compliance, Chemical Analysis"/>
  </r>
  <r>
    <n v="100705"/>
    <x v="1"/>
    <x v="2132"/>
    <s v="FRAN"/>
    <s v="PO Box 5462;Grand Island NE 68802 5462;USA"/>
    <s v="USD"/>
    <x v="2007"/>
    <x v="8"/>
    <x v="794"/>
    <s v="Container Rental, Moving Storage, On-Site Storage"/>
  </r>
  <r>
    <n v="100705"/>
    <x v="1"/>
    <x v="2133"/>
    <s v="FRAN"/>
    <s v="11150 38TH ST SE;Calgary ON T2G5S7;CAN"/>
    <s v="USD"/>
    <x v="2007"/>
    <x v="8"/>
    <x v="794"/>
    <s v="Container Rental, Moving Storage, On-Site Storage"/>
  </r>
  <r>
    <n v="146136"/>
    <x v="1"/>
    <x v="2134"/>
    <s v="TRAD"/>
    <s v="374 Millburn Avenue;4th Floor;Millburn NJ 07041;USA"/>
    <s v="USD"/>
    <x v="2008"/>
    <x v="10"/>
    <x v="184"/>
    <s v="Commercial Construction, Renovation, Facility Maintenance"/>
  </r>
  <r>
    <n v="147718"/>
    <x v="1"/>
    <x v="2135"/>
    <s v="TRAD"/>
    <s v="815 South Main Street;Jacksonville FL 32207;USA"/>
    <s v="USD"/>
    <x v="2009"/>
    <x v="13"/>
    <x v="369"/>
    <s v="Global Mobility, Household Goods Moving, Destination Services, Immigration Support, Policy Consulting"/>
  </r>
  <r>
    <s v="000799"/>
    <x v="1"/>
    <x v="2136"/>
    <s v="TRAD"/>
    <s v="C/O th1216 PO Box 4290 STN A;Toronto ON M5W 0E1;CAN"/>
    <s v="CAD"/>
    <x v="2010"/>
    <x v="11"/>
    <x v="989"/>
    <s v="MRO Supplies, Safety Products, Material Handling, Janitorial Supplies"/>
  </r>
  <r>
    <n v="123455"/>
    <x v="1"/>
    <x v="2137"/>
    <s v="TRAD"/>
    <s v="5024 Business Park Dr;Montgomery AL 36116-2637;USA"/>
    <s v="USD"/>
    <x v="2011"/>
    <x v="26"/>
    <x v="740"/>
    <s v="Fire Extinguisher Service, Fire Suppression, Inspections, Safety Training"/>
  </r>
  <r>
    <n v="105651"/>
    <x v="1"/>
    <x v="2138"/>
    <s v="COMM"/>
    <s v="22810 Quicksilver Dr;Sterling VA 20166-2007;USA"/>
    <s v="USD"/>
    <x v="2012"/>
    <x v="8"/>
    <x v="28"/>
    <s v="Real Estate, Property Management"/>
  </r>
  <r>
    <n v="145492"/>
    <x v="1"/>
    <x v="2139"/>
    <s v="TRAD"/>
    <s v="129 AIRPORT PARK DR;SAVANNAH GA 31408-9544;USA"/>
    <s v="USD"/>
    <x v="2013"/>
    <x v="30"/>
    <x v="188"/>
    <s v="Garage Door Installation, Repair, Commercial Doors, Openers"/>
  </r>
  <r>
    <n v="147820"/>
    <x v="1"/>
    <x v="2140"/>
    <s v="TRAD"/>
    <s v="329 N Waco;Wichita KS 67202;USA"/>
    <s v="USD"/>
    <x v="2014"/>
    <x v="10"/>
    <x v="990"/>
    <s v="Fire Alarm Systems, Fire Suppression, Building Automation, Safety Inspections"/>
  </r>
  <r>
    <n v="131231"/>
    <x v="1"/>
    <x v="2141"/>
    <s v="TRAD"/>
    <s v="PO Box 8193;Medford OR 97501-0493;USA"/>
    <s v="USD"/>
    <x v="2014"/>
    <x v="30"/>
    <x v="188"/>
    <s v="Garage Door Installation, Repair, Commercial Doors, Openers"/>
  </r>
  <r>
    <n v="150196"/>
    <x v="1"/>
    <x v="2142"/>
    <s v="INSURANCE"/>
    <s v="c/o Rue &amp; Ziffra, P.A.;632 Dunlawton Ave;Port Orange FL 32127;USA"/>
    <s v="USD"/>
    <x v="2014"/>
    <x v="15"/>
    <x v="61"/>
    <s v="Manufacturing Staffing, Construction, Aviation, Logistics"/>
  </r>
  <r>
    <n v="114176"/>
    <x v="1"/>
    <x v="2143"/>
    <s v="TRAD"/>
    <s v="PO Box 36;Mauldin SC 29662;USA"/>
    <s v="USD"/>
    <x v="2015"/>
    <x v="26"/>
    <x v="213"/>
    <s v="Armed &amp; Unarmed Guards, Patrol Services, Event Security, Alarm Monitoring"/>
  </r>
  <r>
    <n v="110623"/>
    <x v="1"/>
    <x v="2144"/>
    <s v="UTIL"/>
    <s v="PO Box 981077;Boston MA 02298-1077;USA"/>
    <s v="USD"/>
    <x v="2016"/>
    <x v="19"/>
    <x v="991"/>
    <s v="Electric Service, Natural Gas, Utility Billing, Energy Efficiency Programs"/>
  </r>
  <r>
    <n v="144434"/>
    <x v="1"/>
    <x v="2145"/>
    <s v="TRAD"/>
    <s v="5736 Jarvis Street;Harahan LA 70123;USA"/>
    <s v="USD"/>
    <x v="2017"/>
    <x v="11"/>
    <x v="924"/>
    <s v="Aerial Lift Repair, Hydraulic Systems, Equipment"/>
  </r>
  <r>
    <n v="150383"/>
    <x v="1"/>
    <x v="2146"/>
    <s v="TRAD"/>
    <s v="3883 OLD VALLEY PIKE;NEW MARKET VA 22844-3400;USA"/>
    <s v="USD"/>
    <x v="2018"/>
    <x v="16"/>
    <x v="892"/>
    <s v="Heating, Air Conditioning, Plumbing, Mechanical Service &amp; Repair"/>
  </r>
  <r>
    <n v="119010"/>
    <x v="1"/>
    <x v="2147"/>
    <s v="TRAD"/>
    <s v="PO Box 323;Sussex NJ 07461-0323;USA"/>
    <s v="USD"/>
    <x v="2019"/>
    <x v="3"/>
    <x v="378"/>
    <s v="Tire Sales, Tire Repair, Alignment, Brakes, Auto Service"/>
  </r>
  <r>
    <n v="149999"/>
    <x v="1"/>
    <x v="2148"/>
    <s v="TRAD"/>
    <s v="BofA Payment Processing Ctr;PO Box 411472;Boston MA 02241;USA"/>
    <s v="USD"/>
    <x v="2020"/>
    <x v="35"/>
    <x v="992"/>
    <s v="School Bus Safety Training, Compliance Programs"/>
  </r>
  <r>
    <n v="126278"/>
    <x v="1"/>
    <x v="2149"/>
    <s v="TRAD"/>
    <s v="ATTN: Jason Haddad;2915 Jorie Blvd;Oak Brook IL 60523;USA"/>
    <s v="USD"/>
    <x v="2021"/>
    <x v="11"/>
    <x v="993"/>
    <s v="Paint, Lawn &amp; Garden, Tools, Home Improvement"/>
  </r>
  <r>
    <n v="131807"/>
    <x v="1"/>
    <x v="2150"/>
    <s v="TRAD"/>
    <s v="PO Box 80282;Toledo OH 43608-0282;USA"/>
    <s v="USD"/>
    <x v="2022"/>
    <x v="3"/>
    <x v="748"/>
    <s v="Vehicle Towing, Roadside Assistance, Accident Recovery"/>
  </r>
  <r>
    <n v="144990"/>
    <x v="1"/>
    <x v="2151"/>
    <s v="TRAD"/>
    <s v="PO Box 8546;Pasadena CA 91109;USA"/>
    <s v="USD"/>
    <x v="2023"/>
    <x v="5"/>
    <x v="994"/>
    <s v="Employee Recognition, Rewards Platform, Corporate Perks"/>
  </r>
  <r>
    <n v="104424"/>
    <x v="1"/>
    <x v="2152"/>
    <s v="TRAD"/>
    <s v="P.O. Box 719477;Philadelphia PA 19171;USA"/>
    <s v="USD"/>
    <x v="2024"/>
    <x v="6"/>
    <x v="995"/>
    <s v="IP Address Management, Network Resource Registry"/>
  </r>
  <r>
    <n v="145493"/>
    <x v="1"/>
    <x v="2153"/>
    <s v="TRAD"/>
    <s v="PO Box 411;Prairieville LA 70769;USA"/>
    <s v="USD"/>
    <x v="2025"/>
    <x v="26"/>
    <x v="292"/>
    <s v="Fire Sprinklers, Fire Alarms, Inspections"/>
  </r>
  <r>
    <n v="108449"/>
    <x v="1"/>
    <x v="2154"/>
    <s v="TRAD"/>
    <s v="PO Box 4440;Dept. 8;Houston TX 77210;USA"/>
    <s v="USD"/>
    <x v="2026"/>
    <x v="4"/>
    <x v="996"/>
    <s v="Toll Violation Processing, Toll Payment, Harris County Toll Road"/>
  </r>
  <r>
    <n v="150272"/>
    <x v="1"/>
    <x v="2155"/>
    <s v="TRAD"/>
    <s v="20520 68TH AVE W;LYNNWOOD WA 98036-7406;USA"/>
    <s v="USD"/>
    <x v="2027"/>
    <x v="12"/>
    <x v="997"/>
    <s v="District Court Services, Legal Processing"/>
  </r>
  <r>
    <n v="147845"/>
    <x v="1"/>
    <x v="2156"/>
    <s v="TRAD"/>
    <s v="365 Broad St Suite 12;Red Bank NJ 07701;USA"/>
    <s v="USD"/>
    <x v="2028"/>
    <x v="9"/>
    <x v="998"/>
    <s v="Commercial Appraisal, Residential Appraisal, Consulting, Valuation"/>
  </r>
  <r>
    <n v="149182"/>
    <x v="1"/>
    <x v="2157"/>
    <s v="TRAD"/>
    <s v="Attn: Gina Fresolone;One ADP Blvd MS A248;Roseland NJ 07068;USA"/>
    <s v="USD"/>
    <x v="2029"/>
    <x v="15"/>
    <x v="29"/>
    <s v="Tax Compliance, Benefits Administration, Time &amp; Attendance, HCM"/>
  </r>
  <r>
    <n v="118351"/>
    <x v="1"/>
    <x v="2158"/>
    <s v="UTIL"/>
    <s v="PO Box 70848;Charlotte NC 28272-0848;USA"/>
    <s v="USD"/>
    <x v="2030"/>
    <x v="19"/>
    <x v="999"/>
    <s v="Natural Gas Delivery, Gas Line Service, Utility Operations"/>
  </r>
  <r>
    <n v="101079"/>
    <x v="1"/>
    <x v="2159"/>
    <s v="TRAD"/>
    <s v="PO Box 5544;Chicago IL 60680;USA"/>
    <s v="USD"/>
    <x v="2031"/>
    <x v="4"/>
    <x v="182"/>
    <s v="Toll Collection, Transponder Services, I-PASS, Traffic Management"/>
  </r>
  <r>
    <n v="127935"/>
    <x v="1"/>
    <x v="2160"/>
    <s v="TRAD"/>
    <s v="PO Box 91297;Raleigh NC 27675-1297;USA"/>
    <s v="USD"/>
    <x v="2032"/>
    <x v="20"/>
    <x v="309"/>
    <s v="Janitorial, Floor Care, Window Cleaning, Facility Maintenance"/>
  </r>
  <r>
    <n v="146365"/>
    <x v="1"/>
    <x v="2161"/>
    <s v="TRAD"/>
    <s v="603 South Church Street;Mooresville NC 28115;USA"/>
    <s v="USD"/>
    <x v="2033"/>
    <x v="6"/>
    <x v="1000"/>
    <s v="Assistance Animal Verification, Pet Risk Assessment, Pet Policy Management, Rental Property Integration"/>
  </r>
  <r>
    <n v="142046"/>
    <x v="1"/>
    <x v="2162"/>
    <s v="TRAD"/>
    <s v="PO Box 1671;Conway SC 29528;USA"/>
    <s v="USD"/>
    <x v="2034"/>
    <x v="25"/>
    <x v="1001"/>
    <s v="Auto Recycling, Salvage Parts, Scrap Metal Buying"/>
  </r>
  <r>
    <n v="122102"/>
    <x v="1"/>
    <x v="2163"/>
    <s v="TRAD"/>
    <s v="3215 East Yandell Drive;El Paso TX 79903;USA"/>
    <s v="USD"/>
    <x v="2035"/>
    <x v="26"/>
    <x v="743"/>
    <s v="Security Installation, Alarm Monitoring, CCTV, Access Control"/>
  </r>
  <r>
    <n v="141939"/>
    <x v="1"/>
    <x v="2164"/>
    <s v="TRAD"/>
    <s v="4360 LEWIS RD;HARRISBURG PA 17111-2538;USA"/>
    <s v="USD"/>
    <x v="2036"/>
    <x v="3"/>
    <x v="90"/>
    <s v="Truck Sales, Parts, Service, Leasing, Body Shop, Used Trucks"/>
  </r>
  <r>
    <n v="124441"/>
    <x v="1"/>
    <x v="2165"/>
    <s v="RENT"/>
    <s v="1415 Neal St;PO Box 3166;Cookeville TN 38501-4328;USA"/>
    <s v="USD"/>
    <x v="2037"/>
    <x v="8"/>
    <x v="28"/>
    <s v="Truck Terminal, Distribution Facility"/>
  </r>
  <r>
    <n v="146832"/>
    <x v="1"/>
    <x v="2166"/>
    <s v="TRAD"/>
    <s v="1500 Main St;Waltham MA 02451 1635;USA"/>
    <s v="USD"/>
    <x v="2038"/>
    <x v="26"/>
    <x v="894"/>
    <s v="Fire Extinguishers, Safety Equipment, Fire Suppression, Inspections"/>
  </r>
  <r>
    <n v="120288"/>
    <x v="1"/>
    <x v="2167"/>
    <s v="TRAD"/>
    <s v="1440 Dutch Valley Pl NE;Ste 1000;Atlanta GA 30324-5389;USA"/>
    <s v="USD"/>
    <x v="2039"/>
    <x v="20"/>
    <x v="562"/>
    <s v="Janitorial, Building Maintenance, Grounds Care"/>
  </r>
  <r>
    <n v="123130"/>
    <x v="1"/>
    <x v="2168"/>
    <s v="TRAD"/>
    <s v="PO Box 8099;Kentwood MI 49518-8099;USA"/>
    <s v="USD"/>
    <x v="2040"/>
    <x v="3"/>
    <x v="839"/>
    <s v="Windshield Repair, Glass Replacement, Mobile Service"/>
  </r>
  <r>
    <n v="146450"/>
    <x v="1"/>
    <x v="2169"/>
    <s v="TRAD"/>
    <s v="1578 A Beverly Court;Aurora IL 60502;USA"/>
    <s v="USD"/>
    <x v="2041"/>
    <x v="20"/>
    <x v="1002"/>
    <s v="Floor Scrubbers, Sweepers, Parts, Rental, Service &amp; Repair"/>
  </r>
  <r>
    <n v="108533"/>
    <x v="1"/>
    <x v="2170"/>
    <s v="TRAD"/>
    <s v="1005 Dallas Dr;Denton TX 76205 5277;USA"/>
    <s v="USD"/>
    <x v="2042"/>
    <x v="3"/>
    <x v="400"/>
    <s v="Auto Parts, Tools, Accessories, Fleet Parts Programs"/>
  </r>
  <r>
    <n v="109887"/>
    <x v="1"/>
    <x v="2171"/>
    <s v="TRAD"/>
    <s v="North Texas Tollway Authority;PO Box 660244;Dallas TX 75266 0244;USA"/>
    <s v="USD"/>
    <x v="2043"/>
    <x v="4"/>
    <x v="1003"/>
    <s v="Toll Collection, TollTag/TxTag, Highway Operations, Traffic Management"/>
  </r>
  <r>
    <n v="150488"/>
    <x v="1"/>
    <x v="2172"/>
    <s v="TRAD"/>
    <s v="4691 COLLEGE ST;BEAUMONT TX 77707-3809;USA"/>
    <s v="USD"/>
    <x v="2044"/>
    <x v="16"/>
    <x v="396"/>
    <s v="Residential Plumbing, Commercial Plumbing, Drain Cleaning, Water Heaters, Pipe Repair"/>
  </r>
  <r>
    <n v="125383"/>
    <x v="1"/>
    <x v="2173"/>
    <s v="UTIL"/>
    <s v="Time Warner Cable;PO Box 60074;City Of Industry CA 91716;USA"/>
    <s v="USD"/>
    <x v="2045"/>
    <x v="6"/>
    <x v="1004"/>
    <s v="Business Internet, Phone, TV, Fiber, Networking, Wi-Fi Solutions"/>
  </r>
  <r>
    <n v="119734"/>
    <x v="1"/>
    <x v="2174"/>
    <s v="TRAD"/>
    <s v="PO Box 734182;Dallas TX 75373-4182;USA"/>
    <s v="USD"/>
    <x v="2046"/>
    <x v="2"/>
    <x v="1005"/>
    <s v="RMA Processing, Product Returns, Refurbishment, Recycling"/>
  </r>
  <r>
    <s v="001197"/>
    <x v="1"/>
    <x v="2175"/>
    <s v="TRAD"/>
    <s v="1151, Autoroute 440 Ouest;Laval QC H7L 3W3;CAN"/>
    <s v="CAD"/>
    <x v="2047"/>
    <x v="21"/>
    <x v="1006"/>
    <s v="Real Estate Management, Administrative Support, Facility Services"/>
  </r>
  <r>
    <n v="111766"/>
    <x v="1"/>
    <x v="2176"/>
    <s v="TRAD"/>
    <s v="Violation Enforcement Section;PO Box 585070;Orlando FL 32858;USA"/>
    <s v="USD"/>
    <x v="2048"/>
    <x v="10"/>
    <x v="1007"/>
    <s v="Tank Engineering, Construction, Maintenance"/>
  </r>
  <r>
    <n v="150510"/>
    <x v="1"/>
    <x v="2177"/>
    <s v="TRAD"/>
    <s v="315 MAIN ST;PORT WASHINGTON NY 11050-2705;USA"/>
    <s v="USD"/>
    <x v="2049"/>
    <x v="4"/>
    <x v="660"/>
    <s v="Property Services, Business Support"/>
  </r>
  <r>
    <s v="001265"/>
    <x v="1"/>
    <x v="2178"/>
    <s v="TRAD"/>
    <s v="Attn: Phillipe Tardif-Michaud;917 Ave. Mont-Royal Est;Montreal QC H2J 1X3;CAN"/>
    <s v="CAD"/>
    <x v="2050"/>
    <x v="13"/>
    <x v="1008"/>
    <s v="Utility Setup, Change of Address Automation, Moving Concierge, Home Services"/>
  </r>
  <r>
    <n v="103298"/>
    <x v="1"/>
    <x v="2179"/>
    <s v="UTIL"/>
    <s v="PO BOX 660579;Dallas TX 75266-0579;USA"/>
    <s v="USD"/>
    <x v="2051"/>
    <x v="2"/>
    <x v="925"/>
    <s v="Bottled Water, Water Coolers, Filtration Systems"/>
  </r>
  <r>
    <n v="140085"/>
    <x v="1"/>
    <x v="2180"/>
    <s v="TRAD"/>
    <s v="PO Box 832;East Granby CT 06026;USA"/>
    <s v="USD"/>
    <x v="2052"/>
    <x v="26"/>
    <x v="538"/>
    <s v="Locksmith, Alarm Systems, Security Installation"/>
  </r>
  <r>
    <n v="150733"/>
    <x v="1"/>
    <x v="2181"/>
    <s v="TRAD"/>
    <s v="9855 CROSSPOINT BLVD;STE 126;INDIANAPOLIS IN 46256-3355;USA"/>
    <s v="USD"/>
    <x v="2053"/>
    <x v="3"/>
    <x v="1009"/>
    <s v="DMS Systems, CRM, Digital Marketing, Dealer Technology"/>
  </r>
  <r>
    <n v="125657"/>
    <x v="1"/>
    <x v="2182"/>
    <s v="TRAD"/>
    <s v="PO Box 628;Theodore AL 36590-0628;USA"/>
    <s v="USD"/>
    <x v="2054"/>
    <x v="11"/>
    <x v="1010"/>
    <s v="Hydraulic Systems, Pneumatics, Industrial Equipment"/>
  </r>
  <r>
    <n v="143938"/>
    <x v="1"/>
    <x v="2183"/>
    <s v="TRAD"/>
    <s v="580 White Plains Road;Suite 660;Tarrytown NY 10591;USA"/>
    <s v="USD"/>
    <x v="2055"/>
    <x v="4"/>
    <x v="1011"/>
    <s v="ACTFL Testing, Language Certification, Corporate Language Assessment, Translation"/>
  </r>
  <r>
    <n v="150258"/>
    <x v="1"/>
    <x v="2184"/>
    <s v="TRAD"/>
    <s v="35 E 84th Street, Apt 11A;New York NY 10028;USA"/>
    <s v="USD"/>
    <x v="2056"/>
    <x v="7"/>
    <x v="218"/>
    <s v="Consulting, Contracting Services"/>
  </r>
  <r>
    <n v="151769"/>
    <x v="1"/>
    <x v="2185"/>
    <s v="TRAD"/>
    <s v="4301 EARTH CITY EXPY;EARTH CITY MO 63045-1334;USA"/>
    <s v="USD"/>
    <x v="2057"/>
    <x v="27"/>
    <x v="1012"/>
    <s v="Cooperative Services, Business Solutions, Purchasing"/>
  </r>
  <r>
    <n v="144325"/>
    <x v="1"/>
    <x v="2186"/>
    <s v="RENT"/>
    <s v="PO Box 88250;Sioux Falls SD 57109;USA"/>
    <s v="USD"/>
    <x v="2058"/>
    <x v="8"/>
    <x v="28"/>
    <s v="Real Estate, Hospitality, Gaming Venue"/>
  </r>
  <r>
    <n v="151732"/>
    <x v="1"/>
    <x v="2187"/>
    <s v="TRAD"/>
    <s v="15609 GOVERNORS ISLAND WAY;PROSPER TX 75078-1715;USA"/>
    <s v="USD"/>
    <x v="2059"/>
    <x v="10"/>
    <x v="69"/>
    <s v="Professional Services"/>
  </r>
  <r>
    <s v="000619"/>
    <x v="1"/>
    <x v="2188"/>
    <s v="TRAD"/>
    <s v="MH2042, PO BOX 6789, STN Centre-Ville;Montreal QC H3C 4J5;CAN"/>
    <s v="CAD"/>
    <x v="2060"/>
    <x v="11"/>
    <x v="416"/>
    <s v="Specialty Gases, Medical Gases, Hydrogen, Equipment"/>
  </r>
  <r>
    <n v="120985"/>
    <x v="1"/>
    <x v="2189"/>
    <s v="COMM"/>
    <s v="Attn: Allison Welch;30840 Hawthorne Blvd;Rancho Palos Verdes CA 90275-5301;USA"/>
    <s v="USD"/>
    <x v="2061"/>
    <x v="6"/>
    <x v="665"/>
    <s v="Social Services, Disaster Relief, Thrift Stores, Rehabilitation, Community Programs"/>
  </r>
  <r>
    <n v="121940"/>
    <x v="1"/>
    <x v="2190"/>
    <s v="TRAD"/>
    <s v="PO Box 2399;Binghamton NY 13902;USA"/>
    <s v="USD"/>
    <x v="2062"/>
    <x v="6"/>
    <x v="1013"/>
    <s v="Digital Coupons, Cashback Offers, Brand Deals, Savings Programs"/>
  </r>
  <r>
    <n v="110375"/>
    <x v="1"/>
    <x v="2191"/>
    <s v="TRAD"/>
    <s v="PO Box 2500;Largo FL 33779 2500;USA"/>
    <s v="USD"/>
    <x v="2063"/>
    <x v="4"/>
    <x v="1014"/>
    <s v="School Resource Officers, Public Safety Programs"/>
  </r>
  <r>
    <n v="144285"/>
    <x v="1"/>
    <x v="2192"/>
    <s v="COMM"/>
    <s v="ATN: Rusty Koch;1301 E Parkerville Road;De Soto TX 75115;USA"/>
    <s v="USD"/>
    <x v="2064"/>
    <x v="13"/>
    <x v="539"/>
    <s v="Local Moving, Long-Distance Moving, Packing Services, Loading &amp; Unloading"/>
  </r>
  <r>
    <n v="124366"/>
    <x v="1"/>
    <x v="2193"/>
    <s v="UTIL"/>
    <s v="PO Box 12027;Fresno CA 93776-2027;USA"/>
    <s v="USD"/>
    <x v="2065"/>
    <x v="19"/>
    <x v="299"/>
    <s v="Propane Delivery, Tank Installation, Heating, Commercial Propane"/>
  </r>
  <r>
    <n v="146319"/>
    <x v="1"/>
    <x v="2194"/>
    <s v="TRAD"/>
    <s v="1256 West Sharon Road;Cincinnati OH 45240;USA"/>
    <s v="USD"/>
    <x v="2066"/>
    <x v="4"/>
    <x v="1015"/>
    <s v="Micro Markets, Office Coffee, Vending Machines"/>
  </r>
  <r>
    <s v="001236"/>
    <x v="1"/>
    <x v="2195"/>
    <s v="TRAD"/>
    <s v="32 Topple Drive;Dartmouth NS B3B 1L6;CAN"/>
    <s v="CAD"/>
    <x v="2067"/>
    <x v="6"/>
    <x v="921"/>
    <s v="IT Services, Networking, Managed IT, Infrastructure"/>
  </r>
  <r>
    <n v="144414"/>
    <x v="1"/>
    <x v="2196"/>
    <s v="TRAD"/>
    <s v="100 Washington Street North;Auburn ME 04210;USA"/>
    <s v="USD"/>
    <x v="2068"/>
    <x v="10"/>
    <x v="1016"/>
    <s v="Oxygen, Acetylene, Welding Supplies, Safety Equipment, Industrial Gases"/>
  </r>
  <r>
    <n v="147259"/>
    <x v="1"/>
    <x v="2197"/>
    <s v="TRAD"/>
    <s v="9421 St Vincent Ave;Shreveport LA 71106;USA"/>
    <s v="USD"/>
    <x v="2069"/>
    <x v="30"/>
    <x v="188"/>
    <s v="Garage Door Installation, Repair, Commercial Doors, Openers"/>
  </r>
  <r>
    <n v="110288"/>
    <x v="1"/>
    <x v="2198"/>
    <s v="TRAD"/>
    <s v="PO Box 63230;Charlotte NC 28263-3230;USA"/>
    <s v="USD"/>
    <x v="2070"/>
    <x v="11"/>
    <x v="37"/>
    <s v="Forklift Sales &amp; Service, Rentals, Parts, Material Handling, Warehouse Equipment"/>
  </r>
  <r>
    <n v="102525"/>
    <x v="1"/>
    <x v="2199"/>
    <s v="TRAD"/>
    <s v="PARKING VIOLATIONS;CHURCH STREET STATION;PO BOX 3600;New York NY 10008-3600;USA"/>
    <s v="USD"/>
    <x v="2071"/>
    <x v="14"/>
    <x v="666"/>
    <s v="Parking Violations, Tax Collection, Property Valuation, City Revenue"/>
  </r>
  <r>
    <n v="106638"/>
    <x v="1"/>
    <x v="2200"/>
    <s v="TRAD"/>
    <s v="PO Box 735458;Dallas TX 75373;USA"/>
    <s v="USD"/>
    <x v="2072"/>
    <x v="4"/>
    <x v="149"/>
    <s v="Termite Treatment, Pest Prevention, Bed Bug Treatment, Commercial Pest Control, Wildlife Control"/>
  </r>
  <r>
    <n v="149035"/>
    <x v="1"/>
    <x v="2201"/>
    <s v="TRAD"/>
    <s v="P.O.BOX 630;Jefferson City MO 65102;USA"/>
    <s v="USD"/>
    <x v="2073"/>
    <x v="14"/>
    <x v="705"/>
    <s v="Weights &amp; Measures, Consumer Protection, Agricultural Regulation"/>
  </r>
  <r>
    <n v="143336"/>
    <x v="1"/>
    <x v="2202"/>
    <s v="TRAD"/>
    <s v="1005 S Gaylord St;Denver CO 80209;USA"/>
    <s v="USD"/>
    <x v="2074"/>
    <x v="6"/>
    <x v="1017"/>
    <s v="Inspection Reporting, Mobile App, Scheduling, Business Management, Home Inspector Tools"/>
  </r>
  <r>
    <n v="146033"/>
    <x v="1"/>
    <x v="2203"/>
    <s v="TRAD"/>
    <s v="PO Box 369;Lombard IL 60126;USA"/>
    <s v="USD"/>
    <x v="2075"/>
    <x v="31"/>
    <x v="1018"/>
    <s v="Drug Testing, Physical Exams, Workers' Comp, Wellness Programs"/>
  </r>
  <r>
    <n v="117267"/>
    <x v="1"/>
    <x v="2204"/>
    <s v="UTIL"/>
    <s v="PO Box 371496;Pittsburgh PA 15250-7496;USA"/>
    <s v="USD"/>
    <x v="2076"/>
    <x v="19"/>
    <x v="1019"/>
    <s v="Electricity Supply, Power Distribution"/>
  </r>
  <r>
    <n v="143337"/>
    <x v="1"/>
    <x v="2205"/>
    <s v="TRAD"/>
    <s v="1065 SW 8th Street;Suite 1320;Miami FL 33130;USA"/>
    <s v="USD"/>
    <x v="2077"/>
    <x v="6"/>
    <x v="1020"/>
    <s v="Embedded Rewards, API Integration, Customer Engagement, Loyalty Programs"/>
  </r>
  <r>
    <n v="143687"/>
    <x v="1"/>
    <x v="2206"/>
    <s v="TRAD"/>
    <s v="1946 Wooddale Blvd.;Baton Rouge LA 70806;USA"/>
    <s v="USD"/>
    <x v="2078"/>
    <x v="4"/>
    <x v="149"/>
    <s v="Termite Treatment, General Pest Control, Mosquito Control, Wildlife Removal"/>
  </r>
  <r>
    <n v="110962"/>
    <x v="1"/>
    <x v="2207"/>
    <s v="TRAD"/>
    <s v="310 Business Parkway;West Palm Beach FL 33411;USA"/>
    <s v="USD"/>
    <x v="2078"/>
    <x v="16"/>
    <x v="396"/>
    <s v="Plumbing Repair, Installation, Commercial Plumbing"/>
  </r>
  <r>
    <n v="150127"/>
    <x v="1"/>
    <x v="2208"/>
    <s v="RENT"/>
    <s v="72 Evergreen Rd,;North Kingstown RI 02852;USA"/>
    <s v="USD"/>
    <x v="2079"/>
    <x v="4"/>
    <x v="1021"/>
    <s v="Backflow Prevention, Annual Testing, Plumbing Compliance"/>
  </r>
  <r>
    <n v="109117"/>
    <x v="1"/>
    <x v="2209"/>
    <s v="COMM"/>
    <s v="Attn: Kim Cunningham &amp; Alex Rudolph 1500 Walnut St;Philadelphia PA 19102;USA"/>
    <s v="USD"/>
    <x v="2080"/>
    <x v="6"/>
    <x v="1022"/>
    <s v="Phone Systems, VoIP, Structured Cabling, Managed IT, Network Services"/>
  </r>
  <r>
    <n v="150497"/>
    <x v="1"/>
    <x v="2210"/>
    <s v="TRAD"/>
    <s v="1170 E FRUIT ST;SANTA ANA CA 92701-4205;USA"/>
    <s v="USD"/>
    <x v="2081"/>
    <x v="26"/>
    <x v="852"/>
    <s v="Fire Extinguishers, Safety Equipment, Inspections, Fire Code Compliance"/>
  </r>
  <r>
    <n v="149674"/>
    <x v="1"/>
    <x v="2211"/>
    <s v="TRAD"/>
    <s v="c/o Wilson Jones Carter Baxley Attn: Ian Gohean;325 Rocky Slope Rd, Ste 201;Greenville SC 29607;USA"/>
    <s v="USD"/>
    <x v="2082"/>
    <x v="31"/>
    <x v="1023"/>
    <s v="Managed Care, Health Plan Administration, Member Services"/>
  </r>
  <r>
    <n v="149775"/>
    <x v="1"/>
    <x v="2212"/>
    <s v="TRAD"/>
    <s v="7 CROSSVINE DR;ORMOND BEACH FL 32174-1475;USA"/>
    <s v="USD"/>
    <x v="2082"/>
    <x v="10"/>
    <x v="302"/>
    <s v="General Trade Services, Contracting"/>
  </r>
  <r>
    <n v="150424"/>
    <x v="1"/>
    <x v="2213"/>
    <s v="TRAD"/>
    <s v="515 77TH ST E;# 9;PALMETTO FL 34221-9773;USA"/>
    <s v="USD"/>
    <x v="2082"/>
    <x v="7"/>
    <x v="218"/>
    <s v="Consulting, Contracting Services"/>
  </r>
  <r>
    <m/>
    <x v="2"/>
    <x v="2214"/>
    <m/>
    <m/>
    <m/>
    <x v="2083"/>
    <x v="23"/>
    <x v="102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6C790-2CE0-40E1-AD31-3FA7643E150C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mergeItem="1" createdVersion="8" indent="0" outline="1" outlineData="1" multipleFieldFilters="0">
  <location ref="A3:C34" firstHeaderRow="0" firstDataRow="1" firstDataCol="1" rowPageCount="1" colPageCount="1"/>
  <pivotFields count="10"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Row" dataField="1" showAll="0">
      <items count="2284">
        <item x="301"/>
        <item x="795"/>
        <item x="623"/>
        <item x="363"/>
        <item x="880"/>
        <item x="1065"/>
        <item x="1068"/>
        <item x="64"/>
        <item x="1202"/>
        <item x="953"/>
        <item x="1896"/>
        <item x="576"/>
        <item x="109"/>
        <item x="378"/>
        <item x="253"/>
        <item x="766"/>
        <item x="280"/>
        <item x="1527"/>
        <item x="2108"/>
        <item x="600"/>
        <item x="417"/>
        <item x="889"/>
        <item x="413"/>
        <item x="2066"/>
        <item x="1195"/>
        <item x="106"/>
        <item x="184"/>
        <item x="368"/>
        <item x="807"/>
        <item x="1400"/>
        <item x="404"/>
        <item x="83"/>
        <item x="172"/>
        <item x="1301"/>
        <item x="1078"/>
        <item x="1307"/>
        <item x="1779"/>
        <item x="2002"/>
        <item x="1395"/>
        <item x="1837"/>
        <item x="536"/>
        <item x="2031"/>
        <item x="1674"/>
        <item x="1038"/>
        <item x="1988"/>
        <item x="1453"/>
        <item x="1727"/>
        <item x="1372"/>
        <item x="1841"/>
        <item x="2089"/>
        <item x="645"/>
        <item x="1363"/>
        <item x="116"/>
        <item x="1115"/>
        <item x="1907"/>
        <item x="1908"/>
        <item x="1489"/>
        <item x="1429"/>
        <item x="1920"/>
        <item x="734"/>
        <item x="1170"/>
        <item x="1070"/>
        <item x="1174"/>
        <item x="1807"/>
        <item x="1921"/>
        <item x="1119"/>
        <item x="2149"/>
        <item x="1784"/>
        <item x="1092"/>
        <item x="725"/>
        <item x="1866"/>
        <item x="2047"/>
        <item x="1485"/>
        <item x="1855"/>
        <item x="2142"/>
        <item x="643"/>
        <item x="574"/>
        <item x="762"/>
        <item x="875"/>
        <item x="750"/>
        <item x="1652"/>
        <item x="148"/>
        <item x="2157"/>
        <item x="1940"/>
        <item x="315"/>
        <item x="2048"/>
        <item x="932"/>
        <item x="2182"/>
        <item x="2180"/>
        <item x="2194"/>
        <item x="1208"/>
        <item x="1965"/>
        <item x="335"/>
        <item x="2145"/>
        <item x="401"/>
        <item x="94"/>
        <item x="163"/>
        <item x="32"/>
        <item x="424"/>
        <item x="1362"/>
        <item x="1459"/>
        <item x="1156"/>
        <item x="680"/>
        <item x="1337"/>
        <item x="2188"/>
        <item x="2036"/>
        <item x="1788"/>
        <item x="632"/>
        <item x="676"/>
        <item x="887"/>
        <item x="1327"/>
        <item x="2046"/>
        <item x="1676"/>
        <item x="1624"/>
        <item x="382"/>
        <item x="759"/>
        <item x="829"/>
        <item x="1755"/>
        <item x="345"/>
        <item x="995"/>
        <item x="1685"/>
        <item x="1358"/>
        <item x="1987"/>
        <item x="685"/>
        <item x="2092"/>
        <item x="1926"/>
        <item x="1731"/>
        <item x="979"/>
        <item x="559"/>
        <item x="1753"/>
        <item x="1169"/>
        <item x="1630"/>
        <item x="2113"/>
        <item x="1716"/>
        <item x="120"/>
        <item x="987"/>
        <item x="1522"/>
        <item x="1902"/>
        <item x="970"/>
        <item x="1842"/>
        <item x="711"/>
        <item x="117"/>
        <item x="2055"/>
        <item x="321"/>
        <item x="972"/>
        <item x="1996"/>
        <item x="981"/>
        <item x="951"/>
        <item x="344"/>
        <item x="1343"/>
        <item x="1589"/>
        <item x="136"/>
        <item x="878"/>
        <item x="755"/>
        <item x="674"/>
        <item x="1483"/>
        <item x="1076"/>
        <item x="1412"/>
        <item x="1447"/>
        <item x="69"/>
        <item x="2043"/>
        <item x="1159"/>
        <item x="1836"/>
        <item x="1922"/>
        <item x="1137"/>
        <item x="167"/>
        <item x="2074"/>
        <item x="1782"/>
        <item x="542"/>
        <item x="900"/>
        <item x="618"/>
        <item x="1853"/>
        <item x="1059"/>
        <item x="1184"/>
        <item x="519"/>
        <item x="2187"/>
        <item x="1434"/>
        <item x="726"/>
        <item x="97"/>
        <item x="566"/>
        <item x="1018"/>
        <item x="754"/>
        <item x="1606"/>
        <item x="679"/>
        <item x="933"/>
        <item x="2204"/>
        <item x="1865"/>
        <item x="589"/>
        <item x="1897"/>
        <item x="390"/>
        <item x="1336"/>
        <item x="1852"/>
        <item x="1962"/>
        <item x="1101"/>
        <item x="135"/>
        <item x="1862"/>
        <item x="1776"/>
        <item x="551"/>
        <item x="219"/>
        <item x="1978"/>
        <item x="2152"/>
        <item x="1143"/>
        <item x="21"/>
        <item x="891"/>
        <item x="1443"/>
        <item x="1416"/>
        <item x="1054"/>
        <item x="983"/>
        <item x="1656"/>
        <item x="1150"/>
        <item x="1777"/>
        <item x="1601"/>
        <item x="137"/>
        <item x="1653"/>
        <item x="893"/>
        <item x="1967"/>
        <item x="1627"/>
        <item x="1401"/>
        <item x="400"/>
        <item x="1544"/>
        <item x="1219"/>
        <item x="876"/>
        <item x="577"/>
        <item x="308"/>
        <item x="1975"/>
        <item x="1945"/>
        <item x="919"/>
        <item x="1440"/>
        <item x="1313"/>
        <item x="982"/>
        <item x="221"/>
        <item x="1394"/>
        <item x="2153"/>
        <item x="119"/>
        <item x="621"/>
        <item x="2078"/>
        <item x="1152"/>
        <item x="687"/>
        <item x="1373"/>
        <item x="7"/>
        <item x="2165"/>
        <item x="165"/>
        <item x="864"/>
        <item x="822"/>
        <item x="1127"/>
        <item x="2052"/>
        <item x="1632"/>
        <item x="689"/>
        <item x="882"/>
        <item x="86"/>
        <item x="1722"/>
        <item x="1197"/>
        <item m="1" x="2262"/>
        <item m="1" x="2260"/>
        <item x="936"/>
        <item x="403"/>
        <item m="1" x="2233"/>
        <item x="1990"/>
        <item x="963"/>
        <item x="996"/>
        <item x="1790"/>
        <item x="2177"/>
        <item x="1397"/>
        <item x="1709"/>
        <item x="1746"/>
        <item x="704"/>
        <item x="480"/>
        <item x="300"/>
        <item x="177"/>
        <item x="154"/>
        <item x="245"/>
        <item x="246"/>
        <item x="1419"/>
        <item x="431"/>
        <item x="1111"/>
        <item x="242"/>
        <item x="854"/>
        <item x="1109"/>
        <item x="1931"/>
        <item x="655"/>
        <item x="1017"/>
        <item x="1140"/>
        <item x="1979"/>
        <item x="792"/>
        <item x="1309"/>
        <item x="682"/>
        <item x="2084"/>
        <item x="59"/>
        <item x="848"/>
        <item x="2068"/>
        <item x="899"/>
        <item x="77"/>
        <item x="1322"/>
        <item x="849"/>
        <item x="98"/>
        <item x="609"/>
        <item x="1448"/>
        <item x="1633"/>
        <item x="564"/>
        <item x="1554"/>
        <item x="1762"/>
        <item x="779"/>
        <item x="1171"/>
        <item x="991"/>
        <item x="1823"/>
        <item x="1368"/>
        <item x="2"/>
        <item m="1" x="2259"/>
        <item x="339"/>
        <item x="1324"/>
        <item x="1577"/>
        <item x="760"/>
        <item x="1754"/>
        <item x="1568"/>
        <item x="1487"/>
        <item x="747"/>
        <item x="2011"/>
        <item x="1903"/>
        <item m="1" x="2276"/>
        <item x="1201"/>
        <item x="1890"/>
        <item x="1766"/>
        <item x="1164"/>
        <item x="994"/>
        <item x="823"/>
        <item x="1969"/>
        <item x="2082"/>
        <item x="1844"/>
        <item x="1165"/>
        <item x="758"/>
        <item x="2003"/>
        <item x="1463"/>
        <item x="1684"/>
        <item x="336"/>
        <item x="42"/>
        <item x="1610"/>
        <item x="586"/>
        <item x="993"/>
        <item x="1723"/>
        <item x="1130"/>
        <item x="2128"/>
        <item x="203"/>
        <item x="250"/>
        <item x="843"/>
        <item x="63"/>
        <item x="746"/>
        <item x="1415"/>
        <item x="816"/>
        <item x="543"/>
        <item x="764"/>
        <item x="81"/>
        <item x="801"/>
        <item x="1567"/>
        <item x="954"/>
        <item x="1650"/>
        <item x="1341"/>
        <item x="1006"/>
        <item x="948"/>
        <item x="444"/>
        <item x="41"/>
        <item x="2207"/>
        <item x="1556"/>
        <item m="1" x="2241"/>
        <item x="73"/>
        <item x="2050"/>
        <item x="681"/>
        <item x="461"/>
        <item x="1217"/>
        <item x="385"/>
        <item x="1082"/>
        <item x="323"/>
        <item x="5"/>
        <item x="1253"/>
        <item x="1083"/>
        <item x="1107"/>
        <item x="1673"/>
        <item x="1769"/>
        <item x="228"/>
        <item x="1959"/>
        <item x="457"/>
        <item x="648"/>
        <item x="1590"/>
        <item x="1521"/>
        <item m="1" x="2227"/>
        <item x="1039"/>
        <item x="192"/>
        <item x="489"/>
        <item x="628"/>
        <item x="608"/>
        <item x="553"/>
        <item x="1025"/>
        <item x="305"/>
        <item x="1874"/>
        <item x="433"/>
        <item x="2138"/>
        <item x="255"/>
        <item x="1730"/>
        <item x="1122"/>
        <item x="1683"/>
        <item x="1846"/>
        <item x="1094"/>
        <item x="1530"/>
        <item x="690"/>
        <item x="636"/>
        <item x="295"/>
        <item x="1562"/>
        <item x="517"/>
        <item x="799"/>
        <item x="2112"/>
        <item x="185"/>
        <item x="1468"/>
        <item x="1968"/>
        <item x="1436"/>
        <item x="391"/>
        <item x="140"/>
        <item x="14"/>
        <item m="1" x="2219"/>
        <item x="541"/>
        <item x="133"/>
        <item x="624"/>
        <item x="284"/>
        <item x="2185"/>
        <item x="774"/>
        <item x="1983"/>
        <item x="399"/>
        <item m="1" x="2278"/>
        <item x="554"/>
        <item x="279"/>
        <item x="1872"/>
        <item x="478"/>
        <item x="892"/>
        <item x="1834"/>
        <item x="1699"/>
        <item x="2176"/>
        <item x="1185"/>
        <item x="1813"/>
        <item x="2181"/>
        <item x="1619"/>
        <item x="957"/>
        <item x="395"/>
        <item x="1095"/>
        <item x="2211"/>
        <item x="709"/>
        <item x="1473"/>
        <item x="1234"/>
        <item m="1" x="2269"/>
        <item x="708"/>
        <item x="200"/>
        <item x="1481"/>
        <item x="588"/>
        <item x="1360"/>
        <item x="1155"/>
        <item x="2081"/>
        <item x="1216"/>
        <item x="2025"/>
        <item x="1298"/>
        <item x="846"/>
        <item x="1022"/>
        <item x="1660"/>
        <item x="1121"/>
        <item m="1" x="2242"/>
        <item x="122"/>
        <item x="591"/>
        <item x="997"/>
        <item x="426"/>
        <item x="207"/>
        <item x="1134"/>
        <item x="1294"/>
        <item x="282"/>
        <item x="411"/>
        <item x="56"/>
        <item x="1493"/>
        <item x="910"/>
        <item x="2116"/>
        <item x="483"/>
        <item x="178"/>
        <item x="183"/>
        <item x="599"/>
        <item x="325"/>
        <item x="1084"/>
        <item x="1014"/>
        <item x="1218"/>
        <item x="1488"/>
        <item x="1439"/>
        <item x="544"/>
        <item x="1024"/>
        <item x="76"/>
        <item x="1161"/>
        <item x="1626"/>
        <item x="158"/>
        <item x="1742"/>
        <item x="817"/>
        <item x="1507"/>
        <item x="1495"/>
        <item x="1087"/>
        <item x="2060"/>
        <item x="1379"/>
        <item x="1167"/>
        <item x="1826"/>
        <item x="170"/>
        <item x="824"/>
        <item x="2067"/>
        <item x="212"/>
        <item x="371"/>
        <item x="484"/>
        <item x="375"/>
        <item x="1349"/>
        <item x="1545"/>
        <item x="1199"/>
        <item x="2186"/>
        <item x="1680"/>
        <item x="2168"/>
        <item x="2007"/>
        <item x="314"/>
        <item x="9"/>
        <item x="37"/>
        <item x="650"/>
        <item x="1944"/>
        <item x="1643"/>
        <item x="1142"/>
        <item x="1019"/>
        <item x="603"/>
        <item x="530"/>
        <item x="302"/>
        <item x="695"/>
        <item x="568"/>
        <item x="197"/>
        <item x="1584"/>
        <item x="2033"/>
        <item x="505"/>
        <item x="1117"/>
        <item x="669"/>
        <item x="866"/>
        <item x="2059"/>
        <item x="1454"/>
        <item x="2098"/>
        <item x="1099"/>
        <item x="194"/>
        <item x="998"/>
        <item x="161"/>
        <item x="582"/>
        <item x="347"/>
        <item x="732"/>
        <item x="1553"/>
        <item x="1310"/>
        <item x="813"/>
        <item x="1802"/>
        <item x="1417"/>
        <item x="1675"/>
        <item x="1329"/>
        <item x="209"/>
        <item x="2118"/>
        <item x="2061"/>
        <item x="1724"/>
        <item x="1539"/>
        <item x="105"/>
        <item x="1233"/>
        <item x="1158"/>
        <item x="2125"/>
        <item x="1575"/>
        <item x="2179"/>
        <item x="1681"/>
        <item x="1259"/>
        <item x="1203"/>
        <item x="1677"/>
        <item x="984"/>
        <item x="1640"/>
        <item x="1986"/>
        <item x="2024"/>
        <item x="2010"/>
        <item x="1361"/>
        <item x="1910"/>
        <item x="1175"/>
        <item x="1347"/>
        <item x="439"/>
        <item x="1569"/>
        <item x="309"/>
        <item x="1268"/>
        <item x="1560"/>
        <item x="1998"/>
        <item x="1486"/>
        <item x="1369"/>
        <item x="1634"/>
        <item x="1458"/>
        <item x="1994"/>
        <item x="593"/>
        <item x="515"/>
        <item m="1" x="2270"/>
        <item m="1" x="2268"/>
        <item x="350"/>
        <item x="1052"/>
        <item x="1408"/>
        <item x="1692"/>
        <item x="1583"/>
        <item x="343"/>
        <item x="330"/>
        <item x="1501"/>
        <item x="1103"/>
        <item x="1444"/>
        <item x="778"/>
        <item x="888"/>
        <item x="973"/>
        <item x="1335"/>
        <item x="1977"/>
        <item x="1525"/>
        <item x="749"/>
        <item x="50"/>
        <item x="1816"/>
        <item x="1831"/>
        <item x="2004"/>
        <item x="365"/>
        <item x="202"/>
        <item x="775"/>
        <item x="1654"/>
        <item x="1541"/>
        <item x="1496"/>
        <item x="611"/>
        <item x="1856"/>
        <item x="980"/>
        <item x="1475"/>
        <item x="712"/>
        <item x="1712"/>
        <item x="2069"/>
        <item x="236"/>
        <item x="376"/>
        <item x="462"/>
        <item x="815"/>
        <item x="1494"/>
        <item x="1513"/>
        <item x="1703"/>
        <item x="613"/>
        <item x="950"/>
        <item x="364"/>
        <item x="1875"/>
        <item x="1224"/>
        <item x="1278"/>
        <item x="646"/>
        <item x="1759"/>
        <item x="320"/>
        <item x="1740"/>
        <item x="1420"/>
        <item x="693"/>
        <item x="739"/>
        <item x="1441"/>
        <item x="491"/>
        <item x="2044"/>
        <item x="1867"/>
        <item x="2001"/>
        <item x="1881"/>
        <item x="531"/>
        <item x="612"/>
        <item x="832"/>
        <item x="1385"/>
        <item x="46"/>
        <item x="518"/>
        <item x="31"/>
        <item x="1637"/>
        <item x="85"/>
        <item x="1222"/>
        <item x="1319"/>
        <item x="1292"/>
        <item x="1989"/>
        <item x="475"/>
        <item x="1819"/>
        <item x="765"/>
        <item x="2079"/>
        <item x="1172"/>
        <item x="1704"/>
        <item x="1512"/>
        <item x="790"/>
        <item x="1635"/>
        <item x="1614"/>
        <item x="615"/>
        <item x="1007"/>
        <item x="1396"/>
        <item x="1198"/>
        <item x="988"/>
        <item x="1714"/>
        <item x="1861"/>
        <item x="1829"/>
        <item x="1178"/>
        <item x="499"/>
        <item x="861"/>
        <item x="644"/>
        <item x="1566"/>
        <item x="1346"/>
        <item x="649"/>
        <item x="868"/>
        <item x="2006"/>
        <item x="1033"/>
        <item x="379"/>
        <item x="793"/>
        <item x="928"/>
        <item x="460"/>
        <item x="1528"/>
        <item x="1737"/>
        <item x="448"/>
        <item x="366"/>
        <item x="193"/>
        <item x="1695"/>
        <item x="1815"/>
        <item x="2064"/>
        <item x="1282"/>
        <item x="18"/>
        <item x="289"/>
        <item x="1375"/>
        <item x="939"/>
        <item x="1015"/>
        <item x="937"/>
        <item x="752"/>
        <item x="2062"/>
        <item x="220"/>
        <item x="206"/>
        <item x="508"/>
        <item x="361"/>
        <item x="17"/>
        <item x="1050"/>
        <item x="1093"/>
        <item x="306"/>
        <item x="1028"/>
        <item x="946"/>
        <item x="844"/>
        <item x="665"/>
        <item x="1735"/>
        <item x="1438"/>
        <item x="537"/>
        <item x="493"/>
        <item x="180"/>
        <item x="1540"/>
        <item x="738"/>
        <item x="1785"/>
        <item x="354"/>
        <item x="292"/>
        <item x="1074"/>
        <item x="1718"/>
        <item x="1688"/>
        <item x="1016"/>
        <item x="2120"/>
        <item x="12"/>
        <item x="1538"/>
        <item x="1047"/>
        <item x="1100"/>
        <item x="1953"/>
        <item x="2070"/>
        <item x="2019"/>
        <item x="1269"/>
        <item x="2210"/>
        <item x="1999"/>
        <item x="2137"/>
        <item x="2129"/>
        <item x="1192"/>
        <item x="1833"/>
        <item x="205"/>
        <item x="118"/>
        <item x="311"/>
        <item x="1086"/>
        <item x="1389"/>
        <item x="511"/>
        <item x="128"/>
        <item x="58"/>
        <item x="422"/>
        <item x="47"/>
        <item x="1888"/>
        <item x="1932"/>
        <item x="482"/>
        <item x="1128"/>
        <item x="1917"/>
        <item x="605"/>
        <item x="57"/>
        <item x="225"/>
        <item x="123"/>
        <item x="398"/>
        <item x="1615"/>
        <item x="1300"/>
        <item x="1514"/>
        <item x="1911"/>
        <item x="113"/>
        <item x="1081"/>
        <item x="2151"/>
        <item x="1519"/>
        <item x="841"/>
        <item x="1097"/>
        <item x="670"/>
        <item x="1665"/>
        <item x="524"/>
        <item x="757"/>
        <item x="619"/>
        <item x="1884"/>
        <item x="1780"/>
        <item x="525"/>
        <item x="798"/>
        <item x="332"/>
        <item x="189"/>
        <item x="29"/>
        <item x="1796"/>
        <item x="1739"/>
        <item x="146"/>
        <item x="803"/>
        <item m="1" x="2272"/>
        <item x="796"/>
        <item x="294"/>
        <item x="450"/>
        <item x="797"/>
        <item x="1798"/>
        <item x="1543"/>
        <item x="342"/>
        <item x="1526"/>
        <item x="1839"/>
        <item x="974"/>
        <item x="30"/>
        <item x="454"/>
        <item m="1" x="2246"/>
        <item x="1950"/>
        <item x="356"/>
        <item x="1148"/>
        <item x="43"/>
        <item x="45"/>
        <item x="640"/>
        <item x="1381"/>
        <item x="637"/>
        <item x="1761"/>
        <item x="1228"/>
        <item x="914"/>
        <item x="1181"/>
        <item m="1" x="2250"/>
        <item x="447"/>
        <item x="1966"/>
        <item x="741"/>
        <item x="1290"/>
        <item x="1376"/>
        <item x="90"/>
        <item x="1720"/>
        <item x="259"/>
        <item x="686"/>
        <item x="529"/>
        <item x="1686"/>
        <item x="2115"/>
        <item x="28"/>
        <item x="1354"/>
        <item x="1558"/>
        <item x="2136"/>
        <item x="671"/>
        <item x="1738"/>
        <item x="1579"/>
        <item x="1098"/>
        <item x="1732"/>
        <item x="231"/>
        <item x="388"/>
        <item x="275"/>
        <item x="642"/>
        <item x="727"/>
        <item x="1497"/>
        <item x="753"/>
        <item x="125"/>
        <item x="213"/>
        <item x="2018"/>
        <item x="548"/>
        <item x="405"/>
        <item x="1405"/>
        <item m="1" x="2267"/>
        <item x="1644"/>
        <item x="1750"/>
        <item x="1958"/>
        <item x="1641"/>
        <item x="825"/>
        <item x="49"/>
        <item x="1398"/>
        <item x="1241"/>
        <item x="2102"/>
        <item x="1573"/>
        <item x="2094"/>
        <item x="898"/>
        <item x="923"/>
        <item x="66"/>
        <item x="1582"/>
        <item x="102"/>
        <item x="360"/>
        <item x="1276"/>
        <item x="1787"/>
        <item x="1077"/>
        <item x="188"/>
        <item x="157"/>
        <item x="92"/>
        <item x="805"/>
        <item x="1930"/>
        <item m="1" x="2230"/>
        <item x="513"/>
        <item m="1" x="2240"/>
        <item x="1280"/>
        <item x="1687"/>
        <item x="326"/>
        <item x="1900"/>
        <item x="2091"/>
        <item m="1" x="2281"/>
        <item x="1886"/>
        <item x="1667"/>
        <item x="2150"/>
        <item x="1542"/>
        <item x="528"/>
        <item x="1183"/>
        <item x="278"/>
        <item x="1021"/>
        <item x="498"/>
        <item x="1618"/>
        <item x="2154"/>
        <item x="96"/>
        <item x="719"/>
        <item x="1912"/>
        <item x="324"/>
        <item x="1209"/>
        <item x="1227"/>
        <item x="506"/>
        <item x="720"/>
        <item x="2040"/>
        <item x="1563"/>
        <item x="1153"/>
        <item x="149"/>
        <item x="453"/>
        <item x="1338"/>
        <item x="1792"/>
        <item x="1657"/>
        <item x="534"/>
        <item x="1605"/>
        <item x="1591"/>
        <item x="538"/>
        <item x="455"/>
        <item x="1194"/>
        <item x="512"/>
        <item x="1821"/>
        <item x="22"/>
        <item x="2096"/>
        <item x="1200"/>
        <item x="791"/>
        <item x="556"/>
        <item x="2000"/>
        <item x="2042"/>
        <item x="1972"/>
        <item x="1029"/>
        <item x="1531"/>
        <item x="903"/>
        <item x="210"/>
        <item x="700"/>
        <item x="999"/>
        <item x="1924"/>
        <item x="1895"/>
        <item x="1057"/>
        <item x="520"/>
        <item x="222"/>
        <item x="235"/>
        <item x="911"/>
        <item m="1" x="2238"/>
        <item x="1743"/>
        <item x="124"/>
        <item x="2087"/>
        <item x="1622"/>
        <item x="1511"/>
        <item x="437"/>
        <item x="40"/>
        <item x="420"/>
        <item x="237"/>
        <item x="372"/>
        <item x="535"/>
        <item x="740"/>
        <item x="1659"/>
        <item x="142"/>
        <item x="2159"/>
        <item x="1827"/>
        <item x="767"/>
        <item x="1404"/>
        <item x="1820"/>
        <item x="271"/>
        <item x="2027"/>
        <item x="262"/>
        <item x="1466"/>
        <item x="211"/>
        <item x="481"/>
        <item x="857"/>
        <item x="1863"/>
        <item x="1240"/>
        <item x="270"/>
        <item x="456"/>
        <item x="1923"/>
        <item x="2095"/>
        <item x="2032"/>
        <item x="601"/>
        <item x="1914"/>
        <item x="1946"/>
        <item x="244"/>
        <item x="705"/>
        <item x="2071"/>
        <item x="2021"/>
        <item x="773"/>
        <item x="1279"/>
        <item x="2015"/>
        <item x="80"/>
        <item x="1116"/>
        <item x="874"/>
        <item x="565"/>
        <item x="175"/>
        <item x="1236"/>
        <item x="19"/>
        <item x="261"/>
        <item x="1302"/>
        <item x="1943"/>
        <item x="1808"/>
        <item x="53"/>
        <item x="1032"/>
        <item x="1211"/>
        <item x="1725"/>
        <item x="657"/>
        <item m="1" x="2258"/>
        <item x="1982"/>
        <item x="1482"/>
        <item x="387"/>
        <item x="1770"/>
        <item x="1246"/>
        <item x="1110"/>
        <item x="1651"/>
        <item x="1176"/>
        <item x="1214"/>
        <item x="1270"/>
        <item x="1617"/>
        <item x="1177"/>
        <item x="1102"/>
        <item x="1806"/>
        <item x="1638"/>
        <item x="1048"/>
        <item x="1221"/>
        <item x="742"/>
        <item m="1" x="2273"/>
        <item x="1690"/>
        <item x="1129"/>
        <item x="463"/>
        <item x="2184"/>
        <item x="1061"/>
        <item x="1409"/>
        <item x="1696"/>
        <item x="840"/>
        <item x="1517"/>
        <item x="1043"/>
        <item x="718"/>
        <item x="1042"/>
        <item x="1729"/>
        <item x="104"/>
        <item x="1357"/>
        <item x="2029"/>
        <item x="570"/>
        <item x="115"/>
        <item x="666"/>
        <item x="392"/>
        <item x="1698"/>
        <item x="659"/>
        <item x="569"/>
        <item x="986"/>
        <item x="959"/>
        <item x="1272"/>
        <item x="2169"/>
        <item x="1929"/>
        <item x="2056"/>
        <item m="1" x="2254"/>
        <item x="830"/>
        <item x="1053"/>
        <item x="1433"/>
        <item x="1205"/>
        <item x="1013"/>
        <item m="1" x="2252"/>
        <item x="1431"/>
        <item x="647"/>
        <item x="1106"/>
        <item x="1355"/>
        <item x="1763"/>
        <item x="313"/>
        <item x="583"/>
        <item x="2063"/>
        <item x="1547"/>
        <item x="1399"/>
        <item x="1980"/>
        <item x="248"/>
        <item x="1427"/>
        <item x="2023"/>
        <item x="438"/>
        <item x="1822"/>
        <item x="707"/>
        <item m="1" x="2245"/>
        <item x="944"/>
        <item x="2085"/>
        <item x="1423"/>
        <item x="2166"/>
        <item x="635"/>
        <item x="859"/>
        <item x="2213"/>
        <item x="329"/>
        <item x="150"/>
        <item x="1576"/>
        <item x="1849"/>
        <item x="1471"/>
        <item x="1031"/>
        <item x="555"/>
        <item x="389"/>
        <item x="1010"/>
        <item x="201"/>
        <item x="1060"/>
        <item x="667"/>
        <item x="1424"/>
        <item x="990"/>
        <item x="694"/>
        <item x="1326"/>
        <item x="1383"/>
        <item x="877"/>
        <item x="850"/>
        <item x="1518"/>
        <item x="1602"/>
        <item x="1933"/>
        <item x="808"/>
        <item x="208"/>
        <item x="931"/>
        <item x="1287"/>
        <item x="240"/>
        <item x="1442"/>
        <item x="926"/>
        <item x="1271"/>
        <item x="1474"/>
        <item x="428"/>
        <item x="1249"/>
        <item x="1257"/>
        <item x="851"/>
        <item x="1537"/>
        <item x="2183"/>
        <item x="1894"/>
        <item x="820"/>
        <item x="1035"/>
        <item x="1510"/>
        <item x="1778"/>
        <item x="67"/>
        <item x="873"/>
        <item x="1288"/>
        <item x="1131"/>
        <item x="604"/>
        <item x="663"/>
        <item x="652"/>
        <item x="1123"/>
        <item x="664"/>
        <item x="421"/>
        <item x="319"/>
        <item x="452"/>
        <item x="1215"/>
        <item x="35"/>
        <item x="1232"/>
        <item x="214"/>
        <item x="2146"/>
        <item x="485"/>
        <item x="2175"/>
        <item x="856"/>
        <item x="697"/>
        <item x="1378"/>
        <item m="1" x="2257"/>
        <item x="651"/>
        <item x="1604"/>
        <item x="1752"/>
        <item x="1212"/>
        <item x="1058"/>
        <item x="380"/>
        <item x="15"/>
        <item x="847"/>
        <item x="549"/>
        <item x="881"/>
        <item x="533"/>
        <item x="902"/>
        <item x="1049"/>
        <item x="2127"/>
        <item x="580"/>
        <item x="2014"/>
        <item x="72"/>
        <item m="1" x="2247"/>
        <item x="1331"/>
        <item x="2105"/>
        <item x="992"/>
        <item x="1296"/>
        <item x="435"/>
        <item x="622"/>
        <item x="33"/>
        <item x="65"/>
        <item x="744"/>
        <item x="607"/>
        <item x="885"/>
        <item x="1091"/>
        <item x="93"/>
        <item x="1446"/>
        <item x="132"/>
        <item x="51"/>
        <item x="1832"/>
        <item x="502"/>
        <item x="977"/>
        <item x="1113"/>
        <item x="2208"/>
        <item x="38"/>
        <item x="1151"/>
        <item x="216"/>
        <item x="1887"/>
        <item x="675"/>
        <item x="1460"/>
        <item m="1" x="2263"/>
        <item x="855"/>
        <item x="396"/>
        <item x="1210"/>
        <item x="912"/>
        <item x="1104"/>
        <item x="958"/>
        <item x="1225"/>
        <item x="2196"/>
        <item x="1850"/>
        <item x="82"/>
        <item x="1857"/>
        <item x="2038"/>
        <item x="1949"/>
        <item x="1771"/>
        <item x="138"/>
        <item x="1981"/>
        <item x="156"/>
        <item x="598"/>
        <item x="1255"/>
        <item x="1237"/>
        <item x="783"/>
        <item x="1046"/>
        <item x="1030"/>
        <item x="2076"/>
        <item x="956"/>
        <item x="1555"/>
        <item x="1136"/>
        <item m="1" x="2225"/>
        <item x="169"/>
        <item x="837"/>
        <item x="1631"/>
        <item x="468"/>
        <item x="13"/>
        <item x="2034"/>
        <item x="1661"/>
        <item x="1293"/>
        <item x="1312"/>
        <item x="814"/>
        <item x="1662"/>
        <item x="1105"/>
        <item x="162"/>
        <item x="1904"/>
        <item x="710"/>
        <item x="24"/>
        <item x="1126"/>
        <item x="2167"/>
        <item x="1595"/>
        <item x="1693"/>
        <item x="1012"/>
        <item x="129"/>
        <item x="476"/>
        <item x="1067"/>
        <item x="1587"/>
        <item x="1663"/>
        <item x="1384"/>
        <item m="1" x="2282"/>
        <item x="715"/>
        <item x="1479"/>
        <item x="290"/>
        <item x="1607"/>
        <item x="516"/>
        <item x="558"/>
        <item x="442"/>
        <item x="1812"/>
        <item x="523"/>
        <item x="1557"/>
        <item x="327"/>
        <item x="430"/>
        <item x="587"/>
        <item m="1" x="2231"/>
        <item x="1571"/>
        <item x="1359"/>
        <item x="1154"/>
        <item x="638"/>
        <item x="355"/>
        <item x="181"/>
        <item x="238"/>
        <item x="1523"/>
        <item x="1186"/>
        <item x="575"/>
        <item x="1883"/>
        <item x="1238"/>
        <item x="1767"/>
        <item x="486"/>
        <item x="252"/>
        <item x="728"/>
        <item x="768"/>
        <item x="1267"/>
        <item x="1533"/>
        <item x="1413"/>
        <item x="20"/>
        <item x="2156"/>
        <item x="1425"/>
        <item x="1825"/>
        <item x="264"/>
        <item x="916"/>
        <item x="776"/>
        <item x="1960"/>
        <item x="1843"/>
        <item x="1406"/>
        <item x="79"/>
        <item x="1467"/>
        <item x="691"/>
        <item x="1534"/>
        <item x="1305"/>
        <item x="410"/>
        <item x="1885"/>
        <item x="226"/>
        <item x="1964"/>
        <item x="441"/>
        <item x="1410"/>
        <item x="412"/>
        <item x="2201"/>
        <item x="1578"/>
        <item x="1799"/>
        <item x="658"/>
        <item x="1260"/>
        <item x="256"/>
        <item x="1188"/>
        <item x="198"/>
        <item x="1187"/>
        <item x="1893"/>
        <item x="1804"/>
        <item x="2132"/>
        <item x="2133"/>
        <item x="95"/>
        <item x="507"/>
        <item x="1593"/>
        <item x="1892"/>
        <item x="1859"/>
        <item x="838"/>
        <item x="1055"/>
        <item x="1628"/>
        <item x="1299"/>
        <item x="1432"/>
        <item x="617"/>
        <item x="465"/>
        <item m="1" x="2280"/>
        <item x="1414"/>
        <item x="1386"/>
        <item x="1783"/>
        <item x="696"/>
        <item x="1321"/>
        <item x="0"/>
        <item x="1464"/>
        <item x="1824"/>
        <item x="1261"/>
        <item x="415"/>
        <item x="307"/>
        <item x="1003"/>
        <item x="101"/>
        <item x="2054"/>
        <item x="884"/>
        <item x="879"/>
        <item x="1817"/>
        <item x="2178"/>
        <item x="352"/>
        <item x="1786"/>
        <item x="1854"/>
        <item x="139"/>
        <item x="908"/>
        <item x="268"/>
        <item x="1204"/>
        <item x="2134"/>
        <item x="627"/>
        <item x="318"/>
        <item x="1162"/>
        <item x="1803"/>
        <item x="151"/>
        <item x="1391"/>
        <item x="2170"/>
        <item x="836"/>
        <item x="501"/>
        <item x="1402"/>
        <item x="1421"/>
        <item x="54"/>
        <item x="1356"/>
        <item x="1418"/>
        <item x="1672"/>
        <item x="660"/>
        <item x="714"/>
        <item x="1765"/>
        <item x="579"/>
        <item x="1141"/>
        <item x="2174"/>
        <item x="103"/>
        <item x="943"/>
        <item x="631"/>
        <item x="654"/>
        <item x="1936"/>
        <item x="1941"/>
        <item x="316"/>
        <item x="1642"/>
        <item x="304"/>
        <item x="1973"/>
        <item x="1387"/>
        <item x="10"/>
        <item x="1075"/>
        <item x="1254"/>
        <item m="1" x="2279"/>
        <item x="557"/>
        <item x="71"/>
        <item x="1056"/>
        <item x="257"/>
        <item x="121"/>
        <item x="906"/>
        <item x="1621"/>
        <item x="276"/>
        <item x="1918"/>
        <item x="1339"/>
        <item x="1465"/>
        <item x="1147"/>
        <item x="1956"/>
        <item x="934"/>
        <item x="729"/>
        <item x="265"/>
        <item x="2171"/>
        <item x="243"/>
        <item x="1679"/>
        <item x="1330"/>
        <item x="2199"/>
        <item x="443"/>
        <item m="1" x="2243"/>
        <item m="1" x="2251"/>
        <item x="2203"/>
        <item x="174"/>
        <item x="1480"/>
        <item x="1992"/>
        <item x="1625"/>
        <item x="384"/>
        <item x="1020"/>
        <item m="1" x="2266"/>
        <item x="633"/>
        <item m="1" x="2264"/>
        <item x="394"/>
        <item x="634"/>
        <item x="1403"/>
        <item x="2073"/>
        <item x="626"/>
        <item x="114"/>
        <item x="2209"/>
        <item x="467"/>
        <item m="1" x="2226"/>
        <item x="223"/>
        <item x="941"/>
        <item x="1066"/>
        <item x="2020"/>
        <item x="500"/>
        <item x="1828"/>
        <item x="688"/>
        <item m="1" x="2228"/>
        <item x="84"/>
        <item x="1168"/>
        <item x="2121"/>
        <item x="1009"/>
        <item x="1366"/>
        <item x="2012"/>
        <item x="1612"/>
        <item x="1702"/>
        <item x="2141"/>
        <item x="2139"/>
        <item x="1520"/>
        <item x="2197"/>
        <item x="1868"/>
        <item x="1550"/>
        <item x="731"/>
        <item x="1736"/>
        <item x="1649"/>
        <item x="1991"/>
        <item x="771"/>
        <item x="2100"/>
        <item x="1916"/>
        <item x="1870"/>
        <item x="1658"/>
        <item x="423"/>
        <item x="107"/>
        <item x="668"/>
        <item x="39"/>
        <item x="1629"/>
        <item x="1585"/>
        <item x="952"/>
        <item x="1273"/>
        <item x="1938"/>
        <item x="561"/>
        <item x="1239"/>
        <item x="1811"/>
        <item x="299"/>
        <item x="2016"/>
        <item x="962"/>
        <item x="2057"/>
        <item x="821"/>
        <item x="1125"/>
        <item x="1180"/>
        <item x="989"/>
        <item x="429"/>
        <item x="1858"/>
        <item x="341"/>
        <item x="25"/>
        <item x="978"/>
        <item x="1504"/>
        <item x="1428"/>
        <item x="1291"/>
        <item x="620"/>
        <item x="337"/>
        <item x="2205"/>
        <item x="74"/>
        <item x="254"/>
        <item x="909"/>
        <item x="1263"/>
        <item x="706"/>
        <item x="784"/>
        <item x="1835"/>
        <item x="736"/>
        <item x="303"/>
        <item x="2111"/>
        <item x="34"/>
        <item x="1733"/>
        <item x="373"/>
        <item x="1370"/>
        <item x="1364"/>
        <item x="1108"/>
        <item x="2161"/>
        <item x="1283"/>
        <item m="1" x="2235"/>
        <item x="890"/>
        <item x="1133"/>
        <item m="1" x="2255"/>
        <item x="359"/>
        <item x="310"/>
        <item x="610"/>
        <item x="445"/>
        <item x="673"/>
        <item x="1848"/>
        <item x="112"/>
        <item x="2028"/>
        <item x="2140"/>
        <item x="904"/>
        <item x="1760"/>
        <item x="440"/>
        <item x="418"/>
        <item x="470"/>
        <item x="1546"/>
        <item x="416"/>
        <item x="1040"/>
        <item x="496"/>
        <item x="1791"/>
        <item x="540"/>
        <item x="769"/>
        <item x="763"/>
        <item x="227"/>
        <item x="287"/>
        <item x="247"/>
        <item m="1" x="2237"/>
        <item x="1906"/>
        <item x="2192"/>
        <item x="263"/>
        <item x="780"/>
        <item x="1011"/>
        <item x="130"/>
        <item x="1535"/>
        <item x="1243"/>
        <item x="1717"/>
        <item x="1144"/>
        <item x="1274"/>
        <item x="472"/>
        <item x="976"/>
        <item x="1388"/>
        <item x="2099"/>
        <item x="1275"/>
        <item x="1304"/>
        <item x="1574"/>
        <item x="277"/>
        <item x="2103"/>
        <item x="1371"/>
        <item x="678"/>
        <item x="896"/>
        <item x="374"/>
        <item x="474"/>
        <item x="1258"/>
        <item x="269"/>
        <item x="1951"/>
        <item x="1581"/>
        <item x="2143"/>
        <item x="1721"/>
        <item x="488"/>
        <item x="1708"/>
        <item x="590"/>
        <item x="1995"/>
        <item x="1252"/>
        <item x="2160"/>
        <item x="1073"/>
        <item x="872"/>
        <item x="186"/>
        <item x="26"/>
        <item m="1" x="2222"/>
        <item x="1689"/>
        <item x="1345"/>
        <item x="800"/>
        <item x="819"/>
        <item x="1173"/>
        <item x="131"/>
        <item x="1265"/>
        <item x="1795"/>
        <item x="1919"/>
        <item x="614"/>
        <item x="828"/>
        <item x="2065"/>
        <item x="60"/>
        <item x="406"/>
        <item x="1037"/>
        <item x="811"/>
        <item x="2107"/>
        <item x="1810"/>
        <item x="1561"/>
        <item x="153"/>
        <item x="397"/>
        <item x="1333"/>
        <item x="272"/>
        <item x="1666"/>
        <item x="1603"/>
        <item x="858"/>
        <item x="1005"/>
        <item x="1840"/>
        <item x="922"/>
        <item x="1451"/>
        <item x="1913"/>
        <item x="1957"/>
        <item x="967"/>
        <item x="1934"/>
        <item x="1751"/>
        <item x="960"/>
        <item x="2039"/>
        <item x="2053"/>
        <item x="1905"/>
        <item x="699"/>
        <item x="810"/>
        <item x="215"/>
        <item x="1430"/>
        <item x="322"/>
        <item x="1407"/>
        <item x="110"/>
        <item x="479"/>
        <item x="552"/>
        <item x="1462"/>
        <item x="134"/>
        <item x="1315"/>
        <item x="947"/>
        <item x="862"/>
        <item x="1311"/>
        <item x="1352"/>
        <item x="930"/>
        <item x="1620"/>
        <item x="432"/>
        <item x="458"/>
        <item x="1508"/>
        <item x="662"/>
        <item x="434"/>
        <item x="1516"/>
        <item x="1145"/>
        <item x="1289"/>
        <item x="743"/>
        <item x="52"/>
        <item x="733"/>
        <item x="2017"/>
        <item x="1947"/>
        <item x="1340"/>
        <item x="1758"/>
        <item x="1045"/>
        <item x="2077"/>
        <item x="968"/>
        <item x="1316"/>
        <item x="594"/>
        <item x="495"/>
        <item x="1899"/>
        <item x="2123"/>
        <item x="48"/>
        <item x="2110"/>
        <item x="100"/>
        <item x="407"/>
        <item x="1163"/>
        <item x="239"/>
        <item x="1669"/>
        <item x="1392"/>
        <item x="1882"/>
        <item x="1281"/>
        <item x="527"/>
        <item x="1898"/>
        <item x="597"/>
        <item x="297"/>
        <item x="1757"/>
        <item x="2158"/>
        <item x="1196"/>
        <item x="1880"/>
        <item x="606"/>
        <item x="870"/>
        <item x="1609"/>
        <item x="1548"/>
        <item x="1114"/>
        <item x="572"/>
        <item x="362"/>
        <item x="1320"/>
        <item x="1598"/>
        <item x="1671"/>
        <item x="897"/>
        <item x="164"/>
        <item x="204"/>
        <item x="145"/>
        <item x="595"/>
        <item m="1" x="2234"/>
        <item x="860"/>
        <item x="1781"/>
        <item x="781"/>
        <item x="975"/>
        <item x="1580"/>
        <item x="514"/>
        <item x="4"/>
        <item x="36"/>
        <item x="61"/>
        <item x="585"/>
        <item x="1476"/>
        <item x="1250"/>
        <item x="1251"/>
        <item x="1805"/>
        <item x="1997"/>
        <item x="547"/>
        <item x="777"/>
        <item m="1" x="2271"/>
        <item x="1952"/>
        <item x="217"/>
        <item x="2041"/>
        <item x="1937"/>
        <item x="449"/>
        <item x="2088"/>
        <item x="927"/>
        <item x="2162"/>
        <item x="1235"/>
        <item x="377"/>
        <item x="16"/>
        <item x="1774"/>
        <item x="701"/>
        <item x="274"/>
        <item x="656"/>
        <item x="436"/>
        <item m="1" x="2256"/>
        <item x="224"/>
        <item x="592"/>
        <item x="831"/>
        <item x="166"/>
        <item x="886"/>
        <item x="70"/>
        <item x="562"/>
        <item x="1592"/>
        <item x="473"/>
        <item x="1146"/>
        <item m="1" x="2249"/>
        <item x="1711"/>
        <item x="969"/>
        <item x="2190"/>
        <item x="1062"/>
        <item x="1088"/>
        <item x="835"/>
        <item x="1909"/>
        <item x="2045"/>
        <item x="6"/>
        <item x="2148"/>
        <item x="296"/>
        <item x="1623"/>
        <item x="1472"/>
        <item m="1" x="2236"/>
        <item x="1484"/>
        <item x="865"/>
        <item x="471"/>
        <item x="563"/>
        <item x="1506"/>
        <item x="466"/>
        <item x="27"/>
        <item m="1" x="2224"/>
        <item x="510"/>
        <item x="1350"/>
        <item x="839"/>
        <item x="260"/>
        <item x="834"/>
        <item x="1503"/>
        <item x="2163"/>
        <item x="2119"/>
        <item x="2075"/>
        <item x="788"/>
        <item x="571"/>
        <item x="1334"/>
        <item x="1206"/>
        <item x="683"/>
        <item x="333"/>
        <item x="1706"/>
        <item x="698"/>
        <item x="1297"/>
        <item x="229"/>
        <item x="497"/>
        <item x="641"/>
        <item x="1847"/>
        <item x="1891"/>
        <item m="1" x="2265"/>
        <item m="1" x="2232"/>
        <item x="722"/>
        <item x="1393"/>
        <item x="1794"/>
        <item x="155"/>
        <item x="1639"/>
        <item x="1230"/>
        <item x="1505"/>
        <item x="639"/>
        <item x="1928"/>
        <item x="249"/>
        <item x="1072"/>
        <item x="966"/>
        <item x="1515"/>
        <item x="1851"/>
        <item x="2130"/>
        <item x="1000"/>
        <item x="1524"/>
        <item x="1041"/>
        <item x="1390"/>
        <item x="915"/>
        <item x="89"/>
        <item x="1719"/>
        <item x="328"/>
        <item x="684"/>
        <item x="1277"/>
        <item x="584"/>
        <item x="159"/>
        <item x="772"/>
        <item x="895"/>
        <item x="1182"/>
        <item x="869"/>
        <item x="2086"/>
        <item x="1749"/>
        <item x="99"/>
        <item x="1314"/>
        <item x="730"/>
        <item x="2155"/>
        <item x="286"/>
        <item x="2195"/>
        <item x="1701"/>
        <item x="2051"/>
        <item x="1193"/>
        <item x="717"/>
        <item x="1380"/>
        <item x="334"/>
        <item x="487"/>
        <item x="1490"/>
        <item x="1536"/>
        <item x="1797"/>
        <item x="230"/>
        <item x="1306"/>
        <item x="2198"/>
        <item x="1809"/>
        <item x="827"/>
        <item x="745"/>
        <item x="894"/>
        <item x="1455"/>
        <item x="1955"/>
        <item x="1437"/>
        <item x="735"/>
        <item x="1445"/>
        <item x="1747"/>
        <item x="1318"/>
        <item x="1564"/>
        <item x="1344"/>
        <item x="672"/>
        <item x="1120"/>
        <item x="2117"/>
        <item x="971"/>
        <item x="2202"/>
        <item x="2131"/>
        <item x="2173"/>
        <item x="1509"/>
        <item x="917"/>
        <item x="1190"/>
        <item x="661"/>
        <item x="1491"/>
        <item x="147"/>
        <item x="477"/>
        <item x="2035"/>
        <item x="251"/>
        <item x="1138"/>
        <item x="1411"/>
        <item x="1051"/>
        <item x="1974"/>
        <item x="218"/>
        <item x="503"/>
        <item x="91"/>
        <item x="353"/>
        <item x="1027"/>
        <item x="1954"/>
        <item x="383"/>
        <item x="945"/>
        <item x="1189"/>
        <item x="414"/>
        <item x="1426"/>
        <item x="2104"/>
        <item x="806"/>
        <item x="965"/>
        <item m="1" x="2239"/>
        <item x="2135"/>
        <item x="1036"/>
        <item x="1332"/>
        <item x="179"/>
        <item m="1" x="2248"/>
        <item x="1367"/>
        <item x="1670"/>
        <item x="1682"/>
        <item x="402"/>
        <item x="196"/>
        <item x="494"/>
        <item x="883"/>
        <item x="1262"/>
        <item x="818"/>
        <item x="1529"/>
        <item x="1789"/>
        <item x="1450"/>
        <item x="1079"/>
        <item x="2193"/>
        <item x="1773"/>
        <item x="1470"/>
        <item x="737"/>
        <item x="87"/>
        <item x="751"/>
        <item x="1452"/>
        <item x="1845"/>
        <item x="785"/>
        <item x="1715"/>
        <item x="532"/>
        <item x="630"/>
        <item x="526"/>
        <item x="616"/>
        <item x="1264"/>
        <item x="369"/>
        <item x="1814"/>
        <item x="1132"/>
        <item x="546"/>
        <item x="2093"/>
        <item x="1351"/>
        <item x="126"/>
        <item x="1838"/>
        <item x="1223"/>
        <item x="266"/>
        <item x="602"/>
        <item x="1860"/>
        <item x="748"/>
        <item x="2005"/>
        <item x="425"/>
        <item x="1594"/>
        <item x="233"/>
        <item x="1586"/>
        <item x="1179"/>
        <item x="853"/>
        <item x="1242"/>
        <item x="1353"/>
        <item x="2022"/>
        <item x="867"/>
        <item x="940"/>
        <item x="381"/>
        <item x="62"/>
        <item x="1901"/>
        <item x="293"/>
        <item x="1878"/>
        <item x="1124"/>
        <item x="921"/>
        <item x="298"/>
        <item x="1135"/>
        <item x="168"/>
        <item x="1001"/>
        <item x="187"/>
        <item x="78"/>
        <item x="386"/>
        <item x="490"/>
        <item x="573"/>
        <item x="964"/>
        <item x="1927"/>
        <item x="677"/>
        <item m="1" x="2229"/>
        <item x="370"/>
        <item x="1118"/>
        <item x="357"/>
        <item x="182"/>
        <item x="925"/>
        <item x="459"/>
        <item x="1745"/>
        <item x="504"/>
        <item x="1800"/>
        <item x="2200"/>
        <item x="351"/>
        <item x="44"/>
        <item x="1551"/>
        <item x="1664"/>
        <item x="2172"/>
        <item x="1613"/>
        <item x="1469"/>
        <item x="1382"/>
        <item x="833"/>
        <item x="2206"/>
        <item x="1044"/>
        <item x="2124"/>
        <item x="961"/>
        <item x="567"/>
        <item x="787"/>
        <item x="1925"/>
        <item x="1069"/>
        <item x="1085"/>
        <item x="770"/>
        <item x="1756"/>
        <item x="1678"/>
        <item x="1611"/>
        <item x="358"/>
        <item x="312"/>
        <item x="845"/>
        <item x="545"/>
        <item x="2030"/>
        <item x="1064"/>
        <item x="1328"/>
        <item x="1744"/>
        <item x="1985"/>
        <item x="2189"/>
        <item x="786"/>
        <item x="2008"/>
        <item x="1668"/>
        <item x="1365"/>
        <item x="141"/>
        <item x="1157"/>
        <item x="2212"/>
        <item x="1500"/>
        <item x="522"/>
        <item x="804"/>
        <item x="195"/>
        <item x="1139"/>
        <item x="2013"/>
        <item x="842"/>
        <item m="1" x="2275"/>
        <item x="1655"/>
        <item m="1" x="2244"/>
        <item x="2147"/>
        <item x="1713"/>
        <item x="1207"/>
        <item x="920"/>
        <item x="281"/>
        <item x="1323"/>
        <item x="1935"/>
        <item x="1"/>
        <item x="464"/>
        <item x="723"/>
        <item x="23"/>
        <item x="1697"/>
        <item x="1889"/>
        <item x="176"/>
        <item x="1608"/>
        <item x="127"/>
        <item x="469"/>
        <item x="905"/>
        <item x="581"/>
        <item x="1149"/>
        <item x="173"/>
        <item x="1971"/>
        <item x="2037"/>
        <item x="2164"/>
        <item x="1449"/>
        <item x="653"/>
        <item x="1303"/>
        <item x="1213"/>
        <item x="199"/>
        <item x="1256"/>
        <item x="509"/>
        <item x="267"/>
        <item x="291"/>
        <item x="713"/>
        <item x="1002"/>
        <item x="550"/>
        <item x="1646"/>
        <item x="1599"/>
        <item x="794"/>
        <item x="338"/>
        <item x="1700"/>
        <item x="1377"/>
        <item x="521"/>
        <item x="1191"/>
        <item x="1220"/>
        <item x="1266"/>
        <item x="1071"/>
        <item x="1248"/>
        <item x="955"/>
        <item x="1741"/>
        <item x="446"/>
        <item x="1502"/>
        <item x="258"/>
        <item x="1869"/>
        <item x="108"/>
        <item x="408"/>
        <item x="1478"/>
        <item x="1096"/>
        <item m="1" x="2274"/>
        <item x="1090"/>
        <item x="1984"/>
        <item x="935"/>
        <item x="1572"/>
        <item x="2009"/>
        <item x="1793"/>
        <item x="1877"/>
        <item x="724"/>
        <item x="1004"/>
        <item x="2109"/>
        <item x="2144"/>
        <item x="1993"/>
        <item x="782"/>
        <item x="1961"/>
        <item x="1166"/>
        <item x="560"/>
        <item x="907"/>
        <item x="152"/>
        <item x="8"/>
        <item x="348"/>
        <item x="1456"/>
        <item x="789"/>
        <item x="1705"/>
        <item x="288"/>
        <item x="1976"/>
        <item x="2114"/>
        <item x="2080"/>
        <item x="241"/>
        <item x="1970"/>
        <item m="1" x="2261"/>
        <item x="1691"/>
        <item x="1229"/>
        <item x="68"/>
        <item x="143"/>
        <item x="1873"/>
        <item x="1830"/>
        <item x="492"/>
        <item x="1710"/>
        <item x="1647"/>
        <item x="75"/>
        <item x="756"/>
        <item x="809"/>
        <item x="1768"/>
        <item x="317"/>
        <item x="901"/>
        <item x="1308"/>
        <item x="721"/>
        <item x="1570"/>
        <item x="2090"/>
        <item x="190"/>
        <item x="1286"/>
        <item x="1348"/>
        <item x="1160"/>
        <item x="938"/>
        <item x="171"/>
        <item x="1549"/>
        <item x="1435"/>
        <item x="285"/>
        <item x="1942"/>
        <item x="1772"/>
        <item x="1008"/>
        <item x="1728"/>
        <item x="1588"/>
        <item x="1939"/>
        <item x="1565"/>
        <item x="625"/>
        <item x="1461"/>
        <item x="1864"/>
        <item x="692"/>
        <item x="812"/>
        <item x="111"/>
        <item x="160"/>
        <item x="1080"/>
        <item x="191"/>
        <item x="1734"/>
        <item x="346"/>
        <item x="11"/>
        <item x="144"/>
        <item x="88"/>
        <item x="427"/>
        <item x="629"/>
        <item x="539"/>
        <item x="1231"/>
        <item x="1818"/>
        <item x="1342"/>
        <item x="1764"/>
        <item x="596"/>
        <item x="918"/>
        <item x="1089"/>
        <item x="913"/>
        <item x="942"/>
        <item x="1023"/>
        <item x="419"/>
        <item x="283"/>
        <item m="1" x="2277"/>
        <item m="1" x="2253"/>
        <item x="1636"/>
        <item x="852"/>
        <item x="1477"/>
        <item x="273"/>
        <item x="3"/>
        <item x="2049"/>
        <item x="349"/>
        <item x="1596"/>
        <item x="1374"/>
        <item x="1317"/>
        <item x="55"/>
        <item x="1226"/>
        <item x="1559"/>
        <item x="578"/>
        <item x="1707"/>
        <item x="1775"/>
        <item x="409"/>
        <item x="703"/>
        <item x="451"/>
        <item x="232"/>
        <item x="367"/>
        <item x="393"/>
        <item x="2214"/>
        <item m="1" x="2215"/>
        <item x="1295"/>
        <item x="1247"/>
        <item x="871"/>
        <item x="1499"/>
        <item x="1748"/>
        <item m="1" x="2216"/>
        <item m="1" x="2217"/>
        <item x="1597"/>
        <item x="949"/>
        <item m="1" x="2218"/>
        <item x="1422"/>
        <item x="2097"/>
        <item x="1498"/>
        <item x="1879"/>
        <item x="2083"/>
        <item x="985"/>
        <item x="331"/>
        <item x="1801"/>
        <item x="2126"/>
        <item x="1244"/>
        <item x="2072"/>
        <item x="1871"/>
        <item x="1457"/>
        <item x="1532"/>
        <item x="1726"/>
        <item x="1876"/>
        <item m="1" x="2220"/>
        <item x="1915"/>
        <item x="929"/>
        <item x="1492"/>
        <item m="1" x="2221"/>
        <item x="1325"/>
        <item x="1112"/>
        <item x="1600"/>
        <item x="2101"/>
        <item x="826"/>
        <item x="1694"/>
        <item x="716"/>
        <item x="863"/>
        <item x="1645"/>
        <item x="802"/>
        <item x="234"/>
        <item x="340"/>
        <item x="702"/>
        <item x="1245"/>
        <item x="761"/>
        <item m="1" x="2223"/>
        <item x="1063"/>
        <item x="2191"/>
        <item x="1948"/>
        <item x="1034"/>
        <item x="1616"/>
        <item x="2058"/>
        <item x="2122"/>
        <item x="1552"/>
        <item x="924"/>
        <item x="2026"/>
        <item x="1963"/>
        <item x="2106"/>
        <item x="1284"/>
        <item x="1026"/>
        <item x="1285"/>
        <item x="1648"/>
        <item t="default"/>
      </items>
    </pivotField>
    <pivotField showAll="0"/>
    <pivotField showAll="0"/>
    <pivotField showAll="0"/>
    <pivotField dataField="1" showAll="0">
      <items count="2085"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083"/>
        <item t="default"/>
      </items>
    </pivotField>
    <pivotField axis="axisRow" showAll="0" sortType="descending">
      <items count="42">
        <item sd="0" x="33"/>
        <item sd="0" x="10"/>
        <item sd="0" x="7"/>
        <item sd="0" x="30"/>
        <item sd="0" x="35"/>
        <item sd="0" x="32"/>
        <item sd="0" x="19"/>
        <item sd="0" x="22"/>
        <item sd="0" x="25"/>
        <item sd="0" x="20"/>
        <item sd="0" x="0"/>
        <item sd="0" x="3"/>
        <item sd="0" x="2"/>
        <item sd="0" x="4"/>
        <item sd="0" x="27"/>
        <item sd="0" x="14"/>
        <item sd="0" x="31"/>
        <item sd="0" x="15"/>
        <item sd="0" x="16"/>
        <item sd="0" x="11"/>
        <item x="5"/>
        <item sd="0" x="24"/>
        <item sd="0" x="12"/>
        <item sd="0" x="1"/>
        <item sd="0" m="1" x="36"/>
        <item sd="0" x="13"/>
        <item sd="0" m="1" x="40"/>
        <item sd="0" x="28"/>
        <item sd="0" m="1" x="37"/>
        <item sd="0" x="21"/>
        <item sd="0" x="9"/>
        <item sd="0" x="34"/>
        <item sd="0" x="17"/>
        <item sd="0" x="8"/>
        <item sd="0" x="29"/>
        <item sd="0" x="26"/>
        <item sd="0" x="6"/>
        <item sd="0" x="18"/>
        <item sd="0" m="1" x="39"/>
        <item sd="0" m="1" x="38"/>
        <item sd="0" x="2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1071">
        <item x="769"/>
        <item x="609"/>
        <item x="165"/>
        <item x="252"/>
        <item x="547"/>
        <item x="580"/>
        <item x="169"/>
        <item x="190"/>
        <item x="585"/>
        <item x="210"/>
        <item x="552"/>
        <item x="254"/>
        <item sd="0" x="64"/>
        <item x="310"/>
        <item x="530"/>
        <item x="871"/>
        <item x="253"/>
        <item x="576"/>
        <item x="902"/>
        <item x="543"/>
        <item x="861"/>
        <item x="555"/>
        <item x="77"/>
        <item x="418"/>
        <item x="86"/>
        <item x="679"/>
        <item x="961"/>
        <item x="372"/>
        <item x="920"/>
        <item x="839"/>
        <item x="898"/>
        <item x="631"/>
        <item x="582"/>
        <item x="123"/>
        <item x="518"/>
        <item x="13"/>
        <item x="678"/>
        <item x="752"/>
        <item x="187"/>
        <item x="1009"/>
        <item x="400"/>
        <item x="206"/>
        <item m="1" x="1038"/>
        <item x="355"/>
        <item x="271"/>
        <item x="883"/>
        <item x="389"/>
        <item x="239"/>
        <item x="171"/>
        <item x="264"/>
        <item x="729"/>
        <item x="626"/>
        <item x="634"/>
        <item x="965"/>
        <item x="157"/>
        <item x="325"/>
        <item x="795"/>
        <item x="589"/>
        <item x="529"/>
        <item x="976"/>
        <item x="490"/>
        <item x="565"/>
        <item x="955"/>
        <item x="778"/>
        <item x="833"/>
        <item x="91"/>
        <item m="1" x="1035"/>
        <item x="105"/>
        <item x="662"/>
        <item x="54"/>
        <item x="690"/>
        <item x="200"/>
        <item x="256"/>
        <item x="572"/>
        <item x="207"/>
        <item x="8"/>
        <item x="67"/>
        <item x="1012"/>
        <item x="317"/>
        <item x="927"/>
        <item x="127"/>
        <item x="810"/>
        <item x="807"/>
        <item x="610"/>
        <item x="413"/>
        <item x="803"/>
        <item x="941"/>
        <item x="825"/>
        <item x="26"/>
        <item x="966"/>
        <item x="330"/>
        <item x="349"/>
        <item x="397"/>
        <item x="405"/>
        <item x="168"/>
        <item x="381"/>
        <item x="38"/>
        <item x="815"/>
        <item x="15"/>
        <item x="117"/>
        <item x="138"/>
        <item x="145"/>
        <item x="205"/>
        <item x="463"/>
        <item x="525"/>
        <item x="441"/>
        <item x="506"/>
        <item x="458"/>
        <item x="526"/>
        <item x="647"/>
        <item x="706"/>
        <item x="736"/>
        <item x="316"/>
        <item x="309"/>
        <item x="629"/>
        <item x="598"/>
        <item x="346"/>
        <item x="554"/>
        <item x="486"/>
        <item x="860"/>
        <item x="742"/>
        <item x="592"/>
        <item x="385"/>
        <item x="959"/>
        <item x="643"/>
        <item x="588"/>
        <item x="700"/>
        <item x="640"/>
        <item x="611"/>
        <item m="1" x="1040"/>
        <item x="28"/>
        <item x="741"/>
        <item x="47"/>
        <item x="394"/>
        <item x="66"/>
        <item x="798"/>
        <item x="104"/>
        <item x="229"/>
        <item x="131"/>
        <item sd="0" x="660"/>
        <item x="368"/>
        <item x="444"/>
        <item x="434"/>
        <item x="101"/>
        <item x="401"/>
        <item x="249"/>
        <item x="722"/>
        <item x="90"/>
        <item x="869"/>
        <item x="308"/>
        <item x="357"/>
        <item x="623"/>
        <item x="278"/>
        <item x="515"/>
        <item x="604"/>
        <item x="949"/>
        <item x="918"/>
        <item x="230"/>
        <item x="460"/>
        <item x="393"/>
        <item x="922"/>
        <item x="303"/>
        <item x="280"/>
        <item x="23"/>
        <item x="645"/>
        <item x="348"/>
        <item x="981"/>
        <item x="751"/>
        <item x="823"/>
        <item x="43"/>
        <item x="940"/>
        <item x="632"/>
        <item x="467"/>
        <item x="438"/>
        <item x="322"/>
        <item x="369"/>
        <item x="392"/>
        <item x="997"/>
        <item x="65"/>
        <item sd="0" m="1" x="1069"/>
        <item x="219"/>
        <item x="237"/>
        <item x="1021"/>
        <item x="771"/>
        <item x="425"/>
        <item x="837"/>
        <item x="220"/>
        <item x="59"/>
        <item x="275"/>
        <item sd="0" m="1" x="1066"/>
        <item x="1020"/>
        <item x="919"/>
        <item x="779"/>
        <item x="307"/>
        <item x="946"/>
        <item x="52"/>
        <item x="130"/>
        <item x="382"/>
        <item sd="0" m="1" x="1068"/>
        <item x="102"/>
        <item x="95"/>
        <item x="630"/>
        <item x="137"/>
        <item x="735"/>
        <item x="713"/>
        <item x="799"/>
        <item x="20"/>
        <item x="703"/>
        <item x="263"/>
        <item x="297"/>
        <item x="217"/>
        <item x="353"/>
        <item x="232"/>
        <item x="259"/>
        <item x="135"/>
        <item x="193"/>
        <item x="590"/>
        <item x="189"/>
        <item x="267"/>
        <item x="225"/>
        <item x="291"/>
        <item x="868"/>
        <item x="81"/>
        <item x="93"/>
        <item x="659"/>
        <item x="100"/>
        <item x="1013"/>
        <item x="749"/>
        <item x="882"/>
        <item x="483"/>
        <item x="725"/>
        <item x="797"/>
        <item x="805"/>
        <item x="491"/>
        <item x="801"/>
        <item x="437"/>
        <item sd="0" m="1" x="1055"/>
        <item x="238"/>
        <item x="315"/>
        <item x="881"/>
        <item x="877"/>
        <item x="356"/>
        <item x="548"/>
        <item x="619"/>
        <item x="991"/>
        <item x="527"/>
        <item x="1019"/>
        <item x="876"/>
        <item x="649"/>
        <item x="853"/>
        <item x="714"/>
        <item x="258"/>
        <item x="897"/>
        <item x="429"/>
        <item x="556"/>
        <item x="784"/>
        <item x="455"/>
        <item x="419"/>
        <item x="329"/>
        <item x="182"/>
        <item x="386"/>
        <item x="492"/>
        <item x="343"/>
        <item x="197"/>
        <item x="332"/>
        <item x="934"/>
        <item x="326"/>
        <item x="994"/>
        <item sd="0" m="1" x="1059"/>
        <item x="395"/>
        <item x="893"/>
        <item x="489"/>
        <item x="901"/>
        <item x="313"/>
        <item x="510"/>
        <item x="718"/>
        <item x="664"/>
        <item x="682"/>
        <item x="820"/>
        <item x="937"/>
        <item x="319"/>
        <item x="202"/>
        <item x="266"/>
        <item x="216"/>
        <item x="208"/>
        <item x="352"/>
        <item x="746"/>
        <item x="988"/>
        <item x="613"/>
        <item x="875"/>
        <item x="726"/>
        <item x="345"/>
        <item x="513"/>
        <item x="255"/>
        <item x="827"/>
        <item x="465"/>
        <item x="828"/>
        <item x="711"/>
        <item x="770"/>
        <item x="468"/>
        <item x="620"/>
        <item x="474"/>
        <item x="422"/>
        <item x="367"/>
        <item x="103"/>
        <item x="125"/>
        <item x="712"/>
        <item x="788"/>
        <item x="569"/>
        <item x="424"/>
        <item x="780"/>
        <item x="846"/>
        <item x="950"/>
        <item m="1" x="1033"/>
        <item x="497"/>
        <item x="344"/>
        <item x="337"/>
        <item x="562"/>
        <item x="878"/>
        <item x="942"/>
        <item x="625"/>
        <item x="800"/>
        <item x="758"/>
        <item x="760"/>
        <item x="646"/>
        <item x="478"/>
        <item x="786"/>
        <item x="653"/>
        <item x="796"/>
        <item x="747"/>
        <item x="173"/>
        <item x="36"/>
        <item x="148"/>
        <item m="1" x="1026"/>
        <item x="471"/>
        <item x="454"/>
        <item x="990"/>
        <item x="667"/>
        <item sd="0" m="1" x="1056"/>
        <item x="421"/>
        <item x="715"/>
        <item x="739"/>
        <item x="775"/>
        <item x="683"/>
        <item x="936"/>
        <item x="894"/>
        <item x="900"/>
        <item x="672"/>
        <item x="740"/>
        <item x="292"/>
        <item x="583"/>
        <item x="948"/>
        <item x="608"/>
        <item x="943"/>
        <item x="852"/>
        <item x="931"/>
        <item x="320"/>
        <item x="914"/>
        <item x="816"/>
        <item m="1" x="1027"/>
        <item x="890"/>
        <item x="390"/>
        <item x="905"/>
        <item x="191"/>
        <item x="49"/>
        <item x="366"/>
        <item x="597"/>
        <item x="701"/>
        <item x="126"/>
        <item x="764"/>
        <item x="10"/>
        <item x="549"/>
        <item x="46"/>
        <item x="708"/>
        <item x="517"/>
        <item x="459"/>
        <item x="782"/>
        <item x="834"/>
        <item x="112"/>
        <item x="431"/>
        <item x="451"/>
        <item x="685"/>
        <item x="286"/>
        <item x="24"/>
        <item x="111"/>
        <item x="118"/>
        <item x="2"/>
        <item x="248"/>
        <item sd="0" x="5"/>
        <item x="939"/>
        <item x="39"/>
        <item x="19"/>
        <item x="45"/>
        <item x="84"/>
        <item x="832"/>
        <item x="733"/>
        <item x="603"/>
        <item x="503"/>
        <item x="614"/>
        <item x="162"/>
        <item x="851"/>
        <item x="74"/>
        <item x="1"/>
        <item x="48"/>
        <item x="695"/>
        <item x="899"/>
        <item x="636"/>
        <item x="717"/>
        <item x="541"/>
        <item x="44"/>
        <item x="184"/>
        <item x="25"/>
        <item m="1" x="1036"/>
        <item x="87"/>
        <item x="867"/>
        <item x="594"/>
        <item x="445"/>
        <item x="242"/>
        <item x="141"/>
        <item x="912"/>
        <item x="766"/>
        <item x="361"/>
        <item x="666"/>
        <item x="276"/>
        <item x="753"/>
        <item x="705"/>
        <item x="888"/>
        <item x="399"/>
        <item x="960"/>
        <item x="408"/>
        <item x="51"/>
        <item x="379"/>
        <item x="696"/>
        <item x="884"/>
        <item x="993"/>
        <item x="692"/>
        <item x="812"/>
        <item x="203"/>
        <item x="53"/>
        <item x="246"/>
        <item x="427"/>
        <item x="194"/>
        <item x="985"/>
        <item x="1023"/>
        <item x="504"/>
        <item x="122"/>
        <item x="376"/>
        <item x="755"/>
        <item x="305"/>
        <item x="906"/>
        <item x="944"/>
        <item x="686"/>
        <item sd="0" x="1017"/>
        <item x="519"/>
        <item x="448"/>
        <item x="681"/>
        <item x="781"/>
        <item x="85"/>
        <item x="522"/>
        <item x="892"/>
        <item x="512"/>
        <item x="866"/>
        <item x="964"/>
        <item x="947"/>
        <item x="551"/>
        <item x="655"/>
        <item x="68"/>
        <item x="281"/>
        <item x="1010"/>
        <item x="198"/>
        <item x="531"/>
        <item x="924"/>
        <item m="1" x="1029"/>
        <item x="578"/>
        <item x="537"/>
        <item x="452"/>
        <item x="835"/>
        <item x="201"/>
        <item x="577"/>
        <item x="811"/>
        <item x="792"/>
        <item x="240"/>
        <item x="371"/>
        <item x="364"/>
        <item x="409"/>
        <item x="283"/>
        <item x="302"/>
        <item x="528"/>
        <item x="247"/>
        <item x="69"/>
        <item x="864"/>
        <item x="453"/>
        <item x="423"/>
        <item x="340"/>
        <item x="1016"/>
        <item x="873"/>
        <item x="933"/>
        <item x="567"/>
        <item x="709"/>
        <item x="223"/>
        <item x="338"/>
        <item x="762"/>
        <item x="244"/>
        <item x="144"/>
        <item x="403"/>
        <item x="83"/>
        <item x="406"/>
        <item x="904"/>
        <item x="262"/>
        <item x="721"/>
        <item x="282"/>
        <item x="953"/>
        <item x="563"/>
        <item x="373"/>
        <item x="411"/>
        <item x="600"/>
        <item x="1002"/>
        <item x="854"/>
        <item x="498"/>
        <item x="416"/>
        <item x="802"/>
        <item x="777"/>
        <item x="857"/>
        <item x="502"/>
        <item x="849"/>
        <item x="181"/>
        <item x="651"/>
        <item x="301"/>
        <item x="211"/>
        <item x="442"/>
        <item x="22"/>
        <item x="33"/>
        <item x="978"/>
        <item x="545"/>
        <item x="602"/>
        <item x="622"/>
        <item x="973"/>
        <item x="891"/>
        <item x="426"/>
        <item x="654"/>
        <item x="954"/>
        <item x="440"/>
        <item m="1" x="1034"/>
        <item x="956"/>
        <item x="1007"/>
        <item x="499"/>
        <item x="333"/>
        <item x="989"/>
        <item x="269"/>
        <item x="377"/>
        <item x="974"/>
        <item sd="0" m="1" x="1054"/>
        <item x="3"/>
        <item sd="0" m="1" x="1053"/>
        <item x="540"/>
        <item x="546"/>
        <item x="12"/>
        <item x="773"/>
        <item x="27"/>
        <item sd="0" x="358"/>
        <item x="224"/>
        <item x="99"/>
        <item x="674"/>
        <item x="133"/>
        <item x="363"/>
        <item x="612"/>
        <item x="995"/>
        <item x="573"/>
        <item x="0"/>
        <item x="94"/>
        <item x="913"/>
        <item x="484"/>
        <item sd="0" m="1" x="1048"/>
        <item x="71"/>
        <item x="971"/>
        <item x="420"/>
        <item x="164"/>
        <item x="228"/>
        <item x="139"/>
        <item x="72"/>
        <item x="158"/>
        <item x="341"/>
        <item x="121"/>
        <item x="488"/>
        <item x="97"/>
        <item x="362"/>
        <item x="160"/>
        <item x="151"/>
        <item x="41"/>
        <item x="658"/>
        <item sd="0" m="1" x="1063"/>
        <item x="595"/>
        <item x="82"/>
        <item x="432"/>
        <item x="221"/>
        <item x="921"/>
        <item x="113"/>
        <item x="110"/>
        <item x="279"/>
        <item x="75"/>
        <item x="214"/>
        <item m="1" x="1025"/>
        <item x="574"/>
        <item x="763"/>
        <item x="767"/>
        <item x="648"/>
        <item x="984"/>
        <item x="284"/>
        <item x="929"/>
        <item x="534"/>
        <item x="808"/>
        <item x="824"/>
        <item x="571"/>
        <item x="457"/>
        <item x="496"/>
        <item x="719"/>
        <item x="635"/>
        <item x="680"/>
        <item x="331"/>
        <item x="115"/>
        <item x="1011"/>
        <item x="983"/>
        <item x="1014"/>
        <item x="260"/>
        <item x="245"/>
        <item x="542"/>
        <item x="274"/>
        <item x="638"/>
        <item x="591"/>
        <item x="694"/>
        <item x="435"/>
        <item x="661"/>
        <item x="304"/>
        <item x="414"/>
        <item x="402"/>
        <item sd="0" x="327"/>
        <item x="508"/>
        <item x="183"/>
        <item x="306"/>
        <item x="699"/>
        <item x="334"/>
        <item x="34"/>
        <item x="520"/>
        <item x="32"/>
        <item x="185"/>
        <item x="819"/>
        <item x="261"/>
        <item x="288"/>
        <item x="987"/>
        <item x="312"/>
        <item x="858"/>
        <item x="829"/>
        <item x="830"/>
        <item x="745"/>
        <item x="895"/>
        <item x="932"/>
        <item x="7"/>
        <item x="172"/>
        <item x="449"/>
        <item x="324"/>
        <item x="222"/>
        <item x="120"/>
        <item x="170"/>
        <item m="1" x="1028"/>
        <item x="146"/>
        <item x="967"/>
        <item x="227"/>
        <item x="945"/>
        <item x="521"/>
        <item x="199"/>
        <item sd="0" m="1" x="1052"/>
        <item x="450"/>
        <item x="472"/>
        <item x="234"/>
        <item x="596"/>
        <item x="566"/>
        <item x="241"/>
        <item x="982"/>
        <item x="37"/>
        <item sd="0" m="1" x="1058"/>
        <item x="731"/>
        <item x="750"/>
        <item x="880"/>
        <item x="776"/>
        <item x="250"/>
        <item x="738"/>
        <item x="156"/>
        <item x="584"/>
        <item x="639"/>
        <item x="615"/>
        <item x="536"/>
        <item x="791"/>
        <item x="204"/>
        <item x="732"/>
        <item x="870"/>
        <item x="702"/>
        <item x="789"/>
        <item x="605"/>
        <item x="809"/>
        <item x="698"/>
        <item x="60"/>
        <item x="124"/>
        <item x="575"/>
        <item x="843"/>
        <item x="98"/>
        <item x="855"/>
        <item x="209"/>
        <item x="969"/>
        <item x="859"/>
        <item x="938"/>
        <item x="930"/>
        <item x="350"/>
        <item x="365"/>
        <item x="265"/>
        <item x="865"/>
        <item x="633"/>
        <item sd="0" m="1" x="1062"/>
        <item x="56"/>
        <item x="624"/>
        <item sd="0" m="1" x="1047"/>
        <item x="539"/>
        <item x="689"/>
        <item x="910"/>
        <item x="446"/>
        <item x="885"/>
        <item x="979"/>
        <item x="968"/>
        <item x="417"/>
        <item x="999"/>
        <item x="665"/>
        <item m="1" x="1030"/>
        <item x="1018"/>
        <item x="908"/>
        <item x="374"/>
        <item x="150"/>
        <item sd="0" x="166"/>
        <item x="935"/>
        <item x="479"/>
        <item x="287"/>
        <item x="469"/>
        <item x="697"/>
        <item x="289"/>
        <item x="607"/>
        <item x="618"/>
        <item x="384"/>
        <item x="277"/>
        <item sd="0" m="1" x="1041"/>
        <item x="986"/>
        <item x="480"/>
        <item x="601"/>
        <item x="188"/>
        <item x="790"/>
        <item x="668"/>
        <item x="482"/>
        <item x="73"/>
        <item x="412"/>
        <item x="564"/>
        <item x="461"/>
        <item x="487"/>
        <item x="509"/>
        <item x="192"/>
        <item x="477"/>
        <item x="29"/>
        <item x="143"/>
        <item x="428"/>
        <item sd="0" m="1" x="1057"/>
        <item x="841"/>
        <item x="149"/>
        <item x="1000"/>
        <item x="383"/>
        <item x="845"/>
        <item x="268"/>
        <item x="593"/>
        <item x="730"/>
        <item x="16"/>
        <item x="360"/>
        <item x="848"/>
        <item x="744"/>
        <item x="587"/>
        <item sd="0" m="1" x="1051"/>
        <item x="673"/>
        <item x="844"/>
        <item x="396"/>
        <item x="505"/>
        <item x="516"/>
        <item x="63"/>
        <item x="794"/>
        <item x="977"/>
        <item x="677"/>
        <item x="887"/>
        <item x="754"/>
        <item x="586"/>
        <item x="500"/>
        <item x="787"/>
        <item x="806"/>
        <item x="822"/>
        <item x="50"/>
        <item x="391"/>
        <item x="410"/>
        <item x="821"/>
        <item x="153"/>
        <item x="768"/>
        <item x="495"/>
        <item x="336"/>
        <item sd="0" m="1" x="1042"/>
        <item x="656"/>
        <item x="294"/>
        <item x="872"/>
        <item x="196"/>
        <item x="218"/>
        <item x="89"/>
        <item x="17"/>
        <item x="88"/>
        <item x="233"/>
        <item x="493"/>
        <item x="793"/>
        <item m="1" x="1032"/>
        <item x="759"/>
        <item x="78"/>
        <item m="1" x="1031"/>
        <item x="299"/>
        <item x="311"/>
        <item x="14"/>
        <item sd="0" m="1" x="1045"/>
        <item x="318"/>
        <item x="370"/>
        <item x="106"/>
        <item x="1006"/>
        <item x="818"/>
        <item x="186"/>
        <item x="128"/>
        <item x="351"/>
        <item x="31"/>
        <item x="675"/>
        <item x="998"/>
        <item x="433"/>
        <item x="380"/>
        <item x="785"/>
        <item x="657"/>
        <item x="35"/>
        <item x="561"/>
        <item x="783"/>
        <item x="375"/>
        <item x="443"/>
        <item x="215"/>
        <item x="293"/>
        <item x="1001"/>
        <item x="462"/>
        <item x="838"/>
        <item x="716"/>
        <item x="55"/>
        <item x="879"/>
        <item x="928"/>
        <item sd="0" m="1" x="1050"/>
        <item x="1008"/>
        <item x="903"/>
        <item x="627"/>
        <item x="644"/>
        <item x="642"/>
        <item x="298"/>
        <item x="11"/>
        <item x="1005"/>
        <item x="314"/>
        <item x="328"/>
        <item x="354"/>
        <item x="728"/>
        <item x="568"/>
        <item x="466"/>
        <item x="195"/>
        <item x="970"/>
        <item x="359"/>
        <item sd="0" m="1" x="1065"/>
        <item x="42"/>
        <item x="243"/>
        <item x="737"/>
        <item x="992"/>
        <item x="734"/>
        <item x="494"/>
        <item sd="0" m="1" x="1043"/>
        <item m="1" x="1037"/>
        <item x="951"/>
        <item x="693"/>
        <item x="957"/>
        <item x="710"/>
        <item x="544"/>
        <item x="213"/>
        <item x="952"/>
        <item x="538"/>
        <item x="909"/>
        <item x="743"/>
        <item x="836"/>
        <item x="691"/>
        <item x="916"/>
        <item x="212"/>
        <item x="109"/>
        <item x="980"/>
        <item x="533"/>
        <item x="535"/>
        <item x="756"/>
        <item x="669"/>
        <item x="676"/>
        <item x="176"/>
        <item x="177"/>
        <item x="92"/>
        <item x="501"/>
        <item x="671"/>
        <item x="727"/>
        <item x="342"/>
        <item x="257"/>
        <item x="524"/>
        <item x="18"/>
        <item x="62"/>
        <item x="476"/>
        <item x="765"/>
        <item x="57"/>
        <item x="155"/>
        <item x="175"/>
        <item x="167"/>
        <item x="132"/>
        <item x="61"/>
        <item x="179"/>
        <item x="684"/>
        <item x="923"/>
        <item x="108"/>
        <item x="235"/>
        <item x="485"/>
        <item x="481"/>
        <item x="273"/>
        <item x="557"/>
        <item x="581"/>
        <item x="550"/>
        <item x="174"/>
        <item x="339"/>
        <item x="560"/>
        <item x="140"/>
        <item x="295"/>
        <item x="1004"/>
        <item x="1022"/>
        <item x="152"/>
        <item x="558"/>
        <item x="161"/>
        <item x="107"/>
        <item x="617"/>
        <item x="958"/>
        <item x="814"/>
        <item x="300"/>
        <item x="134"/>
        <item x="9"/>
        <item x="720"/>
        <item x="523"/>
        <item x="470"/>
        <item x="159"/>
        <item x="96"/>
        <item x="378"/>
        <item sd="0" m="1" x="1067"/>
        <item x="1003"/>
        <item x="996"/>
        <item x="270"/>
        <item x="774"/>
        <item x="842"/>
        <item x="514"/>
        <item x="473"/>
        <item x="748"/>
        <item x="180"/>
        <item x="688"/>
        <item x="456"/>
        <item x="129"/>
        <item x="21"/>
        <item x="724"/>
        <item x="831"/>
        <item x="114"/>
        <item x="599"/>
        <item x="650"/>
        <item x="430"/>
        <item x="757"/>
        <item x="163"/>
        <item x="447"/>
        <item x="387"/>
        <item x="641"/>
        <item x="896"/>
        <item x="4"/>
        <item x="388"/>
        <item x="398"/>
        <item x="553"/>
        <item x="40"/>
        <item x="30"/>
        <item x="511"/>
        <item x="321"/>
        <item x="231"/>
        <item x="907"/>
        <item x="804"/>
        <item x="840"/>
        <item x="272"/>
        <item x="628"/>
        <item x="142"/>
        <item x="296"/>
        <item x="347"/>
        <item x="6"/>
        <item x="439"/>
        <item x="335"/>
        <item x="178"/>
        <item x="404"/>
        <item sd="0" m="1" x="1049"/>
        <item x="704"/>
        <item sd="0" m="1" x="1060"/>
        <item sd="0" m="1" x="1044"/>
        <item sd="0" m="1" x="1061"/>
        <item sd="0" x="652"/>
        <item x="290"/>
        <item x="475"/>
        <item x="119"/>
        <item x="415"/>
        <item x="285"/>
        <item x="817"/>
        <item x="637"/>
        <item sd="0" m="1" x="1046"/>
        <item x="886"/>
        <item x="226"/>
        <item x="570"/>
        <item m="1" x="1039"/>
        <item x="236"/>
        <item x="1015"/>
        <item x="975"/>
        <item x="687"/>
        <item x="761"/>
        <item x="76"/>
        <item x="79"/>
        <item x="136"/>
        <item x="670"/>
        <item x="862"/>
        <item x="856"/>
        <item x="826"/>
        <item x="116"/>
        <item x="532"/>
        <item x="917"/>
        <item x="251"/>
        <item x="436"/>
        <item x="772"/>
        <item x="925"/>
        <item x="407"/>
        <item x="464"/>
        <item x="621"/>
        <item x="606"/>
        <item x="972"/>
        <item x="911"/>
        <item x="915"/>
        <item x="507"/>
        <item x="874"/>
        <item x="559"/>
        <item x="962"/>
        <item x="813"/>
        <item x="707"/>
        <item x="616"/>
        <item x="863"/>
        <item x="663"/>
        <item x="723"/>
        <item x="579"/>
        <item x="926"/>
        <item x="847"/>
        <item x="147"/>
        <item x="963"/>
        <item x="850"/>
        <item x="889"/>
        <item x="70"/>
        <item x="323"/>
        <item x="58"/>
        <item sd="0" m="1" x="1064"/>
        <item x="80"/>
        <item x="154"/>
        <item sd="0" x="1024"/>
        <item t="default" sd="0"/>
      </items>
    </pivotField>
    <pivotField showAll="0"/>
  </pivotFields>
  <rowFields count="3">
    <field x="7"/>
    <field x="8"/>
    <field x="2"/>
  </rowFields>
  <rowItems count="31">
    <i>
      <x v="33"/>
    </i>
    <i>
      <x v="12"/>
    </i>
    <i>
      <x v="11"/>
    </i>
    <i>
      <x v="2"/>
    </i>
    <i>
      <x v="20"/>
    </i>
    <i r="1">
      <x v="88"/>
    </i>
    <i r="2">
      <x v="809"/>
    </i>
    <i r="1">
      <x v="430"/>
    </i>
    <i r="2">
      <x v="1891"/>
    </i>
    <i r="1">
      <x v="438"/>
    </i>
    <i r="2">
      <x v="95"/>
    </i>
    <i r="1">
      <x v="556"/>
    </i>
    <i r="2">
      <x v="1234"/>
    </i>
    <i r="1">
      <x v="641"/>
    </i>
    <i r="2">
      <x v="1663"/>
    </i>
    <i r="1">
      <x v="774"/>
    </i>
    <i r="2">
      <x v="715"/>
    </i>
    <i r="1">
      <x v="822"/>
    </i>
    <i r="2">
      <x v="1162"/>
    </i>
    <i>
      <x v="36"/>
    </i>
    <i>
      <x v="10"/>
    </i>
    <i>
      <x v="13"/>
    </i>
    <i>
      <x v="23"/>
    </i>
    <i>
      <x v="1"/>
    </i>
    <i>
      <x v="30"/>
    </i>
    <i>
      <x v="22"/>
    </i>
    <i>
      <x v="15"/>
    </i>
    <i>
      <x v="19"/>
    </i>
    <i>
      <x v="25"/>
    </i>
    <i>
      <x v="17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Vendors" fld="2" subtotal="count" baseField="7" baseItem="1"/>
    <dataField name="Spend" fld="6" baseField="7" baseItem="33" numFmtId="165"/>
  </dataFields>
  <formats count="2">
    <format dxfId="5">
      <pivotArea field="6" type="button" dataOnly="0" labelOnly="1" outline="0"/>
    </format>
    <format dxfId="6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C4281-0791-4124-8E10-6A5E6E0FBCDE}" name="Table1" displayName="Table1" ref="A1:J2225" totalsRowShown="0" headerRowDxfId="4" headerRowBorderDxfId="2" tableBorderDxfId="3">
  <autoFilter ref="A1:J2225" xr:uid="{94AC4281-0791-4124-8E10-6A5E6E0FBCDE}"/>
  <tableColumns count="10">
    <tableColumn id="1" xr3:uid="{D9B71979-E4CA-429D-AFC7-4B3B5B2EC7CD}" name="ACCOUNTNUM"/>
    <tableColumn id="10" xr3:uid="{6CB741D9-8A45-4C0A-BF1E-BCFA6A016F96}" name="Top Group"/>
    <tableColumn id="2" xr3:uid="{5D99F3B9-3DE6-4389-8CCE-65C02D1F92A0}" name="NAME"/>
    <tableColumn id="3" xr3:uid="{40C106ED-B6DC-4C73-8C1C-3CF6DC4247C8}" name="VENDOR GROUP"/>
    <tableColumn id="4" xr3:uid="{9E8B1131-1AE9-4C16-B230-47C2522F4206}" name="Address"/>
    <tableColumn id="5" xr3:uid="{C6C0EC4F-619F-468A-B3F4-6139B6C2E2A9}" name="CURRENCY"/>
    <tableColumn id="6" xr3:uid="{07D6FA98-C6FB-4ECF-869C-81DDDD047813}" name="SUM_AMOUNT" dataDxfId="1" dataCellStyle="Currency"/>
    <tableColumn id="9" xr3:uid="{3E2E310F-5DA0-4944-8641-5D4B9EBA453F}" name="Generalized Category" dataDxfId="0" dataCellStyle="Currency"/>
    <tableColumn id="7" xr3:uid="{52A0BF71-465C-4705-9797-5B5CA2662C21}" name="Category"/>
    <tableColumn id="8" xr3:uid="{E17BF6D1-893D-4808-81A9-5F6FCE1A637F}" name="Additional Servic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25"/>
  <sheetViews>
    <sheetView workbookViewId="0">
      <selection activeCell="I139" sqref="I139"/>
    </sheetView>
  </sheetViews>
  <sheetFormatPr defaultRowHeight="15"/>
  <cols>
    <col min="1" max="1" width="19.28515625" bestFit="1" customWidth="1"/>
    <col min="2" max="2" width="19.28515625" customWidth="1"/>
    <col min="3" max="3" width="39.7109375" customWidth="1"/>
    <col min="4" max="4" width="5.7109375" customWidth="1"/>
    <col min="5" max="5" width="4.85546875" customWidth="1"/>
    <col min="6" max="6" width="2.85546875" customWidth="1"/>
    <col min="7" max="7" width="18.28515625" style="1" customWidth="1"/>
    <col min="8" max="8" width="36.7109375" style="1" customWidth="1"/>
    <col min="9" max="9" width="50.140625" customWidth="1"/>
    <col min="10" max="10" width="45.7109375" bestFit="1" customWidth="1"/>
  </cols>
  <sheetData>
    <row r="1" spans="1:10">
      <c r="A1" s="6" t="s">
        <v>0</v>
      </c>
      <c r="B1" s="14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</row>
    <row r="2" spans="1:10">
      <c r="A2">
        <v>113081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172439519.21000001</v>
      </c>
      <c r="H2" t="s">
        <v>15</v>
      </c>
      <c r="I2" t="s">
        <v>16</v>
      </c>
      <c r="J2" t="s">
        <v>17</v>
      </c>
    </row>
    <row r="3" spans="1:10">
      <c r="A3">
        <v>141936</v>
      </c>
      <c r="B3" t="s">
        <v>10</v>
      </c>
      <c r="C3" t="s">
        <v>18</v>
      </c>
      <c r="D3" t="s">
        <v>19</v>
      </c>
      <c r="E3" t="s">
        <v>20</v>
      </c>
      <c r="F3" t="s">
        <v>14</v>
      </c>
      <c r="G3" s="1">
        <v>63836894.890000001</v>
      </c>
      <c r="H3" t="s">
        <v>21</v>
      </c>
      <c r="I3" t="s">
        <v>22</v>
      </c>
      <c r="J3" t="s">
        <v>23</v>
      </c>
    </row>
    <row r="4" spans="1:10">
      <c r="A4">
        <v>102840</v>
      </c>
      <c r="B4" t="s">
        <v>10</v>
      </c>
      <c r="C4" t="s">
        <v>24</v>
      </c>
      <c r="D4" t="s">
        <v>25</v>
      </c>
      <c r="E4" t="s">
        <v>26</v>
      </c>
      <c r="F4" t="s">
        <v>14</v>
      </c>
      <c r="G4" s="1">
        <v>30035305.920000002</v>
      </c>
      <c r="H4" t="s">
        <v>27</v>
      </c>
      <c r="I4" t="s">
        <v>27</v>
      </c>
      <c r="J4" t="s">
        <v>28</v>
      </c>
    </row>
    <row r="5" spans="1:10">
      <c r="A5">
        <v>100222</v>
      </c>
      <c r="B5" t="s">
        <v>10</v>
      </c>
      <c r="C5" t="s">
        <v>29</v>
      </c>
      <c r="D5" t="s">
        <v>30</v>
      </c>
      <c r="E5" t="s">
        <v>31</v>
      </c>
      <c r="F5" t="s">
        <v>14</v>
      </c>
      <c r="G5" s="1">
        <v>27778217.27</v>
      </c>
      <c r="H5" t="s">
        <v>15</v>
      </c>
      <c r="I5" t="s">
        <v>32</v>
      </c>
      <c r="J5" t="s">
        <v>33</v>
      </c>
    </row>
    <row r="6" spans="1:10">
      <c r="A6">
        <v>105511</v>
      </c>
      <c r="B6" t="s">
        <v>10</v>
      </c>
      <c r="C6" t="s">
        <v>34</v>
      </c>
      <c r="D6" t="s">
        <v>12</v>
      </c>
      <c r="E6" t="s">
        <v>35</v>
      </c>
      <c r="F6" t="s">
        <v>14</v>
      </c>
      <c r="G6" s="1">
        <v>23877181.120000001</v>
      </c>
      <c r="H6" t="s">
        <v>36</v>
      </c>
      <c r="I6" t="s">
        <v>37</v>
      </c>
      <c r="J6" t="s">
        <v>38</v>
      </c>
    </row>
    <row r="7" spans="1:10">
      <c r="A7">
        <v>101168</v>
      </c>
      <c r="B7" t="s">
        <v>10</v>
      </c>
      <c r="C7" t="s">
        <v>39</v>
      </c>
      <c r="D7" t="s">
        <v>25</v>
      </c>
      <c r="E7" t="s">
        <v>40</v>
      </c>
      <c r="F7" t="s">
        <v>14</v>
      </c>
      <c r="G7" s="1">
        <v>22269849.039999999</v>
      </c>
      <c r="H7" t="s">
        <v>36</v>
      </c>
      <c r="I7" t="s">
        <v>41</v>
      </c>
      <c r="J7" t="s">
        <v>42</v>
      </c>
    </row>
    <row r="8" spans="1:10">
      <c r="A8">
        <v>128810</v>
      </c>
      <c r="B8" t="s">
        <v>10</v>
      </c>
      <c r="C8" t="s">
        <v>43</v>
      </c>
      <c r="D8" t="s">
        <v>25</v>
      </c>
      <c r="E8" t="s">
        <v>44</v>
      </c>
      <c r="F8" t="s">
        <v>14</v>
      </c>
      <c r="G8" s="1">
        <v>20887754.390000001</v>
      </c>
      <c r="H8" t="s">
        <v>36</v>
      </c>
      <c r="I8" t="s">
        <v>45</v>
      </c>
      <c r="J8" t="s">
        <v>46</v>
      </c>
    </row>
    <row r="9" spans="1:10">
      <c r="A9">
        <v>103141</v>
      </c>
      <c r="B9" t="s">
        <v>10</v>
      </c>
      <c r="C9" t="s">
        <v>47</v>
      </c>
      <c r="D9" t="s">
        <v>25</v>
      </c>
      <c r="E9" t="s">
        <v>48</v>
      </c>
      <c r="F9" t="s">
        <v>14</v>
      </c>
      <c r="G9" s="1">
        <v>19620029.879999999</v>
      </c>
      <c r="H9" t="s">
        <v>36</v>
      </c>
      <c r="I9" t="s">
        <v>49</v>
      </c>
      <c r="J9" t="s">
        <v>50</v>
      </c>
    </row>
    <row r="10" spans="1:10">
      <c r="A10">
        <v>147062</v>
      </c>
      <c r="B10" t="s">
        <v>10</v>
      </c>
      <c r="C10" t="s">
        <v>51</v>
      </c>
      <c r="D10" t="s">
        <v>25</v>
      </c>
      <c r="E10" t="s">
        <v>52</v>
      </c>
      <c r="F10" t="s">
        <v>14</v>
      </c>
      <c r="G10" s="1">
        <v>19166697.260000002</v>
      </c>
      <c r="H10" t="s">
        <v>27</v>
      </c>
      <c r="I10" t="s">
        <v>27</v>
      </c>
      <c r="J10" t="s">
        <v>53</v>
      </c>
    </row>
    <row r="11" spans="1:10">
      <c r="A11">
        <v>131589</v>
      </c>
      <c r="B11" t="s">
        <v>10</v>
      </c>
      <c r="C11" t="s">
        <v>54</v>
      </c>
      <c r="D11" t="s">
        <v>12</v>
      </c>
      <c r="E11" t="s">
        <v>55</v>
      </c>
      <c r="F11" t="s">
        <v>14</v>
      </c>
      <c r="G11" s="1">
        <v>15925507.84</v>
      </c>
      <c r="H11" t="s">
        <v>56</v>
      </c>
      <c r="I11" t="s">
        <v>57</v>
      </c>
      <c r="J11" t="s">
        <v>58</v>
      </c>
    </row>
    <row r="12" spans="1:10">
      <c r="A12">
        <v>103271</v>
      </c>
      <c r="B12" t="s">
        <v>10</v>
      </c>
      <c r="C12" t="s">
        <v>59</v>
      </c>
      <c r="D12" t="s">
        <v>25</v>
      </c>
      <c r="E12" t="s">
        <v>60</v>
      </c>
      <c r="F12" t="s">
        <v>14</v>
      </c>
      <c r="G12" s="1">
        <v>15576392.15</v>
      </c>
      <c r="H12" t="s">
        <v>27</v>
      </c>
      <c r="I12" t="s">
        <v>61</v>
      </c>
      <c r="J12" t="s">
        <v>62</v>
      </c>
    </row>
    <row r="13" spans="1:10">
      <c r="A13">
        <v>147102</v>
      </c>
      <c r="B13" t="s">
        <v>10</v>
      </c>
      <c r="C13" t="s">
        <v>63</v>
      </c>
      <c r="D13" t="s">
        <v>12</v>
      </c>
      <c r="E13" t="s">
        <v>64</v>
      </c>
      <c r="F13" t="s">
        <v>14</v>
      </c>
      <c r="G13" s="1">
        <v>15479314.689999999</v>
      </c>
      <c r="H13" t="s">
        <v>56</v>
      </c>
      <c r="I13" t="s">
        <v>65</v>
      </c>
      <c r="J13" t="s">
        <v>66</v>
      </c>
    </row>
    <row r="14" spans="1:10">
      <c r="A14">
        <v>109796</v>
      </c>
      <c r="B14" t="s">
        <v>10</v>
      </c>
      <c r="C14" t="s">
        <v>67</v>
      </c>
      <c r="D14" t="s">
        <v>12</v>
      </c>
      <c r="E14" t="s">
        <v>31</v>
      </c>
      <c r="F14" t="s">
        <v>14</v>
      </c>
      <c r="G14" s="1">
        <v>14258254.119999999</v>
      </c>
      <c r="H14" t="s">
        <v>15</v>
      </c>
      <c r="I14" t="s">
        <v>68</v>
      </c>
      <c r="J14" t="s">
        <v>69</v>
      </c>
    </row>
    <row r="15" spans="1:10">
      <c r="A15">
        <v>100365</v>
      </c>
      <c r="B15" t="s">
        <v>10</v>
      </c>
      <c r="C15" t="s">
        <v>70</v>
      </c>
      <c r="D15" t="s">
        <v>30</v>
      </c>
      <c r="E15" t="s">
        <v>71</v>
      </c>
      <c r="F15" t="s">
        <v>14</v>
      </c>
      <c r="G15" s="1">
        <v>9986344.5500000007</v>
      </c>
      <c r="H15" t="s">
        <v>72</v>
      </c>
      <c r="I15" t="s">
        <v>73</v>
      </c>
      <c r="J15" t="s">
        <v>74</v>
      </c>
    </row>
    <row r="16" spans="1:10">
      <c r="A16">
        <v>128599</v>
      </c>
      <c r="B16" t="s">
        <v>10</v>
      </c>
      <c r="C16" t="s">
        <v>75</v>
      </c>
      <c r="D16" t="s">
        <v>12</v>
      </c>
      <c r="E16" t="s">
        <v>76</v>
      </c>
      <c r="F16" t="s">
        <v>14</v>
      </c>
      <c r="G16" s="1">
        <v>9468800.4299999997</v>
      </c>
      <c r="H16" t="s">
        <v>36</v>
      </c>
      <c r="I16" t="s">
        <v>77</v>
      </c>
      <c r="J16" t="s">
        <v>78</v>
      </c>
    </row>
    <row r="17" spans="1:10">
      <c r="A17">
        <v>118025</v>
      </c>
      <c r="B17" t="s">
        <v>10</v>
      </c>
      <c r="C17" t="s">
        <v>79</v>
      </c>
      <c r="D17" t="s">
        <v>30</v>
      </c>
      <c r="E17" t="s">
        <v>80</v>
      </c>
      <c r="F17" t="s">
        <v>14</v>
      </c>
      <c r="G17" s="1">
        <v>9425627.8100000005</v>
      </c>
      <c r="H17" t="s">
        <v>72</v>
      </c>
      <c r="I17" t="s">
        <v>81</v>
      </c>
      <c r="J17" t="s">
        <v>82</v>
      </c>
    </row>
    <row r="18" spans="1:10">
      <c r="A18">
        <v>117578</v>
      </c>
      <c r="B18" t="s">
        <v>10</v>
      </c>
      <c r="C18" t="s">
        <v>83</v>
      </c>
      <c r="D18" t="s">
        <v>12</v>
      </c>
      <c r="E18" t="s">
        <v>84</v>
      </c>
      <c r="F18" t="s">
        <v>14</v>
      </c>
      <c r="G18" s="1">
        <v>9291128.1500000004</v>
      </c>
      <c r="H18" t="s">
        <v>85</v>
      </c>
      <c r="I18" t="s">
        <v>86</v>
      </c>
      <c r="J18" t="s">
        <v>87</v>
      </c>
    </row>
    <row r="19" spans="1:10">
      <c r="A19">
        <v>123730</v>
      </c>
      <c r="B19" t="s">
        <v>10</v>
      </c>
      <c r="C19" t="s">
        <v>88</v>
      </c>
      <c r="D19" t="s">
        <v>89</v>
      </c>
      <c r="E19" t="s">
        <v>90</v>
      </c>
      <c r="F19" t="s">
        <v>14</v>
      </c>
      <c r="G19" s="1">
        <v>8008657.2800000003</v>
      </c>
      <c r="H19" t="s">
        <v>72</v>
      </c>
      <c r="I19" t="s">
        <v>91</v>
      </c>
      <c r="J19" t="s">
        <v>92</v>
      </c>
    </row>
    <row r="20" spans="1:10">
      <c r="A20">
        <v>100118</v>
      </c>
      <c r="B20" t="s">
        <v>10</v>
      </c>
      <c r="C20" t="s">
        <v>93</v>
      </c>
      <c r="D20" t="s">
        <v>12</v>
      </c>
      <c r="E20" t="s">
        <v>94</v>
      </c>
      <c r="F20" t="s">
        <v>14</v>
      </c>
      <c r="G20" s="1">
        <v>7740476.9400000004</v>
      </c>
      <c r="H20" t="s">
        <v>95</v>
      </c>
      <c r="I20" t="s">
        <v>96</v>
      </c>
      <c r="J20" t="s">
        <v>97</v>
      </c>
    </row>
    <row r="21" spans="1:10">
      <c r="A21">
        <v>101126</v>
      </c>
      <c r="B21" t="s">
        <v>10</v>
      </c>
      <c r="C21" t="s">
        <v>98</v>
      </c>
      <c r="D21" t="s">
        <v>25</v>
      </c>
      <c r="E21" t="s">
        <v>99</v>
      </c>
      <c r="F21" t="s">
        <v>14</v>
      </c>
      <c r="G21" s="1">
        <v>7065487.8700000001</v>
      </c>
      <c r="H21" t="s">
        <v>36</v>
      </c>
      <c r="I21" t="s">
        <v>41</v>
      </c>
      <c r="J21" t="s">
        <v>100</v>
      </c>
    </row>
    <row r="22" spans="1:10">
      <c r="A22">
        <v>100614</v>
      </c>
      <c r="B22" t="s">
        <v>10</v>
      </c>
      <c r="C22" t="s">
        <v>101</v>
      </c>
      <c r="D22" t="s">
        <v>12</v>
      </c>
      <c r="E22" t="s">
        <v>102</v>
      </c>
      <c r="F22" t="s">
        <v>14</v>
      </c>
      <c r="G22" s="1">
        <v>7030985.7199999997</v>
      </c>
      <c r="H22" t="s">
        <v>85</v>
      </c>
      <c r="I22" t="s">
        <v>103</v>
      </c>
      <c r="J22" t="s">
        <v>104</v>
      </c>
    </row>
    <row r="23" spans="1:10">
      <c r="A23">
        <v>116232</v>
      </c>
      <c r="B23" t="s">
        <v>10</v>
      </c>
      <c r="C23" t="s">
        <v>105</v>
      </c>
      <c r="D23" t="s">
        <v>25</v>
      </c>
      <c r="E23" t="s">
        <v>106</v>
      </c>
      <c r="F23" t="s">
        <v>14</v>
      </c>
      <c r="G23" s="1">
        <v>6489064</v>
      </c>
      <c r="H23" t="s">
        <v>27</v>
      </c>
      <c r="I23" t="s">
        <v>107</v>
      </c>
      <c r="J23" t="s">
        <v>108</v>
      </c>
    </row>
    <row r="24" spans="1:10">
      <c r="A24">
        <v>130600</v>
      </c>
      <c r="B24" t="s">
        <v>10</v>
      </c>
      <c r="C24" t="s">
        <v>109</v>
      </c>
      <c r="D24" t="s">
        <v>25</v>
      </c>
      <c r="E24" t="s">
        <v>110</v>
      </c>
      <c r="F24" t="s">
        <v>14</v>
      </c>
      <c r="G24" s="1">
        <v>6456600.3399999999</v>
      </c>
      <c r="H24" t="s">
        <v>36</v>
      </c>
      <c r="I24" t="s">
        <v>111</v>
      </c>
      <c r="J24" t="s">
        <v>112</v>
      </c>
    </row>
    <row r="25" spans="1:10">
      <c r="A25">
        <v>131613</v>
      </c>
      <c r="B25" t="s">
        <v>10</v>
      </c>
      <c r="C25" t="s">
        <v>113</v>
      </c>
      <c r="D25" t="s">
        <v>25</v>
      </c>
      <c r="E25" t="s">
        <v>114</v>
      </c>
      <c r="F25" t="s">
        <v>14</v>
      </c>
      <c r="G25" s="1">
        <v>5888808.8300000001</v>
      </c>
      <c r="H25" t="s">
        <v>27</v>
      </c>
      <c r="I25" t="s">
        <v>27</v>
      </c>
      <c r="J25" t="s">
        <v>115</v>
      </c>
    </row>
    <row r="26" spans="1:10">
      <c r="A26">
        <v>119131</v>
      </c>
      <c r="B26" t="s">
        <v>10</v>
      </c>
      <c r="C26" t="s">
        <v>116</v>
      </c>
      <c r="D26" t="s">
        <v>25</v>
      </c>
      <c r="E26" t="s">
        <v>117</v>
      </c>
      <c r="F26" t="s">
        <v>14</v>
      </c>
      <c r="G26" s="1">
        <v>5587356.9400000004</v>
      </c>
      <c r="H26" t="s">
        <v>36</v>
      </c>
      <c r="I26" t="s">
        <v>41</v>
      </c>
      <c r="J26" t="s">
        <v>118</v>
      </c>
    </row>
    <row r="27" spans="1:10">
      <c r="A27">
        <v>100072</v>
      </c>
      <c r="B27" t="s">
        <v>10</v>
      </c>
      <c r="C27" t="s">
        <v>119</v>
      </c>
      <c r="D27" t="s">
        <v>25</v>
      </c>
      <c r="E27" t="s">
        <v>120</v>
      </c>
      <c r="F27" t="s">
        <v>14</v>
      </c>
      <c r="G27" s="1">
        <v>5484525.2999999998</v>
      </c>
      <c r="H27" t="s">
        <v>27</v>
      </c>
      <c r="I27" t="s">
        <v>121</v>
      </c>
      <c r="J27" t="s">
        <v>122</v>
      </c>
    </row>
    <row r="28" spans="1:10">
      <c r="A28">
        <v>122255</v>
      </c>
      <c r="B28" t="s">
        <v>10</v>
      </c>
      <c r="C28" t="s">
        <v>123</v>
      </c>
      <c r="D28" t="s">
        <v>124</v>
      </c>
      <c r="E28" t="s">
        <v>125</v>
      </c>
      <c r="F28" t="s">
        <v>14</v>
      </c>
      <c r="G28" s="1">
        <v>5292946.41</v>
      </c>
      <c r="H28" t="s">
        <v>126</v>
      </c>
      <c r="I28" t="s">
        <v>127</v>
      </c>
      <c r="J28" t="s">
        <v>128</v>
      </c>
    </row>
    <row r="29" spans="1:10">
      <c r="A29">
        <v>110033</v>
      </c>
      <c r="B29" t="s">
        <v>10</v>
      </c>
      <c r="C29" t="s">
        <v>129</v>
      </c>
      <c r="D29" t="s">
        <v>12</v>
      </c>
      <c r="E29" t="s">
        <v>130</v>
      </c>
      <c r="F29" t="s">
        <v>14</v>
      </c>
      <c r="G29" s="1">
        <v>5034297.67</v>
      </c>
      <c r="H29" t="s">
        <v>131</v>
      </c>
      <c r="I29" t="s">
        <v>132</v>
      </c>
      <c r="J29" t="s">
        <v>133</v>
      </c>
    </row>
    <row r="30" spans="1:10">
      <c r="A30">
        <v>142232</v>
      </c>
      <c r="B30" t="s">
        <v>10</v>
      </c>
      <c r="C30" t="s">
        <v>134</v>
      </c>
      <c r="D30" t="s">
        <v>25</v>
      </c>
      <c r="E30" t="s">
        <v>135</v>
      </c>
      <c r="F30" t="s">
        <v>14</v>
      </c>
      <c r="G30" s="1">
        <v>4332434.01</v>
      </c>
      <c r="H30" t="s">
        <v>27</v>
      </c>
      <c r="I30" t="s">
        <v>136</v>
      </c>
      <c r="J30" t="s">
        <v>137</v>
      </c>
    </row>
    <row r="31" spans="1:10">
      <c r="A31">
        <v>149333</v>
      </c>
      <c r="B31" t="s">
        <v>10</v>
      </c>
      <c r="C31" t="s">
        <v>138</v>
      </c>
      <c r="D31" t="s">
        <v>12</v>
      </c>
      <c r="E31" t="s">
        <v>139</v>
      </c>
      <c r="F31" t="s">
        <v>14</v>
      </c>
      <c r="G31" s="1">
        <v>4164045.68</v>
      </c>
      <c r="H31" t="s">
        <v>140</v>
      </c>
      <c r="I31" t="s">
        <v>141</v>
      </c>
      <c r="J31" t="s">
        <v>142</v>
      </c>
    </row>
    <row r="32" spans="1:10">
      <c r="A32">
        <v>146402</v>
      </c>
      <c r="B32" t="s">
        <v>10</v>
      </c>
      <c r="C32" t="s">
        <v>143</v>
      </c>
      <c r="D32" t="s">
        <v>30</v>
      </c>
      <c r="E32" t="s">
        <v>144</v>
      </c>
      <c r="F32" t="s">
        <v>14</v>
      </c>
      <c r="G32" s="1">
        <v>3865366.49</v>
      </c>
      <c r="H32" t="s">
        <v>72</v>
      </c>
      <c r="I32" t="s">
        <v>145</v>
      </c>
      <c r="J32" t="s">
        <v>146</v>
      </c>
    </row>
    <row r="33" spans="1:10">
      <c r="A33">
        <v>150421</v>
      </c>
      <c r="B33" t="s">
        <v>10</v>
      </c>
      <c r="C33" t="s">
        <v>147</v>
      </c>
      <c r="D33" t="s">
        <v>25</v>
      </c>
      <c r="E33" t="s">
        <v>148</v>
      </c>
      <c r="F33" t="s">
        <v>14</v>
      </c>
      <c r="G33" s="1">
        <v>3684855.03</v>
      </c>
      <c r="H33" t="s">
        <v>27</v>
      </c>
      <c r="I33" t="s">
        <v>27</v>
      </c>
      <c r="J33" t="s">
        <v>149</v>
      </c>
    </row>
    <row r="34" spans="1:10">
      <c r="A34">
        <v>148380</v>
      </c>
      <c r="B34" t="s">
        <v>10</v>
      </c>
      <c r="C34" t="s">
        <v>150</v>
      </c>
      <c r="D34" t="s">
        <v>12</v>
      </c>
      <c r="E34" t="s">
        <v>151</v>
      </c>
      <c r="F34" t="s">
        <v>14</v>
      </c>
      <c r="G34" s="1">
        <v>3678784.08</v>
      </c>
      <c r="H34" t="s">
        <v>15</v>
      </c>
      <c r="I34" t="s">
        <v>152</v>
      </c>
      <c r="J34" t="s">
        <v>153</v>
      </c>
    </row>
    <row r="35" spans="1:10">
      <c r="A35">
        <v>148616</v>
      </c>
      <c r="B35" t="s">
        <v>10</v>
      </c>
      <c r="C35" t="s">
        <v>154</v>
      </c>
      <c r="D35" t="s">
        <v>124</v>
      </c>
      <c r="E35" t="s">
        <v>155</v>
      </c>
      <c r="F35" t="s">
        <v>14</v>
      </c>
      <c r="G35" s="1">
        <v>3669054</v>
      </c>
      <c r="H35" t="s">
        <v>126</v>
      </c>
      <c r="I35" t="s">
        <v>156</v>
      </c>
      <c r="J35" t="s">
        <v>157</v>
      </c>
    </row>
    <row r="36" spans="1:10">
      <c r="A36">
        <v>100224</v>
      </c>
      <c r="B36" t="s">
        <v>10</v>
      </c>
      <c r="C36" t="s">
        <v>158</v>
      </c>
      <c r="D36" t="s">
        <v>12</v>
      </c>
      <c r="E36" t="s">
        <v>159</v>
      </c>
      <c r="F36" t="s">
        <v>14</v>
      </c>
      <c r="G36" s="1">
        <v>3560124.49</v>
      </c>
      <c r="H36" t="s">
        <v>36</v>
      </c>
      <c r="I36" t="s">
        <v>37</v>
      </c>
      <c r="J36" t="s">
        <v>160</v>
      </c>
    </row>
    <row r="37" spans="1:10">
      <c r="A37">
        <v>131406</v>
      </c>
      <c r="B37" t="s">
        <v>10</v>
      </c>
      <c r="C37" t="s">
        <v>161</v>
      </c>
      <c r="D37" t="s">
        <v>12</v>
      </c>
      <c r="E37" t="s">
        <v>162</v>
      </c>
      <c r="F37" t="s">
        <v>14</v>
      </c>
      <c r="G37" s="1">
        <v>3530311.6</v>
      </c>
      <c r="H37" t="s">
        <v>95</v>
      </c>
      <c r="I37" t="s">
        <v>163</v>
      </c>
      <c r="J37" t="s">
        <v>164</v>
      </c>
    </row>
    <row r="38" spans="1:10">
      <c r="A38" t="s">
        <v>165</v>
      </c>
      <c r="B38" t="s">
        <v>10</v>
      </c>
      <c r="C38" t="s">
        <v>166</v>
      </c>
      <c r="D38" t="s">
        <v>12</v>
      </c>
      <c r="E38" t="s">
        <v>167</v>
      </c>
      <c r="F38" t="s">
        <v>168</v>
      </c>
      <c r="G38" s="1">
        <v>3293556.4</v>
      </c>
      <c r="H38" t="s">
        <v>36</v>
      </c>
      <c r="I38" t="s">
        <v>169</v>
      </c>
      <c r="J38" t="s">
        <v>170</v>
      </c>
    </row>
    <row r="39" spans="1:10">
      <c r="A39">
        <v>147475</v>
      </c>
      <c r="B39" t="s">
        <v>10</v>
      </c>
      <c r="C39" t="s">
        <v>171</v>
      </c>
      <c r="D39" t="s">
        <v>25</v>
      </c>
      <c r="E39" t="s">
        <v>172</v>
      </c>
      <c r="F39" t="s">
        <v>14</v>
      </c>
      <c r="G39" s="1">
        <v>3261841</v>
      </c>
      <c r="H39" t="s">
        <v>27</v>
      </c>
      <c r="I39" t="s">
        <v>107</v>
      </c>
      <c r="J39" t="s">
        <v>173</v>
      </c>
    </row>
    <row r="40" spans="1:10">
      <c r="A40">
        <v>125966</v>
      </c>
      <c r="B40" t="s">
        <v>10</v>
      </c>
      <c r="C40" t="s">
        <v>174</v>
      </c>
      <c r="D40" t="s">
        <v>124</v>
      </c>
      <c r="E40" t="s">
        <v>175</v>
      </c>
      <c r="F40" t="s">
        <v>14</v>
      </c>
      <c r="G40" s="1">
        <v>3020989.97</v>
      </c>
      <c r="H40" t="s">
        <v>126</v>
      </c>
      <c r="I40" t="s">
        <v>176</v>
      </c>
      <c r="J40" t="s">
        <v>177</v>
      </c>
    </row>
    <row r="41" spans="1:10">
      <c r="A41">
        <v>101238</v>
      </c>
      <c r="B41" t="s">
        <v>10</v>
      </c>
      <c r="C41" t="s">
        <v>178</v>
      </c>
      <c r="D41" t="s">
        <v>124</v>
      </c>
      <c r="E41" t="s">
        <v>179</v>
      </c>
      <c r="F41" t="s">
        <v>14</v>
      </c>
      <c r="G41" s="1">
        <v>2943600.49</v>
      </c>
      <c r="H41" t="s">
        <v>126</v>
      </c>
      <c r="I41" t="s">
        <v>156</v>
      </c>
      <c r="J41" t="s">
        <v>180</v>
      </c>
    </row>
    <row r="42" spans="1:10">
      <c r="A42">
        <v>103294</v>
      </c>
      <c r="B42" t="s">
        <v>10</v>
      </c>
      <c r="C42" t="s">
        <v>181</v>
      </c>
      <c r="D42" t="s">
        <v>12</v>
      </c>
      <c r="E42" t="s">
        <v>182</v>
      </c>
      <c r="F42" t="s">
        <v>14</v>
      </c>
      <c r="G42" s="1">
        <v>2915710.57</v>
      </c>
      <c r="H42" t="s">
        <v>36</v>
      </c>
      <c r="I42" t="s">
        <v>183</v>
      </c>
      <c r="J42" t="s">
        <v>184</v>
      </c>
    </row>
    <row r="43" spans="1:10">
      <c r="A43">
        <v>130400</v>
      </c>
      <c r="B43" t="s">
        <v>10</v>
      </c>
      <c r="C43" t="s">
        <v>185</v>
      </c>
      <c r="D43" t="s">
        <v>124</v>
      </c>
      <c r="E43" t="s">
        <v>186</v>
      </c>
      <c r="F43" t="s">
        <v>14</v>
      </c>
      <c r="G43" s="1">
        <v>2900407.44</v>
      </c>
      <c r="H43" t="s">
        <v>126</v>
      </c>
      <c r="I43" t="s">
        <v>156</v>
      </c>
      <c r="J43" t="s">
        <v>187</v>
      </c>
    </row>
    <row r="44" spans="1:10">
      <c r="A44">
        <v>120598</v>
      </c>
      <c r="B44" t="s">
        <v>10</v>
      </c>
      <c r="C44" t="s">
        <v>188</v>
      </c>
      <c r="D44" t="s">
        <v>124</v>
      </c>
      <c r="E44" t="s">
        <v>189</v>
      </c>
      <c r="F44" t="s">
        <v>14</v>
      </c>
      <c r="G44" s="1">
        <v>2860899.09</v>
      </c>
      <c r="H44" t="s">
        <v>126</v>
      </c>
      <c r="I44" t="s">
        <v>156</v>
      </c>
      <c r="J44" t="s">
        <v>180</v>
      </c>
    </row>
    <row r="45" spans="1:10">
      <c r="A45">
        <v>128100</v>
      </c>
      <c r="B45" t="s">
        <v>10</v>
      </c>
      <c r="C45" t="s">
        <v>190</v>
      </c>
      <c r="D45" t="s">
        <v>25</v>
      </c>
      <c r="E45" t="s">
        <v>191</v>
      </c>
      <c r="F45" t="s">
        <v>14</v>
      </c>
      <c r="G45" s="1">
        <v>2749533</v>
      </c>
      <c r="H45" t="s">
        <v>27</v>
      </c>
      <c r="I45" t="s">
        <v>136</v>
      </c>
      <c r="J45" t="s">
        <v>192</v>
      </c>
    </row>
    <row r="46" spans="1:10">
      <c r="A46">
        <v>141947</v>
      </c>
      <c r="B46" t="s">
        <v>10</v>
      </c>
      <c r="C46" t="s">
        <v>193</v>
      </c>
      <c r="D46" t="s">
        <v>124</v>
      </c>
      <c r="E46" t="s">
        <v>194</v>
      </c>
      <c r="F46" t="s">
        <v>14</v>
      </c>
      <c r="G46" s="1">
        <v>2732693.09</v>
      </c>
      <c r="H46" t="s">
        <v>126</v>
      </c>
      <c r="I46" t="s">
        <v>195</v>
      </c>
      <c r="J46" t="s">
        <v>196</v>
      </c>
    </row>
    <row r="47" spans="1:10">
      <c r="A47">
        <v>144898</v>
      </c>
      <c r="B47" t="s">
        <v>10</v>
      </c>
      <c r="C47" t="s">
        <v>197</v>
      </c>
      <c r="D47" t="s">
        <v>124</v>
      </c>
      <c r="E47" t="s">
        <v>198</v>
      </c>
      <c r="F47" t="s">
        <v>14</v>
      </c>
      <c r="G47" s="1">
        <v>2711818.23</v>
      </c>
      <c r="H47" t="s">
        <v>126</v>
      </c>
      <c r="I47" t="s">
        <v>156</v>
      </c>
      <c r="J47" t="s">
        <v>180</v>
      </c>
    </row>
    <row r="48" spans="1:10">
      <c r="A48">
        <v>143344</v>
      </c>
      <c r="B48" t="s">
        <v>10</v>
      </c>
      <c r="C48" t="s">
        <v>123</v>
      </c>
      <c r="D48" t="s">
        <v>124</v>
      </c>
      <c r="E48" t="s">
        <v>199</v>
      </c>
      <c r="F48" t="s">
        <v>14</v>
      </c>
      <c r="G48" s="1">
        <v>2678231.5099999998</v>
      </c>
      <c r="H48" t="s">
        <v>126</v>
      </c>
      <c r="I48" t="s">
        <v>127</v>
      </c>
      <c r="J48" t="s">
        <v>128</v>
      </c>
    </row>
    <row r="49" spans="1:10">
      <c r="A49">
        <v>129672</v>
      </c>
      <c r="B49" t="s">
        <v>10</v>
      </c>
      <c r="C49" t="s">
        <v>200</v>
      </c>
      <c r="D49" t="s">
        <v>124</v>
      </c>
      <c r="E49" t="s">
        <v>201</v>
      </c>
      <c r="F49" t="s">
        <v>14</v>
      </c>
      <c r="G49" s="1">
        <v>2634362.5099999998</v>
      </c>
      <c r="H49" t="s">
        <v>126</v>
      </c>
      <c r="I49" t="s">
        <v>156</v>
      </c>
      <c r="J49" t="s">
        <v>202</v>
      </c>
    </row>
    <row r="50" spans="1:10">
      <c r="A50">
        <v>100035</v>
      </c>
      <c r="B50" t="s">
        <v>10</v>
      </c>
      <c r="C50" t="s">
        <v>203</v>
      </c>
      <c r="D50" t="s">
        <v>19</v>
      </c>
      <c r="E50" t="s">
        <v>204</v>
      </c>
      <c r="F50" t="s">
        <v>14</v>
      </c>
      <c r="G50" s="1">
        <v>2602682</v>
      </c>
      <c r="H50" t="s">
        <v>21</v>
      </c>
      <c r="I50" t="s">
        <v>22</v>
      </c>
      <c r="J50" t="s">
        <v>205</v>
      </c>
    </row>
    <row r="51" spans="1:10">
      <c r="A51">
        <v>114680</v>
      </c>
      <c r="B51" t="s">
        <v>10</v>
      </c>
      <c r="C51" t="s">
        <v>206</v>
      </c>
      <c r="D51" t="s">
        <v>124</v>
      </c>
      <c r="E51" t="s">
        <v>207</v>
      </c>
      <c r="F51" t="s">
        <v>14</v>
      </c>
      <c r="G51" s="1">
        <v>2547243.25</v>
      </c>
      <c r="H51" t="s">
        <v>126</v>
      </c>
      <c r="I51" t="s">
        <v>127</v>
      </c>
      <c r="J51" t="s">
        <v>208</v>
      </c>
    </row>
    <row r="52" spans="1:10">
      <c r="A52">
        <v>102740</v>
      </c>
      <c r="B52" t="s">
        <v>10</v>
      </c>
      <c r="C52" t="s">
        <v>209</v>
      </c>
      <c r="D52" t="s">
        <v>25</v>
      </c>
      <c r="E52" t="s">
        <v>210</v>
      </c>
      <c r="F52" t="s">
        <v>14</v>
      </c>
      <c r="G52" s="1">
        <v>2525227</v>
      </c>
      <c r="H52" t="s">
        <v>27</v>
      </c>
      <c r="I52" t="s">
        <v>27</v>
      </c>
      <c r="J52" t="s">
        <v>211</v>
      </c>
    </row>
    <row r="53" spans="1:10">
      <c r="A53">
        <v>121727</v>
      </c>
      <c r="B53" t="s">
        <v>10</v>
      </c>
      <c r="C53" t="s">
        <v>212</v>
      </c>
      <c r="D53" t="s">
        <v>25</v>
      </c>
      <c r="E53" t="s">
        <v>213</v>
      </c>
      <c r="F53" t="s">
        <v>14</v>
      </c>
      <c r="G53" s="1">
        <v>2510649</v>
      </c>
      <c r="H53" t="s">
        <v>27</v>
      </c>
      <c r="I53" t="s">
        <v>27</v>
      </c>
      <c r="J53" t="s">
        <v>214</v>
      </c>
    </row>
    <row r="54" spans="1:10">
      <c r="A54">
        <v>143065</v>
      </c>
      <c r="B54" t="s">
        <v>10</v>
      </c>
      <c r="C54" t="s">
        <v>215</v>
      </c>
      <c r="D54" t="s">
        <v>25</v>
      </c>
      <c r="E54" t="s">
        <v>216</v>
      </c>
      <c r="F54" t="s">
        <v>14</v>
      </c>
      <c r="G54" s="1">
        <v>2510403.59</v>
      </c>
      <c r="H54" t="s">
        <v>27</v>
      </c>
      <c r="I54" t="s">
        <v>107</v>
      </c>
      <c r="J54" t="s">
        <v>217</v>
      </c>
    </row>
    <row r="55" spans="1:10">
      <c r="A55">
        <v>111473</v>
      </c>
      <c r="B55" t="s">
        <v>10</v>
      </c>
      <c r="C55" t="s">
        <v>218</v>
      </c>
      <c r="D55" t="s">
        <v>12</v>
      </c>
      <c r="E55" t="s">
        <v>219</v>
      </c>
      <c r="F55" t="s">
        <v>14</v>
      </c>
      <c r="G55" s="1">
        <v>2497615.0099999998</v>
      </c>
      <c r="H55" t="s">
        <v>72</v>
      </c>
      <c r="I55" t="s">
        <v>220</v>
      </c>
      <c r="J55" t="s">
        <v>221</v>
      </c>
    </row>
    <row r="56" spans="1:10">
      <c r="A56">
        <v>149799</v>
      </c>
      <c r="B56" t="s">
        <v>10</v>
      </c>
      <c r="C56" t="s">
        <v>222</v>
      </c>
      <c r="D56" t="s">
        <v>124</v>
      </c>
      <c r="E56" t="s">
        <v>223</v>
      </c>
      <c r="F56" t="s">
        <v>14</v>
      </c>
      <c r="G56" s="1">
        <v>2473468.62</v>
      </c>
      <c r="H56" t="s">
        <v>126</v>
      </c>
      <c r="I56" t="s">
        <v>224</v>
      </c>
      <c r="J56" t="s">
        <v>225</v>
      </c>
    </row>
    <row r="57" spans="1:10">
      <c r="A57">
        <v>150482</v>
      </c>
      <c r="B57" t="s">
        <v>10</v>
      </c>
      <c r="C57" t="s">
        <v>226</v>
      </c>
      <c r="D57" t="s">
        <v>12</v>
      </c>
      <c r="E57" t="s">
        <v>227</v>
      </c>
      <c r="F57" t="s">
        <v>14</v>
      </c>
      <c r="G57" s="1">
        <v>2357659</v>
      </c>
      <c r="H57" t="s">
        <v>15</v>
      </c>
      <c r="I57" t="s">
        <v>228</v>
      </c>
      <c r="J57" t="s">
        <v>229</v>
      </c>
    </row>
    <row r="58" spans="1:10">
      <c r="A58">
        <v>104076</v>
      </c>
      <c r="B58" t="s">
        <v>10</v>
      </c>
      <c r="C58" t="s">
        <v>230</v>
      </c>
      <c r="D58" t="s">
        <v>12</v>
      </c>
      <c r="E58" t="s">
        <v>231</v>
      </c>
      <c r="F58" t="s">
        <v>14</v>
      </c>
      <c r="G58" s="1">
        <v>2330503.54</v>
      </c>
      <c r="H58" t="s">
        <v>232</v>
      </c>
      <c r="I58" t="s">
        <v>233</v>
      </c>
      <c r="J58" t="s">
        <v>234</v>
      </c>
    </row>
    <row r="59" spans="1:10">
      <c r="A59">
        <v>103333</v>
      </c>
      <c r="B59" t="s">
        <v>10</v>
      </c>
      <c r="C59" t="s">
        <v>235</v>
      </c>
      <c r="D59" t="s">
        <v>12</v>
      </c>
      <c r="E59" t="s">
        <v>236</v>
      </c>
      <c r="F59" t="s">
        <v>14</v>
      </c>
      <c r="G59" s="1">
        <v>2309632.36</v>
      </c>
      <c r="H59" t="s">
        <v>126</v>
      </c>
      <c r="I59" t="s">
        <v>156</v>
      </c>
      <c r="J59" t="s">
        <v>237</v>
      </c>
    </row>
    <row r="60" spans="1:10">
      <c r="A60">
        <v>116356</v>
      </c>
      <c r="B60" t="s">
        <v>10</v>
      </c>
      <c r="C60" t="s">
        <v>238</v>
      </c>
      <c r="D60" t="s">
        <v>124</v>
      </c>
      <c r="E60" t="s">
        <v>239</v>
      </c>
      <c r="F60" t="s">
        <v>14</v>
      </c>
      <c r="G60" s="1">
        <v>2245570.5299999998</v>
      </c>
      <c r="H60" t="s">
        <v>126</v>
      </c>
      <c r="I60" t="s">
        <v>156</v>
      </c>
      <c r="J60" t="s">
        <v>202</v>
      </c>
    </row>
    <row r="61" spans="1:10">
      <c r="A61">
        <v>129283</v>
      </c>
      <c r="B61" t="s">
        <v>10</v>
      </c>
      <c r="C61" t="s">
        <v>240</v>
      </c>
      <c r="D61" t="s">
        <v>12</v>
      </c>
      <c r="E61" t="s">
        <v>241</v>
      </c>
      <c r="F61" t="s">
        <v>14</v>
      </c>
      <c r="G61" s="1">
        <v>2239867.37</v>
      </c>
      <c r="H61" t="s">
        <v>85</v>
      </c>
      <c r="I61" t="s">
        <v>242</v>
      </c>
      <c r="J61" t="s">
        <v>243</v>
      </c>
    </row>
    <row r="62" spans="1:10">
      <c r="A62">
        <v>128082</v>
      </c>
      <c r="B62" t="s">
        <v>10</v>
      </c>
      <c r="C62" t="s">
        <v>244</v>
      </c>
      <c r="D62" t="s">
        <v>245</v>
      </c>
      <c r="E62" t="s">
        <v>246</v>
      </c>
      <c r="F62" t="s">
        <v>14</v>
      </c>
      <c r="G62" s="1">
        <v>2155219</v>
      </c>
      <c r="H62" t="s">
        <v>27</v>
      </c>
      <c r="I62" t="s">
        <v>247</v>
      </c>
      <c r="J62" t="s">
        <v>248</v>
      </c>
    </row>
    <row r="63" spans="1:10">
      <c r="A63">
        <v>144405</v>
      </c>
      <c r="B63" t="s">
        <v>10</v>
      </c>
      <c r="C63" t="s">
        <v>249</v>
      </c>
      <c r="D63" t="s">
        <v>124</v>
      </c>
      <c r="E63" t="s">
        <v>250</v>
      </c>
      <c r="F63" t="s">
        <v>14</v>
      </c>
      <c r="G63" s="1">
        <v>2127865.66</v>
      </c>
      <c r="H63" t="s">
        <v>126</v>
      </c>
      <c r="I63" t="s">
        <v>156</v>
      </c>
      <c r="J63" t="s">
        <v>251</v>
      </c>
    </row>
    <row r="64" spans="1:10">
      <c r="A64">
        <v>102979</v>
      </c>
      <c r="B64" t="s">
        <v>10</v>
      </c>
      <c r="C64" t="s">
        <v>252</v>
      </c>
      <c r="D64" t="s">
        <v>12</v>
      </c>
      <c r="E64" t="s">
        <v>253</v>
      </c>
      <c r="F64" t="s">
        <v>14</v>
      </c>
      <c r="G64" s="1">
        <v>2062249.14</v>
      </c>
      <c r="H64" t="s">
        <v>36</v>
      </c>
      <c r="I64" t="s">
        <v>254</v>
      </c>
      <c r="J64" t="s">
        <v>255</v>
      </c>
    </row>
    <row r="65" spans="1:10">
      <c r="A65">
        <v>131910</v>
      </c>
      <c r="B65" t="s">
        <v>10</v>
      </c>
      <c r="C65" t="s">
        <v>256</v>
      </c>
      <c r="D65" t="s">
        <v>12</v>
      </c>
      <c r="E65" t="s">
        <v>257</v>
      </c>
      <c r="F65" t="s">
        <v>14</v>
      </c>
      <c r="G65" s="1">
        <v>2015459</v>
      </c>
      <c r="H65" t="s">
        <v>95</v>
      </c>
      <c r="I65" t="s">
        <v>258</v>
      </c>
      <c r="J65" t="s">
        <v>259</v>
      </c>
    </row>
    <row r="66" spans="1:10">
      <c r="A66">
        <v>127114</v>
      </c>
      <c r="B66" t="s">
        <v>10</v>
      </c>
      <c r="C66" t="s">
        <v>260</v>
      </c>
      <c r="D66" t="s">
        <v>124</v>
      </c>
      <c r="E66" t="s">
        <v>261</v>
      </c>
      <c r="F66" t="s">
        <v>14</v>
      </c>
      <c r="G66" s="1">
        <v>1999094.87</v>
      </c>
      <c r="H66" t="s">
        <v>126</v>
      </c>
      <c r="I66" t="s">
        <v>156</v>
      </c>
      <c r="J66" t="s">
        <v>180</v>
      </c>
    </row>
    <row r="67" spans="1:10">
      <c r="A67">
        <v>141140</v>
      </c>
      <c r="B67" t="s">
        <v>10</v>
      </c>
      <c r="C67" t="s">
        <v>262</v>
      </c>
      <c r="D67" t="s">
        <v>124</v>
      </c>
      <c r="E67" t="s">
        <v>263</v>
      </c>
      <c r="F67" t="s">
        <v>14</v>
      </c>
      <c r="G67" s="1">
        <v>1984805.53</v>
      </c>
      <c r="H67" t="s">
        <v>126</v>
      </c>
      <c r="I67" t="s">
        <v>156</v>
      </c>
      <c r="J67" t="s">
        <v>180</v>
      </c>
    </row>
    <row r="68" spans="1:10">
      <c r="A68">
        <v>142746</v>
      </c>
      <c r="B68" t="s">
        <v>10</v>
      </c>
      <c r="C68" t="s">
        <v>264</v>
      </c>
      <c r="D68" t="s">
        <v>12</v>
      </c>
      <c r="E68" t="s">
        <v>265</v>
      </c>
      <c r="F68" t="s">
        <v>14</v>
      </c>
      <c r="G68" s="1">
        <v>1964041.5</v>
      </c>
      <c r="H68" t="s">
        <v>95</v>
      </c>
      <c r="I68" t="s">
        <v>266</v>
      </c>
      <c r="J68" t="s">
        <v>267</v>
      </c>
    </row>
    <row r="69" spans="1:10">
      <c r="A69">
        <v>148130</v>
      </c>
      <c r="B69" t="s">
        <v>10</v>
      </c>
      <c r="C69" t="s">
        <v>268</v>
      </c>
      <c r="D69" t="s">
        <v>25</v>
      </c>
      <c r="E69" t="s">
        <v>269</v>
      </c>
      <c r="F69" t="s">
        <v>14</v>
      </c>
      <c r="G69" s="1">
        <v>1958952</v>
      </c>
      <c r="H69" t="s">
        <v>27</v>
      </c>
      <c r="I69" t="s">
        <v>136</v>
      </c>
      <c r="J69" t="s">
        <v>270</v>
      </c>
    </row>
    <row r="70" spans="1:10">
      <c r="A70">
        <v>150239</v>
      </c>
      <c r="B70" t="s">
        <v>10</v>
      </c>
      <c r="C70" t="s">
        <v>271</v>
      </c>
      <c r="D70" t="s">
        <v>124</v>
      </c>
      <c r="E70" t="s">
        <v>272</v>
      </c>
      <c r="F70" t="s">
        <v>14</v>
      </c>
      <c r="G70" s="1">
        <v>1957090.9</v>
      </c>
      <c r="H70" t="s">
        <v>126</v>
      </c>
      <c r="I70" t="s">
        <v>156</v>
      </c>
      <c r="J70" t="s">
        <v>187</v>
      </c>
    </row>
    <row r="71" spans="1:10">
      <c r="A71">
        <v>150700</v>
      </c>
      <c r="B71" t="s">
        <v>10</v>
      </c>
      <c r="C71" t="s">
        <v>273</v>
      </c>
      <c r="D71" t="s">
        <v>25</v>
      </c>
      <c r="E71" t="s">
        <v>274</v>
      </c>
      <c r="F71" t="s">
        <v>14</v>
      </c>
      <c r="G71" s="1">
        <v>1955467.34</v>
      </c>
      <c r="H71" t="s">
        <v>27</v>
      </c>
      <c r="I71" t="s">
        <v>27</v>
      </c>
      <c r="J71" t="s">
        <v>275</v>
      </c>
    </row>
    <row r="72" spans="1:10">
      <c r="A72">
        <v>102968</v>
      </c>
      <c r="B72" t="s">
        <v>10</v>
      </c>
      <c r="C72" t="s">
        <v>276</v>
      </c>
      <c r="D72" t="s">
        <v>12</v>
      </c>
      <c r="E72" t="s">
        <v>277</v>
      </c>
      <c r="F72" t="s">
        <v>14</v>
      </c>
      <c r="G72" s="1">
        <v>1868456.22</v>
      </c>
      <c r="H72" t="s">
        <v>56</v>
      </c>
      <c r="I72" t="s">
        <v>278</v>
      </c>
      <c r="J72" t="s">
        <v>279</v>
      </c>
    </row>
    <row r="73" spans="1:10">
      <c r="A73">
        <v>130567</v>
      </c>
      <c r="B73" t="s">
        <v>10</v>
      </c>
      <c r="C73" t="s">
        <v>280</v>
      </c>
      <c r="D73" t="s">
        <v>124</v>
      </c>
      <c r="E73" t="s">
        <v>281</v>
      </c>
      <c r="F73" t="s">
        <v>14</v>
      </c>
      <c r="G73" s="1">
        <v>1802317.48</v>
      </c>
      <c r="H73" t="s">
        <v>126</v>
      </c>
      <c r="I73" t="s">
        <v>156</v>
      </c>
      <c r="J73" t="s">
        <v>180</v>
      </c>
    </row>
    <row r="74" spans="1:10">
      <c r="A74">
        <v>129286</v>
      </c>
      <c r="B74" t="s">
        <v>10</v>
      </c>
      <c r="C74" t="s">
        <v>282</v>
      </c>
      <c r="D74" t="s">
        <v>12</v>
      </c>
      <c r="E74" t="s">
        <v>283</v>
      </c>
      <c r="F74" t="s">
        <v>14</v>
      </c>
      <c r="G74" s="1">
        <v>1770981.13</v>
      </c>
      <c r="H74" t="s">
        <v>140</v>
      </c>
      <c r="I74" t="s">
        <v>284</v>
      </c>
      <c r="J74" t="s">
        <v>285</v>
      </c>
    </row>
    <row r="75" spans="1:10">
      <c r="A75">
        <v>140525</v>
      </c>
      <c r="B75" t="s">
        <v>10</v>
      </c>
      <c r="C75" t="s">
        <v>286</v>
      </c>
      <c r="D75" t="s">
        <v>25</v>
      </c>
      <c r="E75" t="s">
        <v>287</v>
      </c>
      <c r="F75" t="s">
        <v>14</v>
      </c>
      <c r="G75" s="1">
        <v>1749466</v>
      </c>
      <c r="H75" t="s">
        <v>36</v>
      </c>
      <c r="I75" t="s">
        <v>288</v>
      </c>
      <c r="J75" t="s">
        <v>289</v>
      </c>
    </row>
    <row r="76" spans="1:10">
      <c r="A76">
        <v>140829</v>
      </c>
      <c r="B76" t="s">
        <v>10</v>
      </c>
      <c r="C76" t="s">
        <v>290</v>
      </c>
      <c r="D76" t="s">
        <v>124</v>
      </c>
      <c r="E76" t="s">
        <v>291</v>
      </c>
      <c r="F76" t="s">
        <v>14</v>
      </c>
      <c r="G76" s="1">
        <v>1740880.31</v>
      </c>
      <c r="H76" t="s">
        <v>126</v>
      </c>
      <c r="I76" t="s">
        <v>156</v>
      </c>
      <c r="J76" s="2" t="s">
        <v>180</v>
      </c>
    </row>
    <row r="77" spans="1:10">
      <c r="A77">
        <v>122010</v>
      </c>
      <c r="B77" t="s">
        <v>10</v>
      </c>
      <c r="C77" t="s">
        <v>292</v>
      </c>
      <c r="D77" t="s">
        <v>124</v>
      </c>
      <c r="E77" t="s">
        <v>293</v>
      </c>
      <c r="F77" t="s">
        <v>14</v>
      </c>
      <c r="G77" s="1">
        <v>1634591.69</v>
      </c>
      <c r="H77" t="s">
        <v>126</v>
      </c>
      <c r="I77" t="s">
        <v>156</v>
      </c>
      <c r="J77" t="s">
        <v>180</v>
      </c>
    </row>
    <row r="78" spans="1:10">
      <c r="A78">
        <v>146049</v>
      </c>
      <c r="B78" t="s">
        <v>10</v>
      </c>
      <c r="C78" t="s">
        <v>294</v>
      </c>
      <c r="D78" t="s">
        <v>124</v>
      </c>
      <c r="E78" t="s">
        <v>295</v>
      </c>
      <c r="F78" t="s">
        <v>14</v>
      </c>
      <c r="G78" s="1">
        <v>1610474.66</v>
      </c>
      <c r="H78" t="s">
        <v>126</v>
      </c>
      <c r="I78" t="s">
        <v>156</v>
      </c>
      <c r="J78" t="s">
        <v>296</v>
      </c>
    </row>
    <row r="79" spans="1:10">
      <c r="A79">
        <v>108815</v>
      </c>
      <c r="B79" t="s">
        <v>10</v>
      </c>
      <c r="C79" t="s">
        <v>297</v>
      </c>
      <c r="D79" t="s">
        <v>25</v>
      </c>
      <c r="E79" t="s">
        <v>298</v>
      </c>
      <c r="F79" t="s">
        <v>14</v>
      </c>
      <c r="G79" s="1">
        <v>1587574</v>
      </c>
      <c r="H79" t="s">
        <v>27</v>
      </c>
      <c r="I79" t="s">
        <v>247</v>
      </c>
      <c r="J79" t="s">
        <v>299</v>
      </c>
    </row>
    <row r="80" spans="1:10">
      <c r="A80">
        <v>144944</v>
      </c>
      <c r="B80" t="s">
        <v>10</v>
      </c>
      <c r="C80" t="s">
        <v>300</v>
      </c>
      <c r="D80" t="s">
        <v>12</v>
      </c>
      <c r="E80" t="s">
        <v>301</v>
      </c>
      <c r="F80" t="s">
        <v>14</v>
      </c>
      <c r="G80" s="1">
        <v>1515426.73</v>
      </c>
      <c r="H80" t="s">
        <v>36</v>
      </c>
      <c r="I80" t="s">
        <v>302</v>
      </c>
      <c r="J80" t="s">
        <v>303</v>
      </c>
    </row>
    <row r="81" spans="1:10">
      <c r="A81">
        <v>112710</v>
      </c>
      <c r="B81" t="s">
        <v>10</v>
      </c>
      <c r="C81" t="s">
        <v>304</v>
      </c>
      <c r="D81" t="s">
        <v>124</v>
      </c>
      <c r="E81" t="s">
        <v>305</v>
      </c>
      <c r="F81" t="s">
        <v>14</v>
      </c>
      <c r="G81" s="1">
        <v>1513252.88</v>
      </c>
      <c r="H81" t="s">
        <v>126</v>
      </c>
      <c r="I81" t="s">
        <v>156</v>
      </c>
      <c r="J81" t="s">
        <v>306</v>
      </c>
    </row>
    <row r="82" spans="1:10">
      <c r="A82">
        <v>141473</v>
      </c>
      <c r="B82" t="s">
        <v>10</v>
      </c>
      <c r="C82" t="s">
        <v>307</v>
      </c>
      <c r="D82" t="s">
        <v>25</v>
      </c>
      <c r="E82" t="s">
        <v>308</v>
      </c>
      <c r="F82" t="s">
        <v>14</v>
      </c>
      <c r="G82" s="1">
        <v>1473582.01</v>
      </c>
      <c r="H82" t="s">
        <v>36</v>
      </c>
      <c r="I82" t="s">
        <v>111</v>
      </c>
      <c r="J82" t="s">
        <v>309</v>
      </c>
    </row>
    <row r="83" spans="1:10">
      <c r="A83">
        <v>150263</v>
      </c>
      <c r="B83" t="s">
        <v>10</v>
      </c>
      <c r="C83" t="s">
        <v>310</v>
      </c>
      <c r="D83" t="s">
        <v>124</v>
      </c>
      <c r="E83" t="s">
        <v>311</v>
      </c>
      <c r="F83" t="s">
        <v>14</v>
      </c>
      <c r="G83" s="1">
        <v>1464688.39</v>
      </c>
      <c r="H83" t="s">
        <v>126</v>
      </c>
      <c r="I83" t="s">
        <v>156</v>
      </c>
      <c r="J83" t="s">
        <v>312</v>
      </c>
    </row>
    <row r="84" spans="1:10">
      <c r="A84">
        <v>132292</v>
      </c>
      <c r="B84" t="s">
        <v>10</v>
      </c>
      <c r="C84" t="s">
        <v>313</v>
      </c>
      <c r="D84" t="s">
        <v>124</v>
      </c>
      <c r="E84" t="s">
        <v>314</v>
      </c>
      <c r="F84" t="s">
        <v>14</v>
      </c>
      <c r="G84" s="1">
        <v>1447245.61</v>
      </c>
      <c r="H84" t="s">
        <v>126</v>
      </c>
      <c r="I84" t="s">
        <v>156</v>
      </c>
      <c r="J84" t="s">
        <v>180</v>
      </c>
    </row>
    <row r="85" spans="1:10">
      <c r="A85">
        <v>108900</v>
      </c>
      <c r="B85" t="s">
        <v>10</v>
      </c>
      <c r="C85" t="s">
        <v>315</v>
      </c>
      <c r="D85" t="s">
        <v>124</v>
      </c>
      <c r="E85" t="s">
        <v>316</v>
      </c>
      <c r="F85" t="s">
        <v>14</v>
      </c>
      <c r="G85" s="1">
        <v>1443781.6</v>
      </c>
      <c r="H85" t="s">
        <v>126</v>
      </c>
      <c r="I85" t="s">
        <v>317</v>
      </c>
      <c r="J85" t="s">
        <v>318</v>
      </c>
    </row>
    <row r="86" spans="1:10">
      <c r="A86">
        <v>142206</v>
      </c>
      <c r="B86" t="s">
        <v>10</v>
      </c>
      <c r="C86" t="s">
        <v>319</v>
      </c>
      <c r="D86" t="s">
        <v>124</v>
      </c>
      <c r="E86" t="s">
        <v>320</v>
      </c>
      <c r="F86" t="s">
        <v>14</v>
      </c>
      <c r="G86" s="1">
        <v>1432760.58</v>
      </c>
      <c r="H86" t="s">
        <v>126</v>
      </c>
      <c r="I86" t="s">
        <v>156</v>
      </c>
      <c r="J86" t="s">
        <v>321</v>
      </c>
    </row>
    <row r="87" spans="1:10">
      <c r="A87" t="s">
        <v>322</v>
      </c>
      <c r="B87" t="s">
        <v>10</v>
      </c>
      <c r="C87" t="s">
        <v>323</v>
      </c>
      <c r="D87" t="s">
        <v>124</v>
      </c>
      <c r="E87" t="s">
        <v>324</v>
      </c>
      <c r="F87" t="s">
        <v>168</v>
      </c>
      <c r="G87" s="1">
        <v>1420725.17</v>
      </c>
      <c r="H87" t="s">
        <v>126</v>
      </c>
      <c r="I87" t="s">
        <v>156</v>
      </c>
      <c r="J87" t="s">
        <v>325</v>
      </c>
    </row>
    <row r="88" spans="1:10">
      <c r="A88">
        <v>146218</v>
      </c>
      <c r="B88" t="s">
        <v>10</v>
      </c>
      <c r="C88" t="s">
        <v>326</v>
      </c>
      <c r="D88" t="s">
        <v>124</v>
      </c>
      <c r="E88" t="s">
        <v>327</v>
      </c>
      <c r="F88" t="s">
        <v>14</v>
      </c>
      <c r="G88" s="1">
        <v>1411964.06</v>
      </c>
      <c r="H88" t="s">
        <v>126</v>
      </c>
      <c r="I88" t="s">
        <v>156</v>
      </c>
      <c r="J88" t="s">
        <v>180</v>
      </c>
    </row>
    <row r="89" spans="1:10">
      <c r="A89">
        <v>140041</v>
      </c>
      <c r="B89" t="s">
        <v>10</v>
      </c>
      <c r="C89" t="s">
        <v>328</v>
      </c>
      <c r="D89" t="s">
        <v>124</v>
      </c>
      <c r="E89" t="s">
        <v>329</v>
      </c>
      <c r="F89" t="s">
        <v>14</v>
      </c>
      <c r="G89" s="1">
        <v>1404197.73</v>
      </c>
      <c r="H89" t="s">
        <v>126</v>
      </c>
      <c r="I89" t="s">
        <v>156</v>
      </c>
      <c r="J89" t="s">
        <v>187</v>
      </c>
    </row>
    <row r="90" spans="1:10">
      <c r="A90">
        <v>113911</v>
      </c>
      <c r="B90" t="s">
        <v>10</v>
      </c>
      <c r="C90" t="s">
        <v>330</v>
      </c>
      <c r="D90" t="s">
        <v>331</v>
      </c>
      <c r="E90" t="s">
        <v>332</v>
      </c>
      <c r="F90" t="s">
        <v>14</v>
      </c>
      <c r="G90" s="1">
        <v>1371035.34</v>
      </c>
      <c r="H90" t="s">
        <v>333</v>
      </c>
      <c r="I90" t="s">
        <v>334</v>
      </c>
      <c r="J90" t="s">
        <v>335</v>
      </c>
    </row>
    <row r="91" spans="1:10">
      <c r="A91">
        <v>150422</v>
      </c>
      <c r="B91" t="s">
        <v>10</v>
      </c>
      <c r="C91" t="s">
        <v>336</v>
      </c>
      <c r="D91" t="s">
        <v>12</v>
      </c>
      <c r="E91" t="s">
        <v>337</v>
      </c>
      <c r="F91" t="s">
        <v>168</v>
      </c>
      <c r="G91" s="1">
        <v>1348072.5</v>
      </c>
      <c r="H91" t="s">
        <v>36</v>
      </c>
      <c r="I91" t="s">
        <v>338</v>
      </c>
      <c r="J91" t="s">
        <v>339</v>
      </c>
    </row>
    <row r="92" spans="1:10">
      <c r="A92">
        <v>150283</v>
      </c>
      <c r="B92" t="s">
        <v>10</v>
      </c>
      <c r="C92" t="s">
        <v>340</v>
      </c>
      <c r="D92" t="s">
        <v>12</v>
      </c>
      <c r="E92" t="s">
        <v>341</v>
      </c>
      <c r="F92" t="s">
        <v>14</v>
      </c>
      <c r="G92" s="1">
        <v>1343918.92</v>
      </c>
      <c r="H92" t="s">
        <v>95</v>
      </c>
      <c r="I92" t="s">
        <v>342</v>
      </c>
      <c r="J92" t="s">
        <v>343</v>
      </c>
    </row>
    <row r="93" spans="1:10">
      <c r="A93">
        <v>106343</v>
      </c>
      <c r="B93" t="s">
        <v>10</v>
      </c>
      <c r="C93" t="s">
        <v>344</v>
      </c>
      <c r="D93" t="s">
        <v>124</v>
      </c>
      <c r="E93" t="s">
        <v>345</v>
      </c>
      <c r="F93" t="s">
        <v>14</v>
      </c>
      <c r="G93" s="1">
        <v>1302281.4099999999</v>
      </c>
      <c r="H93" t="s">
        <v>126</v>
      </c>
      <c r="I93" t="s">
        <v>156</v>
      </c>
      <c r="J93" t="s">
        <v>180</v>
      </c>
    </row>
    <row r="94" spans="1:10">
      <c r="A94">
        <v>144855</v>
      </c>
      <c r="B94" t="s">
        <v>10</v>
      </c>
      <c r="C94" t="s">
        <v>346</v>
      </c>
      <c r="D94" t="s">
        <v>12</v>
      </c>
      <c r="E94" t="s">
        <v>347</v>
      </c>
      <c r="F94" t="s">
        <v>14</v>
      </c>
      <c r="G94" s="1">
        <v>1286415.6599999999</v>
      </c>
      <c r="H94" t="s">
        <v>72</v>
      </c>
      <c r="I94" t="s">
        <v>348</v>
      </c>
      <c r="J94" t="s">
        <v>349</v>
      </c>
    </row>
    <row r="95" spans="1:10">
      <c r="A95">
        <v>130035</v>
      </c>
      <c r="B95" t="s">
        <v>10</v>
      </c>
      <c r="C95" t="s">
        <v>350</v>
      </c>
      <c r="D95" t="s">
        <v>12</v>
      </c>
      <c r="E95" t="s">
        <v>351</v>
      </c>
      <c r="F95" t="s">
        <v>14</v>
      </c>
      <c r="G95" s="1">
        <v>1267723.06</v>
      </c>
      <c r="H95" t="s">
        <v>95</v>
      </c>
      <c r="I95" t="s">
        <v>352</v>
      </c>
      <c r="J95" t="s">
        <v>353</v>
      </c>
    </row>
    <row r="96" spans="1:10">
      <c r="A96">
        <v>118550</v>
      </c>
      <c r="B96" t="s">
        <v>10</v>
      </c>
      <c r="C96" t="s">
        <v>354</v>
      </c>
      <c r="D96" t="s">
        <v>124</v>
      </c>
      <c r="E96" t="s">
        <v>355</v>
      </c>
      <c r="F96" t="s">
        <v>14</v>
      </c>
      <c r="G96" s="1">
        <v>1266405.78</v>
      </c>
      <c r="H96" t="s">
        <v>126</v>
      </c>
      <c r="I96" t="s">
        <v>156</v>
      </c>
      <c r="J96" t="s">
        <v>356</v>
      </c>
    </row>
    <row r="97" spans="1:10">
      <c r="A97">
        <v>150449</v>
      </c>
      <c r="B97" t="s">
        <v>10</v>
      </c>
      <c r="C97" t="s">
        <v>357</v>
      </c>
      <c r="D97" t="s">
        <v>89</v>
      </c>
      <c r="E97" t="s">
        <v>358</v>
      </c>
      <c r="F97" t="s">
        <v>14</v>
      </c>
      <c r="G97" s="1">
        <v>1255419.22</v>
      </c>
      <c r="H97" t="s">
        <v>72</v>
      </c>
      <c r="I97" t="s">
        <v>359</v>
      </c>
      <c r="J97" t="s">
        <v>360</v>
      </c>
    </row>
    <row r="98" spans="1:10">
      <c r="A98">
        <v>123744</v>
      </c>
      <c r="B98" t="s">
        <v>10</v>
      </c>
      <c r="C98" t="s">
        <v>361</v>
      </c>
      <c r="D98" t="s">
        <v>25</v>
      </c>
      <c r="E98" t="s">
        <v>362</v>
      </c>
      <c r="F98" t="s">
        <v>14</v>
      </c>
      <c r="G98" s="1">
        <v>1250507.5</v>
      </c>
      <c r="H98" t="s">
        <v>27</v>
      </c>
      <c r="I98" t="s">
        <v>107</v>
      </c>
      <c r="J98" t="s">
        <v>363</v>
      </c>
    </row>
    <row r="99" spans="1:10">
      <c r="A99">
        <v>142551</v>
      </c>
      <c r="B99" t="s">
        <v>10</v>
      </c>
      <c r="C99" t="s">
        <v>364</v>
      </c>
      <c r="D99" t="s">
        <v>124</v>
      </c>
      <c r="E99" t="s">
        <v>365</v>
      </c>
      <c r="F99" t="s">
        <v>14</v>
      </c>
      <c r="G99" s="1">
        <v>1240916.07</v>
      </c>
      <c r="H99" t="s">
        <v>126</v>
      </c>
      <c r="I99" t="s">
        <v>156</v>
      </c>
      <c r="J99" t="s">
        <v>366</v>
      </c>
    </row>
    <row r="100" spans="1:10">
      <c r="A100">
        <v>145905</v>
      </c>
      <c r="B100" t="s">
        <v>10</v>
      </c>
      <c r="C100" t="s">
        <v>367</v>
      </c>
      <c r="D100" t="s">
        <v>12</v>
      </c>
      <c r="E100" t="s">
        <v>368</v>
      </c>
      <c r="F100" t="s">
        <v>14</v>
      </c>
      <c r="G100" s="1">
        <v>1220838.3700000001</v>
      </c>
      <c r="H100" t="s">
        <v>95</v>
      </c>
      <c r="I100" t="s">
        <v>369</v>
      </c>
      <c r="J100" t="s">
        <v>370</v>
      </c>
    </row>
    <row r="101" spans="1:10">
      <c r="A101">
        <v>146212</v>
      </c>
      <c r="B101" t="s">
        <v>10</v>
      </c>
      <c r="C101" t="s">
        <v>371</v>
      </c>
      <c r="D101" t="s">
        <v>124</v>
      </c>
      <c r="E101" t="s">
        <v>372</v>
      </c>
      <c r="F101" t="s">
        <v>14</v>
      </c>
      <c r="G101" s="1">
        <v>1206729.02</v>
      </c>
      <c r="H101" t="s">
        <v>126</v>
      </c>
      <c r="I101" t="s">
        <v>156</v>
      </c>
      <c r="J101" t="s">
        <v>187</v>
      </c>
    </row>
    <row r="102" spans="1:10">
      <c r="A102">
        <v>128162</v>
      </c>
      <c r="B102" t="s">
        <v>10</v>
      </c>
      <c r="C102" t="s">
        <v>373</v>
      </c>
      <c r="D102" t="s">
        <v>12</v>
      </c>
      <c r="E102" t="s">
        <v>374</v>
      </c>
      <c r="F102" t="s">
        <v>14</v>
      </c>
      <c r="G102" s="1">
        <v>1203022.95</v>
      </c>
      <c r="H102" t="s">
        <v>375</v>
      </c>
      <c r="I102" t="s">
        <v>376</v>
      </c>
      <c r="J102" t="s">
        <v>377</v>
      </c>
    </row>
    <row r="103" spans="1:10" ht="15.75" thickBot="1">
      <c r="A103">
        <v>130479</v>
      </c>
      <c r="B103" t="s">
        <v>10</v>
      </c>
      <c r="C103" t="s">
        <v>378</v>
      </c>
      <c r="D103" t="s">
        <v>12</v>
      </c>
      <c r="E103" t="s">
        <v>379</v>
      </c>
      <c r="F103" t="s">
        <v>14</v>
      </c>
      <c r="G103" s="1">
        <v>1197427.8</v>
      </c>
      <c r="H103" t="s">
        <v>56</v>
      </c>
      <c r="I103" t="s">
        <v>380</v>
      </c>
      <c r="J103" t="s">
        <v>381</v>
      </c>
    </row>
    <row r="104" spans="1:10" ht="15.75" thickBot="1">
      <c r="A104">
        <v>145332</v>
      </c>
      <c r="B104" t="s">
        <v>10</v>
      </c>
      <c r="C104" t="s">
        <v>382</v>
      </c>
      <c r="D104" t="s">
        <v>25</v>
      </c>
      <c r="E104" t="s">
        <v>383</v>
      </c>
      <c r="F104" t="s">
        <v>14</v>
      </c>
      <c r="G104" s="1">
        <v>1176479</v>
      </c>
      <c r="H104" t="s">
        <v>27</v>
      </c>
      <c r="I104" s="3" t="s">
        <v>107</v>
      </c>
      <c r="J104" s="3" t="s">
        <v>384</v>
      </c>
    </row>
    <row r="105" spans="1:10">
      <c r="A105">
        <v>121707</v>
      </c>
      <c r="B105" t="s">
        <v>10</v>
      </c>
      <c r="C105" t="s">
        <v>385</v>
      </c>
      <c r="D105" t="s">
        <v>25</v>
      </c>
      <c r="E105" t="s">
        <v>386</v>
      </c>
      <c r="F105" t="s">
        <v>14</v>
      </c>
      <c r="G105" s="1">
        <v>1169525</v>
      </c>
      <c r="H105" t="s">
        <v>27</v>
      </c>
      <c r="I105" t="s">
        <v>136</v>
      </c>
      <c r="J105" t="s">
        <v>387</v>
      </c>
    </row>
    <row r="106" spans="1:10">
      <c r="A106">
        <v>115525</v>
      </c>
      <c r="B106" t="s">
        <v>10</v>
      </c>
      <c r="C106" t="s">
        <v>388</v>
      </c>
      <c r="D106" t="s">
        <v>124</v>
      </c>
      <c r="E106" t="s">
        <v>389</v>
      </c>
      <c r="F106" t="s">
        <v>14</v>
      </c>
      <c r="G106" s="1">
        <v>1152781.03</v>
      </c>
      <c r="H106" t="s">
        <v>126</v>
      </c>
      <c r="I106" t="s">
        <v>156</v>
      </c>
      <c r="J106" t="s">
        <v>187</v>
      </c>
    </row>
    <row r="107" spans="1:10">
      <c r="A107">
        <v>109756</v>
      </c>
      <c r="B107" t="s">
        <v>10</v>
      </c>
      <c r="C107" t="s">
        <v>390</v>
      </c>
      <c r="D107" t="s">
        <v>12</v>
      </c>
      <c r="E107" t="s">
        <v>391</v>
      </c>
      <c r="F107" t="s">
        <v>14</v>
      </c>
      <c r="G107" s="1">
        <v>1143309</v>
      </c>
      <c r="H107" t="s">
        <v>56</v>
      </c>
      <c r="I107" t="s">
        <v>392</v>
      </c>
      <c r="J107" t="s">
        <v>393</v>
      </c>
    </row>
    <row r="108" spans="1:10">
      <c r="A108" t="s">
        <v>394</v>
      </c>
      <c r="B108" t="s">
        <v>10</v>
      </c>
      <c r="C108" t="s">
        <v>395</v>
      </c>
      <c r="D108" t="s">
        <v>124</v>
      </c>
      <c r="E108" t="s">
        <v>396</v>
      </c>
      <c r="F108" t="s">
        <v>168</v>
      </c>
      <c r="G108" s="1">
        <v>1130141.94</v>
      </c>
      <c r="H108" t="s">
        <v>126</v>
      </c>
      <c r="I108" t="s">
        <v>156</v>
      </c>
      <c r="J108" t="s">
        <v>180</v>
      </c>
    </row>
    <row r="109" spans="1:10">
      <c r="A109">
        <v>125754</v>
      </c>
      <c r="B109" t="s">
        <v>10</v>
      </c>
      <c r="C109" t="s">
        <v>397</v>
      </c>
      <c r="D109" t="s">
        <v>124</v>
      </c>
      <c r="E109" t="s">
        <v>398</v>
      </c>
      <c r="F109" t="s">
        <v>14</v>
      </c>
      <c r="G109" s="1">
        <v>1123635.8600000001</v>
      </c>
      <c r="H109" t="s">
        <v>126</v>
      </c>
      <c r="I109" t="s">
        <v>156</v>
      </c>
      <c r="J109" t="s">
        <v>399</v>
      </c>
    </row>
    <row r="110" spans="1:10">
      <c r="A110">
        <v>144981</v>
      </c>
      <c r="B110" t="s">
        <v>10</v>
      </c>
      <c r="C110" t="s">
        <v>400</v>
      </c>
      <c r="D110" t="s">
        <v>124</v>
      </c>
      <c r="E110" t="s">
        <v>401</v>
      </c>
      <c r="F110" t="s">
        <v>14</v>
      </c>
      <c r="G110" s="1">
        <v>1121824.58</v>
      </c>
      <c r="H110" t="s">
        <v>126</v>
      </c>
      <c r="I110" t="s">
        <v>156</v>
      </c>
      <c r="J110" t="s">
        <v>187</v>
      </c>
    </row>
    <row r="111" spans="1:10">
      <c r="A111">
        <v>132018</v>
      </c>
      <c r="B111" t="s">
        <v>10</v>
      </c>
      <c r="C111" t="s">
        <v>402</v>
      </c>
      <c r="D111" t="s">
        <v>12</v>
      </c>
      <c r="E111" t="s">
        <v>403</v>
      </c>
      <c r="F111" t="s">
        <v>14</v>
      </c>
      <c r="G111" s="1">
        <v>1120512.4099999999</v>
      </c>
      <c r="H111" t="s">
        <v>85</v>
      </c>
      <c r="I111" t="s">
        <v>404</v>
      </c>
      <c r="J111" t="s">
        <v>405</v>
      </c>
    </row>
    <row r="112" spans="1:10">
      <c r="A112">
        <v>131381</v>
      </c>
      <c r="B112" t="s">
        <v>10</v>
      </c>
      <c r="C112" t="s">
        <v>406</v>
      </c>
      <c r="D112" t="s">
        <v>124</v>
      </c>
      <c r="E112" t="s">
        <v>407</v>
      </c>
      <c r="F112" t="s">
        <v>14</v>
      </c>
      <c r="G112" s="1">
        <v>1119426.23</v>
      </c>
      <c r="H112" t="s">
        <v>126</v>
      </c>
      <c r="I112" t="s">
        <v>156</v>
      </c>
      <c r="J112" t="s">
        <v>180</v>
      </c>
    </row>
    <row r="113" spans="1:10">
      <c r="A113">
        <v>147720</v>
      </c>
      <c r="B113" t="s">
        <v>10</v>
      </c>
      <c r="C113" t="s">
        <v>408</v>
      </c>
      <c r="D113" t="s">
        <v>124</v>
      </c>
      <c r="E113" t="s">
        <v>409</v>
      </c>
      <c r="F113" t="s">
        <v>14</v>
      </c>
      <c r="G113" s="1">
        <v>1110450</v>
      </c>
      <c r="H113" t="s">
        <v>126</v>
      </c>
      <c r="I113" t="s">
        <v>156</v>
      </c>
      <c r="J113" t="s">
        <v>187</v>
      </c>
    </row>
    <row r="114" spans="1:10">
      <c r="A114">
        <v>102720</v>
      </c>
      <c r="B114" t="s">
        <v>10</v>
      </c>
      <c r="C114" t="s">
        <v>410</v>
      </c>
      <c r="D114" t="s">
        <v>25</v>
      </c>
      <c r="E114" t="s">
        <v>411</v>
      </c>
      <c r="F114" t="s">
        <v>14</v>
      </c>
      <c r="G114" s="1">
        <v>1105487.42</v>
      </c>
      <c r="H114" t="s">
        <v>27</v>
      </c>
      <c r="I114" t="s">
        <v>27</v>
      </c>
      <c r="J114" t="s">
        <v>412</v>
      </c>
    </row>
    <row r="115" spans="1:10">
      <c r="A115">
        <v>129788</v>
      </c>
      <c r="B115" t="s">
        <v>10</v>
      </c>
      <c r="C115" t="s">
        <v>413</v>
      </c>
      <c r="D115" t="s">
        <v>124</v>
      </c>
      <c r="E115" t="s">
        <v>414</v>
      </c>
      <c r="F115" t="s">
        <v>14</v>
      </c>
      <c r="G115" s="1">
        <v>1105479.99</v>
      </c>
      <c r="H115" t="s">
        <v>126</v>
      </c>
      <c r="I115" t="s">
        <v>156</v>
      </c>
      <c r="J115" t="s">
        <v>180</v>
      </c>
    </row>
    <row r="116" spans="1:10">
      <c r="A116">
        <v>132155</v>
      </c>
      <c r="B116" t="s">
        <v>10</v>
      </c>
      <c r="C116" t="s">
        <v>415</v>
      </c>
      <c r="D116" t="s">
        <v>12</v>
      </c>
      <c r="E116" t="s">
        <v>416</v>
      </c>
      <c r="F116" t="s">
        <v>14</v>
      </c>
      <c r="G116" s="1">
        <v>1101351.1499999999</v>
      </c>
      <c r="H116" t="s">
        <v>95</v>
      </c>
      <c r="I116" t="s">
        <v>417</v>
      </c>
      <c r="J116" t="s">
        <v>418</v>
      </c>
    </row>
    <row r="117" spans="1:10">
      <c r="A117">
        <v>123317</v>
      </c>
      <c r="B117" t="s">
        <v>10</v>
      </c>
      <c r="C117" t="s">
        <v>419</v>
      </c>
      <c r="D117" t="s">
        <v>124</v>
      </c>
      <c r="E117" t="s">
        <v>420</v>
      </c>
      <c r="F117" t="s">
        <v>14</v>
      </c>
      <c r="G117" s="1">
        <v>1096016.56</v>
      </c>
      <c r="H117" t="s">
        <v>126</v>
      </c>
      <c r="I117" t="s">
        <v>156</v>
      </c>
      <c r="J117" t="s">
        <v>180</v>
      </c>
    </row>
    <row r="118" spans="1:10">
      <c r="A118">
        <v>150149</v>
      </c>
      <c r="B118" t="s">
        <v>10</v>
      </c>
      <c r="C118" t="s">
        <v>421</v>
      </c>
      <c r="D118" t="s">
        <v>124</v>
      </c>
      <c r="E118" t="s">
        <v>422</v>
      </c>
      <c r="F118" t="s">
        <v>14</v>
      </c>
      <c r="G118" s="1">
        <v>1092959.49</v>
      </c>
      <c r="H118" t="s">
        <v>126</v>
      </c>
      <c r="I118" t="s">
        <v>156</v>
      </c>
      <c r="J118" t="s">
        <v>180</v>
      </c>
    </row>
    <row r="119" spans="1:10">
      <c r="A119">
        <v>104039</v>
      </c>
      <c r="B119" t="s">
        <v>10</v>
      </c>
      <c r="C119" t="s">
        <v>423</v>
      </c>
      <c r="D119" t="s">
        <v>12</v>
      </c>
      <c r="E119" t="s">
        <v>424</v>
      </c>
      <c r="F119" t="s">
        <v>14</v>
      </c>
      <c r="G119" s="1">
        <v>1080799.0900000001</v>
      </c>
      <c r="H119" t="s">
        <v>425</v>
      </c>
      <c r="I119" t="s">
        <v>426</v>
      </c>
      <c r="J119" t="s">
        <v>427</v>
      </c>
    </row>
    <row r="120" spans="1:10">
      <c r="A120">
        <v>140845</v>
      </c>
      <c r="B120" t="s">
        <v>10</v>
      </c>
      <c r="C120" t="s">
        <v>428</v>
      </c>
      <c r="D120" t="s">
        <v>124</v>
      </c>
      <c r="E120" t="s">
        <v>429</v>
      </c>
      <c r="F120" t="s">
        <v>14</v>
      </c>
      <c r="G120" s="1">
        <v>1058175.9099999999</v>
      </c>
      <c r="H120" t="s">
        <v>126</v>
      </c>
      <c r="I120" t="s">
        <v>156</v>
      </c>
      <c r="J120" t="s">
        <v>180</v>
      </c>
    </row>
    <row r="121" spans="1:10">
      <c r="A121">
        <v>105364</v>
      </c>
      <c r="B121" t="s">
        <v>10</v>
      </c>
      <c r="C121" t="s">
        <v>430</v>
      </c>
      <c r="D121" t="s">
        <v>124</v>
      </c>
      <c r="E121" t="s">
        <v>431</v>
      </c>
      <c r="F121" t="s">
        <v>14</v>
      </c>
      <c r="G121" s="1">
        <v>1054986.76</v>
      </c>
      <c r="H121" t="s">
        <v>126</v>
      </c>
      <c r="I121" t="s">
        <v>156</v>
      </c>
      <c r="J121" t="s">
        <v>432</v>
      </c>
    </row>
    <row r="122" spans="1:10">
      <c r="A122">
        <v>132291</v>
      </c>
      <c r="B122" t="s">
        <v>10</v>
      </c>
      <c r="C122" t="s">
        <v>433</v>
      </c>
      <c r="D122" t="s">
        <v>124</v>
      </c>
      <c r="E122" t="s">
        <v>314</v>
      </c>
      <c r="F122" t="s">
        <v>14</v>
      </c>
      <c r="G122" s="1">
        <v>1054323.57</v>
      </c>
      <c r="H122" t="s">
        <v>126</v>
      </c>
      <c r="I122" t="s">
        <v>156</v>
      </c>
      <c r="J122" t="s">
        <v>434</v>
      </c>
    </row>
    <row r="123" spans="1:10">
      <c r="A123">
        <v>103741</v>
      </c>
      <c r="B123" t="s">
        <v>10</v>
      </c>
      <c r="C123" t="s">
        <v>435</v>
      </c>
      <c r="D123" t="s">
        <v>12</v>
      </c>
      <c r="E123" t="s">
        <v>436</v>
      </c>
      <c r="F123" t="s">
        <v>14</v>
      </c>
      <c r="G123" s="1">
        <v>1048761.45</v>
      </c>
      <c r="H123" t="s">
        <v>437</v>
      </c>
      <c r="I123" t="s">
        <v>438</v>
      </c>
      <c r="J123" t="s">
        <v>439</v>
      </c>
    </row>
    <row r="124" spans="1:10">
      <c r="A124">
        <v>147333</v>
      </c>
      <c r="B124" t="s">
        <v>10</v>
      </c>
      <c r="C124" t="s">
        <v>440</v>
      </c>
      <c r="D124" t="s">
        <v>124</v>
      </c>
      <c r="E124" t="s">
        <v>441</v>
      </c>
      <c r="F124" t="s">
        <v>14</v>
      </c>
      <c r="G124" s="1">
        <v>1026633.53</v>
      </c>
      <c r="H124" t="s">
        <v>126</v>
      </c>
      <c r="I124" t="s">
        <v>156</v>
      </c>
      <c r="J124" t="s">
        <v>180</v>
      </c>
    </row>
    <row r="125" spans="1:10">
      <c r="A125">
        <v>150291</v>
      </c>
      <c r="B125" t="s">
        <v>10</v>
      </c>
      <c r="C125" t="s">
        <v>442</v>
      </c>
      <c r="D125" t="s">
        <v>12</v>
      </c>
      <c r="E125" t="s">
        <v>443</v>
      </c>
      <c r="F125" t="s">
        <v>14</v>
      </c>
      <c r="G125" s="1">
        <v>1013908</v>
      </c>
      <c r="H125" t="s">
        <v>85</v>
      </c>
      <c r="I125" t="s">
        <v>444</v>
      </c>
      <c r="J125" t="s">
        <v>445</v>
      </c>
    </row>
    <row r="126" spans="1:10">
      <c r="A126">
        <v>142146</v>
      </c>
      <c r="B126" t="s">
        <v>446</v>
      </c>
      <c r="C126" t="s">
        <v>447</v>
      </c>
      <c r="D126" t="s">
        <v>124</v>
      </c>
      <c r="E126" t="s">
        <v>448</v>
      </c>
      <c r="F126" t="s">
        <v>14</v>
      </c>
      <c r="G126" s="1">
        <v>980693.27</v>
      </c>
      <c r="H126" t="s">
        <v>126</v>
      </c>
      <c r="I126" t="s">
        <v>156</v>
      </c>
      <c r="J126" t="s">
        <v>449</v>
      </c>
    </row>
    <row r="127" spans="1:10">
      <c r="A127">
        <v>105339</v>
      </c>
      <c r="B127" t="s">
        <v>446</v>
      </c>
      <c r="C127" t="s">
        <v>450</v>
      </c>
      <c r="D127" t="s">
        <v>124</v>
      </c>
      <c r="E127" t="s">
        <v>451</v>
      </c>
      <c r="F127" t="s">
        <v>14</v>
      </c>
      <c r="G127" s="1">
        <v>976337.24</v>
      </c>
      <c r="H127" t="s">
        <v>126</v>
      </c>
      <c r="I127" t="s">
        <v>156</v>
      </c>
      <c r="J127" t="s">
        <v>452</v>
      </c>
    </row>
    <row r="128" spans="1:10">
      <c r="A128">
        <v>111755</v>
      </c>
      <c r="B128" t="s">
        <v>446</v>
      </c>
      <c r="C128" t="s">
        <v>453</v>
      </c>
      <c r="D128" t="s">
        <v>25</v>
      </c>
      <c r="E128" t="s">
        <v>454</v>
      </c>
      <c r="F128" t="s">
        <v>14</v>
      </c>
      <c r="G128" s="1">
        <v>975139</v>
      </c>
      <c r="H128" t="s">
        <v>27</v>
      </c>
      <c r="I128" t="s">
        <v>27</v>
      </c>
      <c r="J128" t="s">
        <v>455</v>
      </c>
    </row>
    <row r="129" spans="1:10">
      <c r="A129">
        <v>115312</v>
      </c>
      <c r="B129" t="s">
        <v>446</v>
      </c>
      <c r="C129" t="s">
        <v>456</v>
      </c>
      <c r="D129" t="s">
        <v>25</v>
      </c>
      <c r="E129" t="s">
        <v>457</v>
      </c>
      <c r="F129" t="s">
        <v>14</v>
      </c>
      <c r="G129" s="1">
        <v>969974.16</v>
      </c>
      <c r="H129" t="s">
        <v>27</v>
      </c>
      <c r="I129" t="s">
        <v>27</v>
      </c>
      <c r="J129" t="s">
        <v>458</v>
      </c>
    </row>
    <row r="130" spans="1:10">
      <c r="A130">
        <v>130042</v>
      </c>
      <c r="B130" t="s">
        <v>446</v>
      </c>
      <c r="C130" t="s">
        <v>459</v>
      </c>
      <c r="D130" t="s">
        <v>25</v>
      </c>
      <c r="E130" t="s">
        <v>460</v>
      </c>
      <c r="F130" t="s">
        <v>14</v>
      </c>
      <c r="G130" s="1">
        <v>965736.06</v>
      </c>
      <c r="H130" t="s">
        <v>27</v>
      </c>
      <c r="I130" t="s">
        <v>27</v>
      </c>
      <c r="J130" t="s">
        <v>461</v>
      </c>
    </row>
    <row r="131" spans="1:10">
      <c r="A131">
        <v>104423</v>
      </c>
      <c r="B131" t="s">
        <v>446</v>
      </c>
      <c r="C131" t="s">
        <v>462</v>
      </c>
      <c r="D131" t="s">
        <v>25</v>
      </c>
      <c r="E131" t="s">
        <v>463</v>
      </c>
      <c r="F131" t="s">
        <v>14</v>
      </c>
      <c r="G131" s="1">
        <v>948186</v>
      </c>
      <c r="H131" t="s">
        <v>27</v>
      </c>
      <c r="I131" t="s">
        <v>107</v>
      </c>
      <c r="J131" t="s">
        <v>464</v>
      </c>
    </row>
    <row r="132" spans="1:10">
      <c r="A132">
        <v>113592</v>
      </c>
      <c r="B132" t="s">
        <v>446</v>
      </c>
      <c r="C132" t="s">
        <v>465</v>
      </c>
      <c r="D132" t="s">
        <v>124</v>
      </c>
      <c r="E132" t="s">
        <v>466</v>
      </c>
      <c r="F132" t="s">
        <v>14</v>
      </c>
      <c r="G132" s="1">
        <v>940083.42</v>
      </c>
      <c r="H132" t="s">
        <v>126</v>
      </c>
      <c r="I132" t="s">
        <v>156</v>
      </c>
      <c r="J132" t="s">
        <v>467</v>
      </c>
    </row>
    <row r="133" spans="1:10">
      <c r="A133" t="s">
        <v>468</v>
      </c>
      <c r="B133" t="s">
        <v>446</v>
      </c>
      <c r="C133" t="s">
        <v>469</v>
      </c>
      <c r="D133" t="s">
        <v>12</v>
      </c>
      <c r="E133" t="s">
        <v>470</v>
      </c>
      <c r="F133" t="s">
        <v>168</v>
      </c>
      <c r="G133" s="1">
        <v>922489.08</v>
      </c>
      <c r="H133" t="s">
        <v>126</v>
      </c>
      <c r="I133" t="s">
        <v>471</v>
      </c>
      <c r="J133" t="s">
        <v>472</v>
      </c>
    </row>
    <row r="134" spans="1:10">
      <c r="A134">
        <v>145411</v>
      </c>
      <c r="B134" t="s">
        <v>446</v>
      </c>
      <c r="C134" t="s">
        <v>473</v>
      </c>
      <c r="D134" t="s">
        <v>12</v>
      </c>
      <c r="E134" t="s">
        <v>474</v>
      </c>
      <c r="F134" t="s">
        <v>14</v>
      </c>
      <c r="G134" s="1">
        <v>919265.91</v>
      </c>
      <c r="H134" t="s">
        <v>85</v>
      </c>
      <c r="I134" t="s">
        <v>475</v>
      </c>
      <c r="J134" t="s">
        <v>476</v>
      </c>
    </row>
    <row r="135" spans="1:10">
      <c r="A135">
        <v>147416</v>
      </c>
      <c r="B135" t="s">
        <v>446</v>
      </c>
      <c r="C135" t="s">
        <v>477</v>
      </c>
      <c r="D135" t="s">
        <v>12</v>
      </c>
      <c r="E135" t="s">
        <v>478</v>
      </c>
      <c r="F135" t="s">
        <v>14</v>
      </c>
      <c r="G135" s="1">
        <v>919135.89</v>
      </c>
      <c r="H135" t="s">
        <v>85</v>
      </c>
      <c r="I135" t="s">
        <v>479</v>
      </c>
      <c r="J135" t="s">
        <v>480</v>
      </c>
    </row>
    <row r="136" spans="1:10">
      <c r="A136">
        <v>103229</v>
      </c>
      <c r="B136" t="s">
        <v>446</v>
      </c>
      <c r="C136" t="s">
        <v>481</v>
      </c>
      <c r="D136" t="s">
        <v>124</v>
      </c>
      <c r="E136" t="s">
        <v>482</v>
      </c>
      <c r="F136" t="s">
        <v>14</v>
      </c>
      <c r="G136" s="1">
        <v>903325.94</v>
      </c>
      <c r="H136" t="s">
        <v>126</v>
      </c>
      <c r="I136" t="s">
        <v>156</v>
      </c>
      <c r="J136" t="s">
        <v>180</v>
      </c>
    </row>
    <row r="137" spans="1:10">
      <c r="A137">
        <v>108895</v>
      </c>
      <c r="B137" t="s">
        <v>446</v>
      </c>
      <c r="C137" t="s">
        <v>483</v>
      </c>
      <c r="D137" t="s">
        <v>124</v>
      </c>
      <c r="E137" t="s">
        <v>484</v>
      </c>
      <c r="F137" t="s">
        <v>14</v>
      </c>
      <c r="G137" s="1">
        <v>898733.1</v>
      </c>
      <c r="H137" t="s">
        <v>126</v>
      </c>
      <c r="I137" t="s">
        <v>485</v>
      </c>
      <c r="J137" t="s">
        <v>486</v>
      </c>
    </row>
    <row r="138" spans="1:10">
      <c r="A138">
        <v>118662</v>
      </c>
      <c r="B138" t="s">
        <v>446</v>
      </c>
      <c r="C138" t="s">
        <v>487</v>
      </c>
      <c r="D138" t="s">
        <v>124</v>
      </c>
      <c r="E138" t="s">
        <v>488</v>
      </c>
      <c r="F138" t="s">
        <v>14</v>
      </c>
      <c r="G138" s="1">
        <v>893729.56</v>
      </c>
      <c r="H138" t="s">
        <v>126</v>
      </c>
      <c r="I138" t="s">
        <v>156</v>
      </c>
      <c r="J138" t="s">
        <v>180</v>
      </c>
    </row>
    <row r="139" spans="1:10">
      <c r="A139">
        <v>131582</v>
      </c>
      <c r="B139" t="s">
        <v>446</v>
      </c>
      <c r="C139" t="s">
        <v>489</v>
      </c>
      <c r="D139" t="s">
        <v>12</v>
      </c>
      <c r="E139" t="s">
        <v>490</v>
      </c>
      <c r="F139" t="s">
        <v>14</v>
      </c>
      <c r="G139" s="1">
        <v>871716.32</v>
      </c>
      <c r="H139" t="s">
        <v>56</v>
      </c>
      <c r="I139" t="s">
        <v>491</v>
      </c>
      <c r="J139" t="s">
        <v>492</v>
      </c>
    </row>
    <row r="140" spans="1:10">
      <c r="A140">
        <v>107576</v>
      </c>
      <c r="B140" t="s">
        <v>446</v>
      </c>
      <c r="C140" t="s">
        <v>493</v>
      </c>
      <c r="D140" t="s">
        <v>124</v>
      </c>
      <c r="E140" t="s">
        <v>494</v>
      </c>
      <c r="F140" t="s">
        <v>14</v>
      </c>
      <c r="G140" s="1">
        <v>870522.44</v>
      </c>
      <c r="H140" t="s">
        <v>126</v>
      </c>
      <c r="I140" t="s">
        <v>156</v>
      </c>
      <c r="J140" t="s">
        <v>180</v>
      </c>
    </row>
    <row r="141" spans="1:10">
      <c r="A141">
        <v>113877</v>
      </c>
      <c r="B141" t="s">
        <v>446</v>
      </c>
      <c r="C141" t="s">
        <v>495</v>
      </c>
      <c r="D141" t="s">
        <v>124</v>
      </c>
      <c r="E141" t="s">
        <v>496</v>
      </c>
      <c r="F141" t="s">
        <v>14</v>
      </c>
      <c r="G141" s="1">
        <v>864379.67</v>
      </c>
      <c r="H141" t="s">
        <v>126</v>
      </c>
      <c r="I141" t="s">
        <v>156</v>
      </c>
      <c r="J141" t="s">
        <v>366</v>
      </c>
    </row>
    <row r="142" spans="1:10">
      <c r="A142">
        <v>126593</v>
      </c>
      <c r="B142" t="s">
        <v>446</v>
      </c>
      <c r="C142" t="s">
        <v>497</v>
      </c>
      <c r="D142" t="s">
        <v>12</v>
      </c>
      <c r="E142" t="s">
        <v>498</v>
      </c>
      <c r="F142" t="s">
        <v>14</v>
      </c>
      <c r="G142" s="1">
        <v>862739.67</v>
      </c>
      <c r="H142" t="s">
        <v>499</v>
      </c>
      <c r="I142" t="s">
        <v>500</v>
      </c>
      <c r="J142" t="s">
        <v>501</v>
      </c>
    </row>
    <row r="143" spans="1:10">
      <c r="A143">
        <v>103418</v>
      </c>
      <c r="B143" t="s">
        <v>446</v>
      </c>
      <c r="C143" t="s">
        <v>502</v>
      </c>
      <c r="D143" t="s">
        <v>124</v>
      </c>
      <c r="E143" t="s">
        <v>503</v>
      </c>
      <c r="F143" t="s">
        <v>14</v>
      </c>
      <c r="G143" s="1">
        <v>862555.84</v>
      </c>
      <c r="H143" t="s">
        <v>504</v>
      </c>
      <c r="I143" t="s">
        <v>505</v>
      </c>
      <c r="J143" t="s">
        <v>506</v>
      </c>
    </row>
    <row r="144" spans="1:10">
      <c r="A144">
        <v>141739</v>
      </c>
      <c r="B144" t="s">
        <v>446</v>
      </c>
      <c r="C144" t="s">
        <v>507</v>
      </c>
      <c r="D144" t="s">
        <v>124</v>
      </c>
      <c r="E144" t="s">
        <v>508</v>
      </c>
      <c r="F144" t="s">
        <v>14</v>
      </c>
      <c r="G144" s="1">
        <v>860922.03</v>
      </c>
      <c r="H144" t="s">
        <v>126</v>
      </c>
      <c r="I144" t="s">
        <v>156</v>
      </c>
      <c r="J144" t="s">
        <v>452</v>
      </c>
    </row>
    <row r="145" spans="1:10">
      <c r="A145">
        <v>147153</v>
      </c>
      <c r="B145" t="s">
        <v>446</v>
      </c>
      <c r="C145" t="s">
        <v>509</v>
      </c>
      <c r="D145" t="s">
        <v>124</v>
      </c>
      <c r="E145" t="s">
        <v>510</v>
      </c>
      <c r="F145" t="s">
        <v>14</v>
      </c>
      <c r="G145" s="1">
        <v>858347.43</v>
      </c>
      <c r="H145" t="s">
        <v>126</v>
      </c>
      <c r="I145" t="s">
        <v>156</v>
      </c>
      <c r="J145" t="s">
        <v>452</v>
      </c>
    </row>
    <row r="146" spans="1:10">
      <c r="A146">
        <v>103047</v>
      </c>
      <c r="B146" t="s">
        <v>446</v>
      </c>
      <c r="C146" t="s">
        <v>511</v>
      </c>
      <c r="D146" t="s">
        <v>512</v>
      </c>
      <c r="E146" t="s">
        <v>513</v>
      </c>
      <c r="F146" t="s">
        <v>14</v>
      </c>
      <c r="G146" s="1">
        <v>852513.17</v>
      </c>
      <c r="H146" t="s">
        <v>514</v>
      </c>
      <c r="I146" t="s">
        <v>515</v>
      </c>
      <c r="J146" t="s">
        <v>516</v>
      </c>
    </row>
    <row r="147" spans="1:10">
      <c r="A147">
        <v>150425</v>
      </c>
      <c r="B147" t="s">
        <v>446</v>
      </c>
      <c r="C147" t="s">
        <v>517</v>
      </c>
      <c r="D147" t="s">
        <v>12</v>
      </c>
      <c r="E147" t="s">
        <v>518</v>
      </c>
      <c r="F147" t="s">
        <v>168</v>
      </c>
      <c r="G147" s="1">
        <v>850997.96</v>
      </c>
      <c r="H147" t="s">
        <v>56</v>
      </c>
      <c r="I147" t="s">
        <v>65</v>
      </c>
      <c r="J147" t="s">
        <v>519</v>
      </c>
    </row>
    <row r="148" spans="1:10">
      <c r="A148">
        <v>124988</v>
      </c>
      <c r="B148" t="s">
        <v>446</v>
      </c>
      <c r="C148" t="s">
        <v>520</v>
      </c>
      <c r="D148" t="s">
        <v>12</v>
      </c>
      <c r="E148" t="s">
        <v>521</v>
      </c>
      <c r="F148" t="s">
        <v>14</v>
      </c>
      <c r="G148" s="1">
        <v>843435.5</v>
      </c>
      <c r="H148" t="s">
        <v>85</v>
      </c>
      <c r="I148" t="s">
        <v>522</v>
      </c>
      <c r="J148" t="s">
        <v>523</v>
      </c>
    </row>
    <row r="149" spans="1:10">
      <c r="A149">
        <v>129929</v>
      </c>
      <c r="B149" t="s">
        <v>446</v>
      </c>
      <c r="C149" t="s">
        <v>524</v>
      </c>
      <c r="D149" t="s">
        <v>124</v>
      </c>
      <c r="E149" t="s">
        <v>525</v>
      </c>
      <c r="F149" t="s">
        <v>14</v>
      </c>
      <c r="G149" s="1">
        <v>831240</v>
      </c>
      <c r="H149" t="s">
        <v>126</v>
      </c>
      <c r="I149" t="s">
        <v>156</v>
      </c>
      <c r="J149" t="s">
        <v>452</v>
      </c>
    </row>
    <row r="150" spans="1:10">
      <c r="A150">
        <v>126759</v>
      </c>
      <c r="B150" t="s">
        <v>446</v>
      </c>
      <c r="C150" t="s">
        <v>526</v>
      </c>
      <c r="D150" t="s">
        <v>124</v>
      </c>
      <c r="E150" t="s">
        <v>355</v>
      </c>
      <c r="F150" t="s">
        <v>14</v>
      </c>
      <c r="G150" s="1">
        <v>829256.96</v>
      </c>
      <c r="H150" t="s">
        <v>126</v>
      </c>
      <c r="I150" t="s">
        <v>156</v>
      </c>
      <c r="J150" t="s">
        <v>180</v>
      </c>
    </row>
    <row r="151" spans="1:10">
      <c r="A151">
        <v>147932</v>
      </c>
      <c r="B151" t="s">
        <v>446</v>
      </c>
      <c r="C151" t="s">
        <v>527</v>
      </c>
      <c r="D151" t="s">
        <v>124</v>
      </c>
      <c r="E151" t="s">
        <v>528</v>
      </c>
      <c r="F151" t="s">
        <v>14</v>
      </c>
      <c r="G151" s="1">
        <v>820340.91</v>
      </c>
      <c r="H151" t="s">
        <v>126</v>
      </c>
      <c r="I151" t="s">
        <v>156</v>
      </c>
      <c r="J151" t="s">
        <v>529</v>
      </c>
    </row>
    <row r="152" spans="1:10">
      <c r="A152">
        <v>150385</v>
      </c>
      <c r="B152" t="s">
        <v>446</v>
      </c>
      <c r="C152" t="s">
        <v>530</v>
      </c>
      <c r="D152" t="s">
        <v>25</v>
      </c>
      <c r="E152" t="s">
        <v>531</v>
      </c>
      <c r="F152" t="s">
        <v>14</v>
      </c>
      <c r="G152" s="1">
        <v>818725</v>
      </c>
      <c r="H152" t="s">
        <v>27</v>
      </c>
      <c r="I152" t="s">
        <v>136</v>
      </c>
      <c r="J152" t="s">
        <v>532</v>
      </c>
    </row>
    <row r="153" spans="1:10">
      <c r="A153">
        <v>145091</v>
      </c>
      <c r="B153" t="s">
        <v>446</v>
      </c>
      <c r="C153" t="s">
        <v>533</v>
      </c>
      <c r="D153" t="s">
        <v>124</v>
      </c>
      <c r="E153" t="s">
        <v>534</v>
      </c>
      <c r="F153" t="s">
        <v>14</v>
      </c>
      <c r="G153" s="1">
        <v>806588.05</v>
      </c>
      <c r="H153" t="s">
        <v>126</v>
      </c>
      <c r="I153" t="s">
        <v>156</v>
      </c>
      <c r="J153" t="s">
        <v>187</v>
      </c>
    </row>
    <row r="154" spans="1:10">
      <c r="A154">
        <v>115253</v>
      </c>
      <c r="B154" t="s">
        <v>446</v>
      </c>
      <c r="C154" t="s">
        <v>535</v>
      </c>
      <c r="D154" t="s">
        <v>124</v>
      </c>
      <c r="E154" t="s">
        <v>536</v>
      </c>
      <c r="F154" t="s">
        <v>14</v>
      </c>
      <c r="G154" s="1">
        <v>805910.17</v>
      </c>
      <c r="H154" t="s">
        <v>126</v>
      </c>
      <c r="I154" t="s">
        <v>156</v>
      </c>
      <c r="J154" t="s">
        <v>180</v>
      </c>
    </row>
    <row r="155" spans="1:10">
      <c r="A155">
        <v>102342</v>
      </c>
      <c r="B155" t="s">
        <v>446</v>
      </c>
      <c r="C155" t="s">
        <v>537</v>
      </c>
      <c r="D155" t="s">
        <v>25</v>
      </c>
      <c r="E155" t="s">
        <v>538</v>
      </c>
      <c r="F155" t="s">
        <v>14</v>
      </c>
      <c r="G155" s="1">
        <v>805554</v>
      </c>
      <c r="H155" t="s">
        <v>27</v>
      </c>
      <c r="I155" t="s">
        <v>136</v>
      </c>
      <c r="J155" t="s">
        <v>539</v>
      </c>
    </row>
    <row r="156" spans="1:10">
      <c r="A156">
        <v>128947</v>
      </c>
      <c r="B156" t="s">
        <v>446</v>
      </c>
      <c r="C156" t="s">
        <v>540</v>
      </c>
      <c r="D156" t="s">
        <v>12</v>
      </c>
      <c r="E156" t="s">
        <v>541</v>
      </c>
      <c r="F156" t="s">
        <v>14</v>
      </c>
      <c r="G156" s="1">
        <v>802499.47</v>
      </c>
      <c r="H156" t="s">
        <v>437</v>
      </c>
      <c r="I156" t="s">
        <v>542</v>
      </c>
      <c r="J156" t="s">
        <v>543</v>
      </c>
    </row>
    <row r="157" spans="1:10">
      <c r="A157">
        <v>151098</v>
      </c>
      <c r="B157" t="s">
        <v>446</v>
      </c>
      <c r="C157" t="s">
        <v>544</v>
      </c>
      <c r="D157" t="s">
        <v>124</v>
      </c>
      <c r="E157" t="s">
        <v>545</v>
      </c>
      <c r="F157" t="s">
        <v>14</v>
      </c>
      <c r="G157" s="1">
        <v>792118.34</v>
      </c>
      <c r="H157" t="s">
        <v>126</v>
      </c>
      <c r="I157" t="s">
        <v>156</v>
      </c>
      <c r="J157" t="s">
        <v>546</v>
      </c>
    </row>
    <row r="158" spans="1:10">
      <c r="A158">
        <v>100538</v>
      </c>
      <c r="B158" t="s">
        <v>446</v>
      </c>
      <c r="C158" t="s">
        <v>547</v>
      </c>
      <c r="D158" t="s">
        <v>12</v>
      </c>
      <c r="E158" t="s">
        <v>548</v>
      </c>
      <c r="F158" t="s">
        <v>14</v>
      </c>
      <c r="G158" s="1">
        <v>775947.45</v>
      </c>
      <c r="H158" t="s">
        <v>56</v>
      </c>
      <c r="I158" t="s">
        <v>549</v>
      </c>
      <c r="J158" t="s">
        <v>550</v>
      </c>
    </row>
    <row r="159" spans="1:10">
      <c r="A159">
        <v>124778</v>
      </c>
      <c r="B159" t="s">
        <v>446</v>
      </c>
      <c r="C159" t="s">
        <v>551</v>
      </c>
      <c r="D159" t="s">
        <v>12</v>
      </c>
      <c r="E159" t="s">
        <v>552</v>
      </c>
      <c r="F159" t="s">
        <v>14</v>
      </c>
      <c r="G159" s="1">
        <v>772170.1</v>
      </c>
      <c r="H159" t="s">
        <v>553</v>
      </c>
      <c r="I159" t="s">
        <v>554</v>
      </c>
      <c r="J159" t="s">
        <v>555</v>
      </c>
    </row>
    <row r="160" spans="1:10">
      <c r="A160">
        <v>147355</v>
      </c>
      <c r="B160" t="s">
        <v>446</v>
      </c>
      <c r="C160" t="s">
        <v>556</v>
      </c>
      <c r="D160" t="s">
        <v>124</v>
      </c>
      <c r="E160" t="s">
        <v>557</v>
      </c>
      <c r="F160" t="s">
        <v>14</v>
      </c>
      <c r="G160" s="1">
        <v>767773</v>
      </c>
      <c r="H160" t="s">
        <v>126</v>
      </c>
      <c r="I160" t="s">
        <v>156</v>
      </c>
      <c r="J160" t="s">
        <v>180</v>
      </c>
    </row>
    <row r="161" spans="1:10">
      <c r="A161">
        <v>143970</v>
      </c>
      <c r="B161" t="s">
        <v>446</v>
      </c>
      <c r="C161" t="s">
        <v>558</v>
      </c>
      <c r="D161" t="s">
        <v>124</v>
      </c>
      <c r="E161" t="s">
        <v>559</v>
      </c>
      <c r="F161" t="s">
        <v>168</v>
      </c>
      <c r="G161" s="1">
        <v>765019.18</v>
      </c>
      <c r="H161" t="s">
        <v>126</v>
      </c>
      <c r="I161" t="s">
        <v>485</v>
      </c>
      <c r="J161" t="s">
        <v>560</v>
      </c>
    </row>
    <row r="162" spans="1:10">
      <c r="A162">
        <v>142693</v>
      </c>
      <c r="B162" t="s">
        <v>446</v>
      </c>
      <c r="C162" t="s">
        <v>561</v>
      </c>
      <c r="D162" t="s">
        <v>124</v>
      </c>
      <c r="E162" t="s">
        <v>562</v>
      </c>
      <c r="F162" t="s">
        <v>14</v>
      </c>
      <c r="G162" s="1">
        <v>756920.93</v>
      </c>
      <c r="H162" t="s">
        <v>126</v>
      </c>
      <c r="I162" t="s">
        <v>156</v>
      </c>
      <c r="J162" t="s">
        <v>180</v>
      </c>
    </row>
    <row r="163" spans="1:10">
      <c r="A163" t="s">
        <v>563</v>
      </c>
      <c r="B163" t="s">
        <v>446</v>
      </c>
      <c r="C163" t="s">
        <v>564</v>
      </c>
      <c r="D163" t="s">
        <v>124</v>
      </c>
      <c r="E163" t="s">
        <v>565</v>
      </c>
      <c r="F163" t="s">
        <v>168</v>
      </c>
      <c r="G163" s="1">
        <v>754877.15</v>
      </c>
      <c r="H163" t="s">
        <v>126</v>
      </c>
      <c r="I163" t="s">
        <v>317</v>
      </c>
      <c r="J163" t="s">
        <v>566</v>
      </c>
    </row>
    <row r="164" spans="1:10">
      <c r="A164" t="s">
        <v>567</v>
      </c>
      <c r="B164" t="s">
        <v>446</v>
      </c>
      <c r="C164" t="s">
        <v>568</v>
      </c>
      <c r="D164" t="s">
        <v>124</v>
      </c>
      <c r="E164" t="s">
        <v>569</v>
      </c>
      <c r="F164" t="s">
        <v>168</v>
      </c>
      <c r="G164" s="1">
        <v>751421.85</v>
      </c>
      <c r="H164" t="s">
        <v>126</v>
      </c>
      <c r="I164" t="s">
        <v>156</v>
      </c>
      <c r="J164" t="s">
        <v>570</v>
      </c>
    </row>
    <row r="165" spans="1:10">
      <c r="A165">
        <v>115419</v>
      </c>
      <c r="B165" t="s">
        <v>446</v>
      </c>
      <c r="C165" t="s">
        <v>571</v>
      </c>
      <c r="D165" t="s">
        <v>12</v>
      </c>
      <c r="E165" t="s">
        <v>572</v>
      </c>
      <c r="F165" t="s">
        <v>14</v>
      </c>
      <c r="G165" s="1">
        <v>749398</v>
      </c>
      <c r="H165" t="s">
        <v>437</v>
      </c>
      <c r="I165" t="s">
        <v>573</v>
      </c>
      <c r="J165" t="s">
        <v>574</v>
      </c>
    </row>
    <row r="166" spans="1:10">
      <c r="A166">
        <v>125166</v>
      </c>
      <c r="B166" t="s">
        <v>446</v>
      </c>
      <c r="C166" t="s">
        <v>575</v>
      </c>
      <c r="D166" t="s">
        <v>89</v>
      </c>
      <c r="E166" t="s">
        <v>576</v>
      </c>
      <c r="F166" t="s">
        <v>14</v>
      </c>
      <c r="G166" s="1">
        <v>743813.29</v>
      </c>
      <c r="H166" t="s">
        <v>72</v>
      </c>
      <c r="I166" t="s">
        <v>577</v>
      </c>
      <c r="J166" t="s">
        <v>578</v>
      </c>
    </row>
    <row r="167" spans="1:10">
      <c r="A167">
        <v>127357</v>
      </c>
      <c r="B167" t="s">
        <v>446</v>
      </c>
      <c r="C167" t="s">
        <v>579</v>
      </c>
      <c r="D167" t="s">
        <v>12</v>
      </c>
      <c r="E167" t="s">
        <v>580</v>
      </c>
      <c r="F167" t="s">
        <v>14</v>
      </c>
      <c r="G167" s="1">
        <v>742260.38</v>
      </c>
      <c r="H167" t="s">
        <v>15</v>
      </c>
      <c r="I167" t="s">
        <v>581</v>
      </c>
      <c r="J167" t="s">
        <v>582</v>
      </c>
    </row>
    <row r="168" spans="1:10">
      <c r="A168">
        <v>132077</v>
      </c>
      <c r="B168" t="s">
        <v>446</v>
      </c>
      <c r="C168" t="s">
        <v>583</v>
      </c>
      <c r="D168" t="s">
        <v>124</v>
      </c>
      <c r="E168" t="s">
        <v>584</v>
      </c>
      <c r="F168" t="s">
        <v>14</v>
      </c>
      <c r="G168" s="1">
        <v>741625.92</v>
      </c>
      <c r="H168" t="s">
        <v>126</v>
      </c>
      <c r="I168" t="s">
        <v>156</v>
      </c>
      <c r="J168" t="s">
        <v>585</v>
      </c>
    </row>
    <row r="169" spans="1:10">
      <c r="A169">
        <v>132293</v>
      </c>
      <c r="B169" t="s">
        <v>446</v>
      </c>
      <c r="C169" t="s">
        <v>586</v>
      </c>
      <c r="D169" t="s">
        <v>124</v>
      </c>
      <c r="E169" t="s">
        <v>314</v>
      </c>
      <c r="F169" t="s">
        <v>14</v>
      </c>
      <c r="G169" s="1">
        <v>736646.23</v>
      </c>
      <c r="H169" t="s">
        <v>126</v>
      </c>
      <c r="I169" t="s">
        <v>156</v>
      </c>
      <c r="J169" t="s">
        <v>180</v>
      </c>
    </row>
    <row r="170" spans="1:10">
      <c r="A170">
        <v>105934</v>
      </c>
      <c r="B170" t="s">
        <v>446</v>
      </c>
      <c r="C170" t="s">
        <v>587</v>
      </c>
      <c r="D170" t="s">
        <v>512</v>
      </c>
      <c r="E170" t="s">
        <v>588</v>
      </c>
      <c r="F170" t="s">
        <v>14</v>
      </c>
      <c r="G170" s="1">
        <v>731030.66</v>
      </c>
      <c r="H170" t="s">
        <v>27</v>
      </c>
      <c r="I170" t="s">
        <v>589</v>
      </c>
      <c r="J170" t="s">
        <v>590</v>
      </c>
    </row>
    <row r="171" spans="1:10">
      <c r="A171">
        <v>142157</v>
      </c>
      <c r="B171" t="s">
        <v>446</v>
      </c>
      <c r="C171" t="s">
        <v>591</v>
      </c>
      <c r="D171" t="s">
        <v>124</v>
      </c>
      <c r="E171" t="s">
        <v>592</v>
      </c>
      <c r="F171" t="s">
        <v>14</v>
      </c>
      <c r="G171" s="1">
        <v>727990.13</v>
      </c>
      <c r="H171" t="s">
        <v>126</v>
      </c>
      <c r="I171" t="s">
        <v>156</v>
      </c>
      <c r="J171" t="s">
        <v>180</v>
      </c>
    </row>
    <row r="172" spans="1:10">
      <c r="A172">
        <v>120299</v>
      </c>
      <c r="B172" t="s">
        <v>446</v>
      </c>
      <c r="C172" t="s">
        <v>593</v>
      </c>
      <c r="D172" t="s">
        <v>124</v>
      </c>
      <c r="E172" t="s">
        <v>355</v>
      </c>
      <c r="F172" t="s">
        <v>14</v>
      </c>
      <c r="G172" s="1">
        <v>727935.02</v>
      </c>
      <c r="H172" t="s">
        <v>126</v>
      </c>
      <c r="I172" t="s">
        <v>156</v>
      </c>
      <c r="J172" t="s">
        <v>180</v>
      </c>
    </row>
    <row r="173" spans="1:10">
      <c r="A173">
        <v>113342</v>
      </c>
      <c r="B173" t="s">
        <v>446</v>
      </c>
      <c r="C173" t="s">
        <v>594</v>
      </c>
      <c r="D173" t="s">
        <v>124</v>
      </c>
      <c r="E173" t="s">
        <v>595</v>
      </c>
      <c r="F173" t="s">
        <v>14</v>
      </c>
      <c r="G173" s="1">
        <v>726084.77</v>
      </c>
      <c r="H173" t="s">
        <v>126</v>
      </c>
      <c r="I173" t="s">
        <v>156</v>
      </c>
      <c r="J173" t="s">
        <v>157</v>
      </c>
    </row>
    <row r="174" spans="1:10">
      <c r="A174">
        <v>123090</v>
      </c>
      <c r="B174" t="s">
        <v>446</v>
      </c>
      <c r="C174" t="s">
        <v>596</v>
      </c>
      <c r="D174" t="s">
        <v>124</v>
      </c>
      <c r="E174" t="s">
        <v>597</v>
      </c>
      <c r="F174" t="s">
        <v>14</v>
      </c>
      <c r="G174" s="1">
        <v>722774.2</v>
      </c>
      <c r="H174" t="s">
        <v>126</v>
      </c>
      <c r="I174" t="s">
        <v>598</v>
      </c>
      <c r="J174" t="s">
        <v>599</v>
      </c>
    </row>
    <row r="175" spans="1:10">
      <c r="A175">
        <v>120381</v>
      </c>
      <c r="B175" t="s">
        <v>446</v>
      </c>
      <c r="C175" t="s">
        <v>600</v>
      </c>
      <c r="D175" t="s">
        <v>124</v>
      </c>
      <c r="E175" t="s">
        <v>601</v>
      </c>
      <c r="F175" t="s">
        <v>14</v>
      </c>
      <c r="G175" s="1">
        <v>717324.83</v>
      </c>
      <c r="H175" t="s">
        <v>126</v>
      </c>
      <c r="I175" t="s">
        <v>156</v>
      </c>
      <c r="J175" t="s">
        <v>180</v>
      </c>
    </row>
    <row r="176" spans="1:10">
      <c r="A176">
        <v>111430</v>
      </c>
      <c r="B176" t="s">
        <v>446</v>
      </c>
      <c r="C176" t="s">
        <v>602</v>
      </c>
      <c r="D176" t="s">
        <v>12</v>
      </c>
      <c r="E176" t="s">
        <v>603</v>
      </c>
      <c r="F176" t="s">
        <v>14</v>
      </c>
      <c r="G176" s="1">
        <v>709450.04</v>
      </c>
      <c r="H176" t="s">
        <v>437</v>
      </c>
      <c r="I176" t="s">
        <v>604</v>
      </c>
      <c r="J176" t="s">
        <v>605</v>
      </c>
    </row>
    <row r="177" spans="1:10">
      <c r="A177">
        <v>129897</v>
      </c>
      <c r="B177" t="s">
        <v>446</v>
      </c>
      <c r="C177" t="s">
        <v>606</v>
      </c>
      <c r="D177" t="s">
        <v>124</v>
      </c>
      <c r="E177" t="s">
        <v>355</v>
      </c>
      <c r="F177" t="s">
        <v>14</v>
      </c>
      <c r="G177" s="1">
        <v>707132.84</v>
      </c>
      <c r="H177" t="s">
        <v>126</v>
      </c>
      <c r="I177" t="s">
        <v>156</v>
      </c>
      <c r="J177" t="s">
        <v>180</v>
      </c>
    </row>
    <row r="178" spans="1:10">
      <c r="A178">
        <v>141193</v>
      </c>
      <c r="B178" t="s">
        <v>446</v>
      </c>
      <c r="C178" t="s">
        <v>607</v>
      </c>
      <c r="D178" t="s">
        <v>12</v>
      </c>
      <c r="E178" t="s">
        <v>608</v>
      </c>
      <c r="F178" t="s">
        <v>14</v>
      </c>
      <c r="G178" s="1">
        <v>705789.57</v>
      </c>
      <c r="H178" t="s">
        <v>85</v>
      </c>
      <c r="I178" t="s">
        <v>609</v>
      </c>
      <c r="J178" t="s">
        <v>610</v>
      </c>
    </row>
    <row r="179" spans="1:10">
      <c r="A179">
        <v>145335</v>
      </c>
      <c r="B179" t="s">
        <v>446</v>
      </c>
      <c r="C179" t="s">
        <v>611</v>
      </c>
      <c r="D179" t="s">
        <v>12</v>
      </c>
      <c r="E179" t="s">
        <v>612</v>
      </c>
      <c r="F179" t="s">
        <v>14</v>
      </c>
      <c r="G179" s="1">
        <v>696386.61</v>
      </c>
      <c r="H179" t="s">
        <v>95</v>
      </c>
      <c r="I179" t="s">
        <v>613</v>
      </c>
      <c r="J179" t="s">
        <v>614</v>
      </c>
    </row>
    <row r="180" spans="1:10">
      <c r="A180">
        <v>126153</v>
      </c>
      <c r="B180" t="s">
        <v>446</v>
      </c>
      <c r="C180" t="s">
        <v>615</v>
      </c>
      <c r="D180" t="s">
        <v>124</v>
      </c>
      <c r="E180" t="s">
        <v>616</v>
      </c>
      <c r="F180" t="s">
        <v>14</v>
      </c>
      <c r="G180" s="1">
        <v>690883.49</v>
      </c>
      <c r="H180" t="s">
        <v>126</v>
      </c>
      <c r="I180" t="s">
        <v>156</v>
      </c>
      <c r="J180" t="s">
        <v>187</v>
      </c>
    </row>
    <row r="181" spans="1:10">
      <c r="A181">
        <v>127448</v>
      </c>
      <c r="B181" t="s">
        <v>446</v>
      </c>
      <c r="C181" t="s">
        <v>617</v>
      </c>
      <c r="D181" t="s">
        <v>124</v>
      </c>
      <c r="E181" t="s">
        <v>618</v>
      </c>
      <c r="F181" t="s">
        <v>14</v>
      </c>
      <c r="G181" s="1">
        <v>688317.92</v>
      </c>
      <c r="H181" t="s">
        <v>126</v>
      </c>
      <c r="I181" t="s">
        <v>156</v>
      </c>
      <c r="J181" t="s">
        <v>180</v>
      </c>
    </row>
    <row r="182" spans="1:10">
      <c r="A182" t="s">
        <v>619</v>
      </c>
      <c r="B182" t="s">
        <v>446</v>
      </c>
      <c r="C182" t="s">
        <v>620</v>
      </c>
      <c r="D182" t="s">
        <v>124</v>
      </c>
      <c r="E182" t="s">
        <v>621</v>
      </c>
      <c r="F182" t="s">
        <v>168</v>
      </c>
      <c r="G182" s="1">
        <v>682975.51</v>
      </c>
      <c r="H182" t="s">
        <v>126</v>
      </c>
      <c r="I182" t="s">
        <v>156</v>
      </c>
      <c r="J182" t="s">
        <v>180</v>
      </c>
    </row>
    <row r="183" spans="1:10">
      <c r="A183">
        <v>100133</v>
      </c>
      <c r="B183" t="s">
        <v>446</v>
      </c>
      <c r="C183" t="s">
        <v>622</v>
      </c>
      <c r="D183" t="s">
        <v>12</v>
      </c>
      <c r="E183" t="s">
        <v>623</v>
      </c>
      <c r="F183" t="s">
        <v>14</v>
      </c>
      <c r="G183" s="1">
        <v>681424.55</v>
      </c>
      <c r="H183" t="s">
        <v>232</v>
      </c>
      <c r="I183" t="s">
        <v>624</v>
      </c>
      <c r="J183" t="s">
        <v>625</v>
      </c>
    </row>
    <row r="184" spans="1:10">
      <c r="A184">
        <v>116022</v>
      </c>
      <c r="B184" t="s">
        <v>446</v>
      </c>
      <c r="C184" t="s">
        <v>626</v>
      </c>
      <c r="D184" t="s">
        <v>124</v>
      </c>
      <c r="E184" t="s">
        <v>627</v>
      </c>
      <c r="F184" t="s">
        <v>14</v>
      </c>
      <c r="G184" s="1">
        <v>678722.49</v>
      </c>
      <c r="H184" t="s">
        <v>126</v>
      </c>
      <c r="I184" t="s">
        <v>156</v>
      </c>
      <c r="J184" t="s">
        <v>628</v>
      </c>
    </row>
    <row r="185" spans="1:10">
      <c r="A185">
        <v>116096</v>
      </c>
      <c r="B185" t="s">
        <v>446</v>
      </c>
      <c r="C185" t="s">
        <v>629</v>
      </c>
      <c r="D185" t="s">
        <v>25</v>
      </c>
      <c r="E185" t="s">
        <v>630</v>
      </c>
      <c r="F185" t="s">
        <v>14</v>
      </c>
      <c r="G185" s="1">
        <v>676156.76</v>
      </c>
      <c r="H185" t="s">
        <v>27</v>
      </c>
      <c r="I185" t="s">
        <v>631</v>
      </c>
      <c r="J185" t="s">
        <v>632</v>
      </c>
    </row>
    <row r="186" spans="1:10">
      <c r="A186">
        <v>131242</v>
      </c>
      <c r="B186" t="s">
        <v>446</v>
      </c>
      <c r="C186" t="s">
        <v>633</v>
      </c>
      <c r="D186" t="s">
        <v>124</v>
      </c>
      <c r="E186" t="s">
        <v>634</v>
      </c>
      <c r="F186" t="s">
        <v>14</v>
      </c>
      <c r="G186" s="1">
        <v>673399.83</v>
      </c>
      <c r="H186" t="s">
        <v>126</v>
      </c>
      <c r="I186" t="s">
        <v>156</v>
      </c>
      <c r="J186" t="s">
        <v>180</v>
      </c>
    </row>
    <row r="187" spans="1:10">
      <c r="A187">
        <v>127440</v>
      </c>
      <c r="B187" t="s">
        <v>446</v>
      </c>
      <c r="C187" t="s">
        <v>635</v>
      </c>
      <c r="D187" t="s">
        <v>124</v>
      </c>
      <c r="E187" t="s">
        <v>636</v>
      </c>
      <c r="F187" t="s">
        <v>14</v>
      </c>
      <c r="G187" s="1">
        <v>671370.87</v>
      </c>
      <c r="H187" t="s">
        <v>126</v>
      </c>
      <c r="I187" t="s">
        <v>156</v>
      </c>
      <c r="J187" t="s">
        <v>180</v>
      </c>
    </row>
    <row r="188" spans="1:10">
      <c r="A188">
        <v>131063</v>
      </c>
      <c r="B188" t="s">
        <v>446</v>
      </c>
      <c r="C188" t="s">
        <v>637</v>
      </c>
      <c r="D188" t="s">
        <v>12</v>
      </c>
      <c r="E188" t="s">
        <v>638</v>
      </c>
      <c r="F188" t="s">
        <v>14</v>
      </c>
      <c r="G188" s="1">
        <v>670458.24</v>
      </c>
      <c r="H188" t="s">
        <v>140</v>
      </c>
      <c r="I188" t="s">
        <v>639</v>
      </c>
      <c r="J188" t="s">
        <v>640</v>
      </c>
    </row>
    <row r="189" spans="1:10">
      <c r="A189">
        <v>128840</v>
      </c>
      <c r="B189" t="s">
        <v>446</v>
      </c>
      <c r="C189" t="s">
        <v>641</v>
      </c>
      <c r="D189" t="s">
        <v>124</v>
      </c>
      <c r="E189" t="s">
        <v>642</v>
      </c>
      <c r="F189" t="s">
        <v>14</v>
      </c>
      <c r="G189" s="1">
        <v>667222.65</v>
      </c>
      <c r="H189" t="s">
        <v>126</v>
      </c>
      <c r="I189" t="s">
        <v>127</v>
      </c>
      <c r="J189" t="s">
        <v>128</v>
      </c>
    </row>
    <row r="190" spans="1:10">
      <c r="A190">
        <v>128502</v>
      </c>
      <c r="B190" t="s">
        <v>446</v>
      </c>
      <c r="C190" t="s">
        <v>643</v>
      </c>
      <c r="D190" t="s">
        <v>124</v>
      </c>
      <c r="E190" t="s">
        <v>644</v>
      </c>
      <c r="F190" t="s">
        <v>14</v>
      </c>
      <c r="G190" s="1">
        <v>661718.13</v>
      </c>
      <c r="H190" t="s">
        <v>126</v>
      </c>
      <c r="I190" t="s">
        <v>156</v>
      </c>
      <c r="J190" t="s">
        <v>180</v>
      </c>
    </row>
    <row r="191" spans="1:10">
      <c r="A191">
        <v>147356</v>
      </c>
      <c r="B191" t="s">
        <v>446</v>
      </c>
      <c r="C191" t="s">
        <v>645</v>
      </c>
      <c r="D191" t="s">
        <v>124</v>
      </c>
      <c r="E191" t="s">
        <v>646</v>
      </c>
      <c r="F191" t="s">
        <v>14</v>
      </c>
      <c r="G191" s="1">
        <v>659917</v>
      </c>
      <c r="H191" t="s">
        <v>126</v>
      </c>
      <c r="I191" t="s">
        <v>156</v>
      </c>
      <c r="J191" t="s">
        <v>180</v>
      </c>
    </row>
    <row r="192" spans="1:10">
      <c r="A192">
        <v>109671</v>
      </c>
      <c r="B192" t="s">
        <v>446</v>
      </c>
      <c r="C192" t="s">
        <v>647</v>
      </c>
      <c r="D192" t="s">
        <v>12</v>
      </c>
      <c r="E192" t="s">
        <v>648</v>
      </c>
      <c r="F192" t="s">
        <v>14</v>
      </c>
      <c r="G192" s="1">
        <v>658942.5</v>
      </c>
      <c r="H192" t="s">
        <v>36</v>
      </c>
      <c r="I192" t="s">
        <v>41</v>
      </c>
      <c r="J192" t="s">
        <v>649</v>
      </c>
    </row>
    <row r="193" spans="1:10">
      <c r="A193">
        <v>151548</v>
      </c>
      <c r="B193" t="s">
        <v>446</v>
      </c>
      <c r="C193" t="s">
        <v>650</v>
      </c>
      <c r="D193" t="s">
        <v>12</v>
      </c>
      <c r="E193" t="s">
        <v>651</v>
      </c>
      <c r="F193" t="s">
        <v>14</v>
      </c>
      <c r="G193" s="1">
        <v>655047.81000000006</v>
      </c>
      <c r="H193" t="s">
        <v>36</v>
      </c>
      <c r="I193" t="s">
        <v>652</v>
      </c>
      <c r="J193" t="s">
        <v>653</v>
      </c>
    </row>
    <row r="194" spans="1:10">
      <c r="A194">
        <v>144662</v>
      </c>
      <c r="B194" t="s">
        <v>446</v>
      </c>
      <c r="C194" t="s">
        <v>654</v>
      </c>
      <c r="D194" t="s">
        <v>124</v>
      </c>
      <c r="E194" t="s">
        <v>655</v>
      </c>
      <c r="F194" t="s">
        <v>14</v>
      </c>
      <c r="G194" s="1">
        <v>654547.31999999995</v>
      </c>
      <c r="H194" t="s">
        <v>126</v>
      </c>
      <c r="I194" t="s">
        <v>156</v>
      </c>
      <c r="J194" t="s">
        <v>296</v>
      </c>
    </row>
    <row r="195" spans="1:10">
      <c r="A195">
        <v>117125</v>
      </c>
      <c r="B195" t="s">
        <v>446</v>
      </c>
      <c r="C195" t="s">
        <v>656</v>
      </c>
      <c r="D195" t="s">
        <v>124</v>
      </c>
      <c r="E195" t="s">
        <v>657</v>
      </c>
      <c r="F195" t="s">
        <v>14</v>
      </c>
      <c r="G195" s="1">
        <v>652276.62</v>
      </c>
      <c r="H195" t="s">
        <v>126</v>
      </c>
      <c r="I195" t="s">
        <v>156</v>
      </c>
      <c r="J195" t="s">
        <v>180</v>
      </c>
    </row>
    <row r="196" spans="1:10">
      <c r="A196">
        <v>145276</v>
      </c>
      <c r="B196" t="s">
        <v>446</v>
      </c>
      <c r="C196" t="s">
        <v>658</v>
      </c>
      <c r="D196" t="s">
        <v>124</v>
      </c>
      <c r="E196" t="s">
        <v>659</v>
      </c>
      <c r="F196" t="s">
        <v>14</v>
      </c>
      <c r="G196" s="1">
        <v>646685.56999999995</v>
      </c>
      <c r="H196" t="s">
        <v>126</v>
      </c>
      <c r="I196" t="s">
        <v>156</v>
      </c>
      <c r="J196" t="s">
        <v>660</v>
      </c>
    </row>
    <row r="197" spans="1:10">
      <c r="A197">
        <v>128838</v>
      </c>
      <c r="B197" t="s">
        <v>446</v>
      </c>
      <c r="C197" t="s">
        <v>661</v>
      </c>
      <c r="D197" t="s">
        <v>124</v>
      </c>
      <c r="E197" t="s">
        <v>657</v>
      </c>
      <c r="F197" t="s">
        <v>14</v>
      </c>
      <c r="G197" s="1">
        <v>643917.16</v>
      </c>
      <c r="H197" t="s">
        <v>126</v>
      </c>
      <c r="I197" t="s">
        <v>156</v>
      </c>
      <c r="J197" t="s">
        <v>180</v>
      </c>
    </row>
    <row r="198" spans="1:10">
      <c r="A198">
        <v>110676</v>
      </c>
      <c r="B198" t="s">
        <v>446</v>
      </c>
      <c r="C198" t="s">
        <v>662</v>
      </c>
      <c r="D198" t="s">
        <v>124</v>
      </c>
      <c r="E198" t="s">
        <v>663</v>
      </c>
      <c r="F198" t="s">
        <v>14</v>
      </c>
      <c r="G198" s="1">
        <v>642751</v>
      </c>
      <c r="H198" t="s">
        <v>126</v>
      </c>
      <c r="I198" t="s">
        <v>156</v>
      </c>
      <c r="J198" t="s">
        <v>664</v>
      </c>
    </row>
    <row r="199" spans="1:10">
      <c r="A199">
        <v>147177</v>
      </c>
      <c r="B199" t="s">
        <v>446</v>
      </c>
      <c r="C199" t="s">
        <v>665</v>
      </c>
      <c r="D199" t="s">
        <v>124</v>
      </c>
      <c r="E199" t="s">
        <v>666</v>
      </c>
      <c r="F199" t="s">
        <v>14</v>
      </c>
      <c r="G199" s="1">
        <v>639499.71</v>
      </c>
      <c r="H199" t="s">
        <v>126</v>
      </c>
      <c r="I199" t="s">
        <v>156</v>
      </c>
      <c r="J199" t="s">
        <v>180</v>
      </c>
    </row>
    <row r="200" spans="1:10">
      <c r="A200">
        <v>109237</v>
      </c>
      <c r="B200" t="s">
        <v>446</v>
      </c>
      <c r="C200" t="s">
        <v>667</v>
      </c>
      <c r="D200" t="s">
        <v>12</v>
      </c>
      <c r="E200" t="s">
        <v>668</v>
      </c>
      <c r="F200" t="s">
        <v>14</v>
      </c>
      <c r="G200" s="1">
        <v>632311.02</v>
      </c>
      <c r="H200" t="s">
        <v>140</v>
      </c>
      <c r="I200" t="s">
        <v>669</v>
      </c>
      <c r="J200" t="s">
        <v>670</v>
      </c>
    </row>
    <row r="201" spans="1:10">
      <c r="A201">
        <v>131179</v>
      </c>
      <c r="B201" t="s">
        <v>446</v>
      </c>
      <c r="C201" t="s">
        <v>671</v>
      </c>
      <c r="D201" t="s">
        <v>124</v>
      </c>
      <c r="E201" t="s">
        <v>672</v>
      </c>
      <c r="F201" t="s">
        <v>14</v>
      </c>
      <c r="G201" s="1">
        <v>630109.34</v>
      </c>
      <c r="H201" t="s">
        <v>126</v>
      </c>
      <c r="I201" t="s">
        <v>156</v>
      </c>
      <c r="J201" t="s">
        <v>180</v>
      </c>
    </row>
    <row r="202" spans="1:10">
      <c r="A202">
        <v>122538</v>
      </c>
      <c r="B202" t="s">
        <v>446</v>
      </c>
      <c r="C202" t="s">
        <v>673</v>
      </c>
      <c r="D202" t="s">
        <v>124</v>
      </c>
      <c r="E202" t="s">
        <v>674</v>
      </c>
      <c r="F202" t="s">
        <v>14</v>
      </c>
      <c r="G202" s="1">
        <v>624487.24</v>
      </c>
      <c r="H202" t="s">
        <v>126</v>
      </c>
      <c r="I202" t="s">
        <v>156</v>
      </c>
      <c r="J202" t="s">
        <v>180</v>
      </c>
    </row>
    <row r="203" spans="1:10">
      <c r="A203">
        <v>144661</v>
      </c>
      <c r="B203" t="s">
        <v>446</v>
      </c>
      <c r="C203" t="s">
        <v>675</v>
      </c>
      <c r="D203" t="s">
        <v>124</v>
      </c>
      <c r="E203" t="s">
        <v>676</v>
      </c>
      <c r="F203" t="s">
        <v>14</v>
      </c>
      <c r="G203" s="1">
        <v>621731.71</v>
      </c>
      <c r="H203" t="s">
        <v>126</v>
      </c>
      <c r="I203" t="s">
        <v>156</v>
      </c>
      <c r="J203" t="s">
        <v>180</v>
      </c>
    </row>
    <row r="204" spans="1:10">
      <c r="A204">
        <v>103002</v>
      </c>
      <c r="B204" t="s">
        <v>446</v>
      </c>
      <c r="C204" t="s">
        <v>677</v>
      </c>
      <c r="D204" t="s">
        <v>12</v>
      </c>
      <c r="E204" t="s">
        <v>678</v>
      </c>
      <c r="F204" t="s">
        <v>14</v>
      </c>
      <c r="G204" s="1">
        <v>616815.79</v>
      </c>
      <c r="H204" t="s">
        <v>437</v>
      </c>
      <c r="I204" t="s">
        <v>679</v>
      </c>
      <c r="J204" t="s">
        <v>680</v>
      </c>
    </row>
    <row r="205" spans="1:10">
      <c r="A205">
        <v>149424</v>
      </c>
      <c r="B205" t="s">
        <v>446</v>
      </c>
      <c r="C205" t="s">
        <v>681</v>
      </c>
      <c r="D205" t="s">
        <v>12</v>
      </c>
      <c r="E205" t="s">
        <v>682</v>
      </c>
      <c r="F205" t="s">
        <v>14</v>
      </c>
      <c r="G205" s="1">
        <v>609481</v>
      </c>
      <c r="H205" t="s">
        <v>95</v>
      </c>
      <c r="I205" t="s">
        <v>683</v>
      </c>
      <c r="J205" t="s">
        <v>684</v>
      </c>
    </row>
    <row r="206" spans="1:10">
      <c r="A206">
        <v>132575</v>
      </c>
      <c r="B206" t="s">
        <v>446</v>
      </c>
      <c r="C206" t="s">
        <v>685</v>
      </c>
      <c r="D206" t="s">
        <v>124</v>
      </c>
      <c r="E206" t="s">
        <v>686</v>
      </c>
      <c r="F206" t="s">
        <v>14</v>
      </c>
      <c r="G206" s="1">
        <v>607892.04</v>
      </c>
      <c r="H206" t="s">
        <v>126</v>
      </c>
      <c r="I206" t="s">
        <v>156</v>
      </c>
      <c r="J206" t="s">
        <v>687</v>
      </c>
    </row>
    <row r="207" spans="1:10">
      <c r="A207">
        <v>130538</v>
      </c>
      <c r="B207" t="s">
        <v>446</v>
      </c>
      <c r="C207" t="s">
        <v>688</v>
      </c>
      <c r="D207" t="s">
        <v>12</v>
      </c>
      <c r="E207" t="s">
        <v>689</v>
      </c>
      <c r="F207" t="s">
        <v>14</v>
      </c>
      <c r="G207" s="1">
        <v>607130.39</v>
      </c>
      <c r="H207" t="s">
        <v>36</v>
      </c>
      <c r="I207" t="s">
        <v>690</v>
      </c>
      <c r="J207" t="s">
        <v>691</v>
      </c>
    </row>
    <row r="208" spans="1:10">
      <c r="A208">
        <v>126050</v>
      </c>
      <c r="B208" t="s">
        <v>446</v>
      </c>
      <c r="C208" t="s">
        <v>692</v>
      </c>
      <c r="D208" t="s">
        <v>124</v>
      </c>
      <c r="E208" t="s">
        <v>693</v>
      </c>
      <c r="F208" t="s">
        <v>14</v>
      </c>
      <c r="G208" s="1">
        <v>598721.84</v>
      </c>
      <c r="H208" t="s">
        <v>126</v>
      </c>
      <c r="I208" t="s">
        <v>156</v>
      </c>
      <c r="J208" t="s">
        <v>432</v>
      </c>
    </row>
    <row r="209" spans="1:10">
      <c r="A209">
        <v>130137</v>
      </c>
      <c r="B209" t="s">
        <v>446</v>
      </c>
      <c r="C209" t="s">
        <v>694</v>
      </c>
      <c r="D209" t="s">
        <v>124</v>
      </c>
      <c r="E209" t="s">
        <v>695</v>
      </c>
      <c r="F209" t="s">
        <v>14</v>
      </c>
      <c r="G209" s="1">
        <v>598091.56000000006</v>
      </c>
      <c r="H209" t="s">
        <v>126</v>
      </c>
      <c r="I209" t="s">
        <v>156</v>
      </c>
      <c r="J209" t="s">
        <v>696</v>
      </c>
    </row>
    <row r="210" spans="1:10">
      <c r="A210">
        <v>105767</v>
      </c>
      <c r="B210" t="s">
        <v>446</v>
      </c>
      <c r="C210" t="s">
        <v>697</v>
      </c>
      <c r="D210" t="s">
        <v>12</v>
      </c>
      <c r="E210" t="s">
        <v>698</v>
      </c>
      <c r="F210" t="s">
        <v>14</v>
      </c>
      <c r="G210" s="1">
        <v>597061.19999999995</v>
      </c>
      <c r="H210" t="s">
        <v>126</v>
      </c>
      <c r="I210" t="s">
        <v>156</v>
      </c>
      <c r="J210" t="s">
        <v>699</v>
      </c>
    </row>
    <row r="211" spans="1:10">
      <c r="A211">
        <v>150266</v>
      </c>
      <c r="B211" t="s">
        <v>446</v>
      </c>
      <c r="C211" t="s">
        <v>700</v>
      </c>
      <c r="D211" t="s">
        <v>124</v>
      </c>
      <c r="E211" t="s">
        <v>701</v>
      </c>
      <c r="F211" t="s">
        <v>14</v>
      </c>
      <c r="G211" s="1">
        <v>596362.13</v>
      </c>
      <c r="H211" t="s">
        <v>126</v>
      </c>
      <c r="I211" t="s">
        <v>156</v>
      </c>
      <c r="J211" t="s">
        <v>187</v>
      </c>
    </row>
    <row r="212" spans="1:10">
      <c r="A212">
        <v>124490</v>
      </c>
      <c r="B212" t="s">
        <v>446</v>
      </c>
      <c r="C212" t="s">
        <v>702</v>
      </c>
      <c r="D212" t="s">
        <v>124</v>
      </c>
      <c r="E212" t="s">
        <v>703</v>
      </c>
      <c r="F212" t="s">
        <v>14</v>
      </c>
      <c r="G212" s="1">
        <v>593251.54</v>
      </c>
      <c r="H212" t="s">
        <v>126</v>
      </c>
      <c r="I212" t="s">
        <v>156</v>
      </c>
      <c r="J212" t="s">
        <v>187</v>
      </c>
    </row>
    <row r="213" spans="1:10">
      <c r="A213">
        <v>140655</v>
      </c>
      <c r="B213" t="s">
        <v>446</v>
      </c>
      <c r="C213" t="s">
        <v>704</v>
      </c>
      <c r="D213" t="s">
        <v>124</v>
      </c>
      <c r="E213" t="s">
        <v>705</v>
      </c>
      <c r="F213" t="s">
        <v>168</v>
      </c>
      <c r="G213" s="1">
        <v>590097.56000000006</v>
      </c>
      <c r="H213" t="s">
        <v>126</v>
      </c>
      <c r="I213" t="s">
        <v>156</v>
      </c>
      <c r="J213" t="s">
        <v>452</v>
      </c>
    </row>
    <row r="214" spans="1:10">
      <c r="A214">
        <v>100181</v>
      </c>
      <c r="B214" t="s">
        <v>446</v>
      </c>
      <c r="C214" t="s">
        <v>706</v>
      </c>
      <c r="D214" t="s">
        <v>12</v>
      </c>
      <c r="E214" t="s">
        <v>707</v>
      </c>
      <c r="F214" t="s">
        <v>14</v>
      </c>
      <c r="G214" s="1">
        <v>586447.5</v>
      </c>
      <c r="H214" t="s">
        <v>140</v>
      </c>
      <c r="I214" t="s">
        <v>708</v>
      </c>
      <c r="J214" t="s">
        <v>709</v>
      </c>
    </row>
    <row r="215" spans="1:10">
      <c r="A215">
        <v>119632</v>
      </c>
      <c r="B215" t="s">
        <v>446</v>
      </c>
      <c r="C215" t="s">
        <v>710</v>
      </c>
      <c r="D215" t="s">
        <v>124</v>
      </c>
      <c r="E215" t="s">
        <v>711</v>
      </c>
      <c r="F215" t="s">
        <v>14</v>
      </c>
      <c r="G215" s="1">
        <v>584177.31000000006</v>
      </c>
      <c r="H215" t="s">
        <v>126</v>
      </c>
      <c r="I215" t="s">
        <v>156</v>
      </c>
      <c r="J215" t="s">
        <v>180</v>
      </c>
    </row>
    <row r="216" spans="1:10">
      <c r="A216">
        <v>126221</v>
      </c>
      <c r="B216" t="s">
        <v>446</v>
      </c>
      <c r="C216" t="s">
        <v>712</v>
      </c>
      <c r="D216" t="s">
        <v>124</v>
      </c>
      <c r="E216" t="s">
        <v>713</v>
      </c>
      <c r="F216" t="s">
        <v>14</v>
      </c>
      <c r="G216" s="1">
        <v>583246.1</v>
      </c>
      <c r="H216" t="s">
        <v>126</v>
      </c>
      <c r="I216" t="s">
        <v>156</v>
      </c>
      <c r="J216" t="s">
        <v>180</v>
      </c>
    </row>
    <row r="217" spans="1:10">
      <c r="A217">
        <v>106337</v>
      </c>
      <c r="B217" t="s">
        <v>446</v>
      </c>
      <c r="C217" t="s">
        <v>714</v>
      </c>
      <c r="D217" t="s">
        <v>124</v>
      </c>
      <c r="E217" t="s">
        <v>715</v>
      </c>
      <c r="F217" t="s">
        <v>14</v>
      </c>
      <c r="G217" s="1">
        <v>581044.86</v>
      </c>
      <c r="H217" t="s">
        <v>126</v>
      </c>
      <c r="I217" t="s">
        <v>156</v>
      </c>
      <c r="J217" t="s">
        <v>180</v>
      </c>
    </row>
    <row r="218" spans="1:10">
      <c r="A218">
        <v>147448</v>
      </c>
      <c r="B218" t="s">
        <v>446</v>
      </c>
      <c r="C218" t="s">
        <v>716</v>
      </c>
      <c r="D218" t="s">
        <v>124</v>
      </c>
      <c r="E218" t="s">
        <v>717</v>
      </c>
      <c r="F218" t="s">
        <v>168</v>
      </c>
      <c r="G218" s="1">
        <v>580412.65</v>
      </c>
      <c r="H218" t="s">
        <v>126</v>
      </c>
      <c r="I218" t="s">
        <v>156</v>
      </c>
      <c r="J218" t="s">
        <v>180</v>
      </c>
    </row>
    <row r="219" spans="1:10">
      <c r="A219">
        <v>150727</v>
      </c>
      <c r="B219" t="s">
        <v>446</v>
      </c>
      <c r="C219" t="s">
        <v>718</v>
      </c>
      <c r="D219" t="s">
        <v>12</v>
      </c>
      <c r="E219" t="s">
        <v>719</v>
      </c>
      <c r="F219" t="s">
        <v>14</v>
      </c>
      <c r="G219" s="1">
        <v>577682.57999999996</v>
      </c>
      <c r="H219" t="s">
        <v>56</v>
      </c>
      <c r="I219" t="s">
        <v>720</v>
      </c>
      <c r="J219" t="s">
        <v>721</v>
      </c>
    </row>
    <row r="220" spans="1:10">
      <c r="A220">
        <v>130398</v>
      </c>
      <c r="B220" t="s">
        <v>446</v>
      </c>
      <c r="C220" t="s">
        <v>722</v>
      </c>
      <c r="D220" t="s">
        <v>124</v>
      </c>
      <c r="E220" t="s">
        <v>293</v>
      </c>
      <c r="F220" t="s">
        <v>14</v>
      </c>
      <c r="G220" s="1">
        <v>572492.19999999995</v>
      </c>
      <c r="H220" t="s">
        <v>126</v>
      </c>
      <c r="I220" t="s">
        <v>156</v>
      </c>
      <c r="J220" t="s">
        <v>180</v>
      </c>
    </row>
    <row r="221" spans="1:10">
      <c r="A221">
        <v>140006</v>
      </c>
      <c r="B221" t="s">
        <v>446</v>
      </c>
      <c r="C221" t="s">
        <v>723</v>
      </c>
      <c r="D221" t="s">
        <v>124</v>
      </c>
      <c r="E221" t="s">
        <v>724</v>
      </c>
      <c r="F221" t="s">
        <v>14</v>
      </c>
      <c r="G221" s="1">
        <v>571900.02</v>
      </c>
      <c r="H221" t="s">
        <v>126</v>
      </c>
      <c r="I221" t="s">
        <v>195</v>
      </c>
      <c r="J221" t="s">
        <v>725</v>
      </c>
    </row>
    <row r="222" spans="1:10">
      <c r="A222">
        <v>150390</v>
      </c>
      <c r="B222" t="s">
        <v>446</v>
      </c>
      <c r="C222" t="s">
        <v>726</v>
      </c>
      <c r="D222" t="s">
        <v>12</v>
      </c>
      <c r="E222" t="s">
        <v>727</v>
      </c>
      <c r="F222" t="s">
        <v>14</v>
      </c>
      <c r="G222" s="1">
        <v>569801.57999999996</v>
      </c>
      <c r="H222" t="s">
        <v>95</v>
      </c>
      <c r="I222" t="s">
        <v>728</v>
      </c>
      <c r="J222" t="s">
        <v>729</v>
      </c>
    </row>
    <row r="223" spans="1:10">
      <c r="A223">
        <v>149090</v>
      </c>
      <c r="B223" t="s">
        <v>446</v>
      </c>
      <c r="C223" t="s">
        <v>730</v>
      </c>
      <c r="D223" t="s">
        <v>124</v>
      </c>
      <c r="E223" t="s">
        <v>731</v>
      </c>
      <c r="F223" t="s">
        <v>14</v>
      </c>
      <c r="G223" s="1">
        <v>567767.15</v>
      </c>
      <c r="H223" t="s">
        <v>126</v>
      </c>
      <c r="I223" t="s">
        <v>156</v>
      </c>
      <c r="J223" t="s">
        <v>696</v>
      </c>
    </row>
    <row r="224" spans="1:10">
      <c r="A224">
        <v>130399</v>
      </c>
      <c r="B224" t="s">
        <v>446</v>
      </c>
      <c r="C224" t="s">
        <v>732</v>
      </c>
      <c r="D224" t="s">
        <v>124</v>
      </c>
      <c r="E224" t="s">
        <v>293</v>
      </c>
      <c r="F224" t="s">
        <v>14</v>
      </c>
      <c r="G224" s="1">
        <v>567541.64</v>
      </c>
      <c r="H224" t="s">
        <v>126</v>
      </c>
      <c r="I224" t="s">
        <v>156</v>
      </c>
      <c r="J224" t="s">
        <v>733</v>
      </c>
    </row>
    <row r="225" spans="1:10">
      <c r="A225">
        <v>143062</v>
      </c>
      <c r="B225" t="s">
        <v>446</v>
      </c>
      <c r="C225" t="s">
        <v>734</v>
      </c>
      <c r="D225" t="s">
        <v>124</v>
      </c>
      <c r="E225" t="s">
        <v>735</v>
      </c>
      <c r="F225" t="s">
        <v>14</v>
      </c>
      <c r="G225" s="1">
        <v>566740.88</v>
      </c>
      <c r="H225" t="s">
        <v>126</v>
      </c>
      <c r="I225" t="s">
        <v>156</v>
      </c>
      <c r="J225" t="s">
        <v>736</v>
      </c>
    </row>
    <row r="226" spans="1:10">
      <c r="A226">
        <v>146162</v>
      </c>
      <c r="B226" t="s">
        <v>446</v>
      </c>
      <c r="C226" t="s">
        <v>737</v>
      </c>
      <c r="D226" t="s">
        <v>124</v>
      </c>
      <c r="E226" t="s">
        <v>738</v>
      </c>
      <c r="F226" t="s">
        <v>14</v>
      </c>
      <c r="G226" s="1">
        <v>565071.27</v>
      </c>
      <c r="H226" t="s">
        <v>126</v>
      </c>
      <c r="I226" t="s">
        <v>156</v>
      </c>
      <c r="J226" t="s">
        <v>180</v>
      </c>
    </row>
    <row r="227" spans="1:10">
      <c r="A227">
        <v>130380</v>
      </c>
      <c r="B227" t="s">
        <v>446</v>
      </c>
      <c r="C227" t="s">
        <v>739</v>
      </c>
      <c r="D227" t="s">
        <v>12</v>
      </c>
      <c r="E227" t="s">
        <v>740</v>
      </c>
      <c r="F227" t="s">
        <v>14</v>
      </c>
      <c r="G227" s="1">
        <v>558300.12</v>
      </c>
      <c r="H227" t="s">
        <v>36</v>
      </c>
      <c r="I227" t="s">
        <v>741</v>
      </c>
      <c r="J227" t="s">
        <v>742</v>
      </c>
    </row>
    <row r="228" spans="1:10">
      <c r="A228">
        <v>114394</v>
      </c>
      <c r="B228" t="s">
        <v>446</v>
      </c>
      <c r="C228" t="s">
        <v>743</v>
      </c>
      <c r="D228" t="s">
        <v>12</v>
      </c>
      <c r="E228" t="s">
        <v>744</v>
      </c>
      <c r="F228" t="s">
        <v>14</v>
      </c>
      <c r="G228" s="1">
        <v>557073.41</v>
      </c>
      <c r="H228" t="s">
        <v>85</v>
      </c>
      <c r="I228" t="s">
        <v>745</v>
      </c>
      <c r="J228" t="s">
        <v>746</v>
      </c>
    </row>
    <row r="229" spans="1:10">
      <c r="A229">
        <v>143455</v>
      </c>
      <c r="B229" t="s">
        <v>446</v>
      </c>
      <c r="C229" t="s">
        <v>747</v>
      </c>
      <c r="D229" t="s">
        <v>124</v>
      </c>
      <c r="E229" t="s">
        <v>748</v>
      </c>
      <c r="F229" t="s">
        <v>14</v>
      </c>
      <c r="G229" s="1">
        <v>548854.16</v>
      </c>
      <c r="H229" t="s">
        <v>126</v>
      </c>
      <c r="I229" t="s">
        <v>156</v>
      </c>
      <c r="J229" t="s">
        <v>180</v>
      </c>
    </row>
    <row r="230" spans="1:10">
      <c r="A230">
        <v>130309</v>
      </c>
      <c r="B230" t="s">
        <v>446</v>
      </c>
      <c r="C230" t="s">
        <v>749</v>
      </c>
      <c r="D230" t="s">
        <v>124</v>
      </c>
      <c r="E230" t="s">
        <v>750</v>
      </c>
      <c r="F230" t="s">
        <v>14</v>
      </c>
      <c r="G230" s="1">
        <v>544161.49</v>
      </c>
      <c r="H230" t="s">
        <v>126</v>
      </c>
      <c r="I230" t="s">
        <v>127</v>
      </c>
      <c r="J230" t="s">
        <v>751</v>
      </c>
    </row>
    <row r="231" spans="1:10">
      <c r="A231">
        <v>140278</v>
      </c>
      <c r="B231" t="s">
        <v>446</v>
      </c>
      <c r="C231" t="s">
        <v>752</v>
      </c>
      <c r="D231" t="s">
        <v>124</v>
      </c>
      <c r="E231" t="s">
        <v>753</v>
      </c>
      <c r="F231" t="s">
        <v>14</v>
      </c>
      <c r="G231" s="1">
        <v>542881.68000000005</v>
      </c>
      <c r="H231" t="s">
        <v>126</v>
      </c>
      <c r="I231" t="s">
        <v>156</v>
      </c>
      <c r="J231" t="s">
        <v>754</v>
      </c>
    </row>
    <row r="232" spans="1:10">
      <c r="A232">
        <v>144823</v>
      </c>
      <c r="B232" t="s">
        <v>446</v>
      </c>
      <c r="C232" t="s">
        <v>755</v>
      </c>
      <c r="D232" t="s">
        <v>124</v>
      </c>
      <c r="E232" t="s">
        <v>756</v>
      </c>
      <c r="F232" t="s">
        <v>14</v>
      </c>
      <c r="G232" s="1">
        <v>542137.14</v>
      </c>
      <c r="H232" t="s">
        <v>126</v>
      </c>
      <c r="I232" t="s">
        <v>156</v>
      </c>
      <c r="J232" t="s">
        <v>757</v>
      </c>
    </row>
    <row r="233" spans="1:10">
      <c r="A233">
        <v>114304</v>
      </c>
      <c r="B233" t="s">
        <v>446</v>
      </c>
      <c r="C233" t="s">
        <v>758</v>
      </c>
      <c r="D233" t="s">
        <v>124</v>
      </c>
      <c r="E233" t="s">
        <v>759</v>
      </c>
      <c r="F233" t="s">
        <v>14</v>
      </c>
      <c r="G233" s="1">
        <v>537068.30000000005</v>
      </c>
      <c r="H233" t="s">
        <v>126</v>
      </c>
      <c r="I233" t="s">
        <v>156</v>
      </c>
      <c r="J233" t="s">
        <v>296</v>
      </c>
    </row>
    <row r="234" spans="1:10">
      <c r="A234">
        <v>119562</v>
      </c>
      <c r="B234" t="s">
        <v>446</v>
      </c>
      <c r="C234" t="s">
        <v>760</v>
      </c>
      <c r="D234" t="s">
        <v>12</v>
      </c>
      <c r="E234" t="s">
        <v>761</v>
      </c>
      <c r="F234" t="s">
        <v>14</v>
      </c>
      <c r="G234" s="1">
        <v>535235.07999999996</v>
      </c>
      <c r="H234" t="s">
        <v>36</v>
      </c>
      <c r="I234" t="s">
        <v>762</v>
      </c>
      <c r="J234" t="s">
        <v>763</v>
      </c>
    </row>
    <row r="235" spans="1:10">
      <c r="A235">
        <v>142082</v>
      </c>
      <c r="B235" t="s">
        <v>446</v>
      </c>
      <c r="C235" t="s">
        <v>764</v>
      </c>
      <c r="D235" t="s">
        <v>124</v>
      </c>
      <c r="E235" t="s">
        <v>765</v>
      </c>
      <c r="F235" t="s">
        <v>14</v>
      </c>
      <c r="G235" s="1">
        <v>532798.1</v>
      </c>
      <c r="H235" t="s">
        <v>126</v>
      </c>
      <c r="I235" t="s">
        <v>156</v>
      </c>
      <c r="J235" t="s">
        <v>180</v>
      </c>
    </row>
    <row r="236" spans="1:10">
      <c r="A236">
        <v>142963</v>
      </c>
      <c r="B236" t="s">
        <v>446</v>
      </c>
      <c r="C236" t="s">
        <v>766</v>
      </c>
      <c r="D236" t="s">
        <v>12</v>
      </c>
      <c r="E236" t="s">
        <v>767</v>
      </c>
      <c r="F236" t="s">
        <v>14</v>
      </c>
      <c r="G236" s="1">
        <v>532705</v>
      </c>
      <c r="H236" t="s">
        <v>85</v>
      </c>
      <c r="I236" t="s">
        <v>768</v>
      </c>
      <c r="J236" t="s">
        <v>769</v>
      </c>
    </row>
    <row r="237" spans="1:10">
      <c r="A237">
        <v>146077</v>
      </c>
      <c r="B237" t="s">
        <v>446</v>
      </c>
      <c r="C237" t="s">
        <v>770</v>
      </c>
      <c r="D237" t="s">
        <v>124</v>
      </c>
      <c r="E237" t="s">
        <v>771</v>
      </c>
      <c r="F237" t="s">
        <v>14</v>
      </c>
      <c r="G237" s="1">
        <v>532681.80000000005</v>
      </c>
      <c r="H237" t="s">
        <v>126</v>
      </c>
      <c r="I237" t="s">
        <v>156</v>
      </c>
      <c r="J237" t="s">
        <v>772</v>
      </c>
    </row>
    <row r="238" spans="1:10">
      <c r="A238">
        <v>123959</v>
      </c>
      <c r="B238" t="s">
        <v>446</v>
      </c>
      <c r="C238" t="s">
        <v>773</v>
      </c>
      <c r="D238" t="s">
        <v>124</v>
      </c>
      <c r="E238" t="s">
        <v>355</v>
      </c>
      <c r="F238" t="s">
        <v>14</v>
      </c>
      <c r="G238" s="1">
        <v>531167.38</v>
      </c>
      <c r="H238" t="s">
        <v>126</v>
      </c>
      <c r="I238" t="s">
        <v>156</v>
      </c>
      <c r="J238" t="s">
        <v>774</v>
      </c>
    </row>
    <row r="239" spans="1:10">
      <c r="A239">
        <v>110844</v>
      </c>
      <c r="B239" t="s">
        <v>446</v>
      </c>
      <c r="C239" t="s">
        <v>775</v>
      </c>
      <c r="D239" t="s">
        <v>12</v>
      </c>
      <c r="E239" t="s">
        <v>776</v>
      </c>
      <c r="F239" t="s">
        <v>14</v>
      </c>
      <c r="G239" s="1">
        <v>527081.49</v>
      </c>
      <c r="H239" t="s">
        <v>777</v>
      </c>
      <c r="I239" t="s">
        <v>778</v>
      </c>
      <c r="J239" t="s">
        <v>779</v>
      </c>
    </row>
    <row r="240" spans="1:10">
      <c r="A240">
        <v>145290</v>
      </c>
      <c r="B240" t="s">
        <v>446</v>
      </c>
      <c r="C240" t="s">
        <v>780</v>
      </c>
      <c r="D240" t="s">
        <v>124</v>
      </c>
      <c r="E240" t="s">
        <v>781</v>
      </c>
      <c r="F240" t="s">
        <v>14</v>
      </c>
      <c r="G240" s="1">
        <v>520860.55</v>
      </c>
      <c r="H240" t="s">
        <v>126</v>
      </c>
      <c r="I240" t="s">
        <v>156</v>
      </c>
      <c r="J240" t="s">
        <v>782</v>
      </c>
    </row>
    <row r="241" spans="1:10">
      <c r="A241">
        <v>105363</v>
      </c>
      <c r="B241" t="s">
        <v>446</v>
      </c>
      <c r="C241" t="s">
        <v>783</v>
      </c>
      <c r="D241" t="s">
        <v>124</v>
      </c>
      <c r="E241" t="s">
        <v>784</v>
      </c>
      <c r="F241" t="s">
        <v>14</v>
      </c>
      <c r="G241" s="1">
        <v>515841.74</v>
      </c>
      <c r="H241" t="s">
        <v>126</v>
      </c>
      <c r="I241" t="s">
        <v>156</v>
      </c>
      <c r="J241" t="s">
        <v>628</v>
      </c>
    </row>
    <row r="242" spans="1:10">
      <c r="A242">
        <v>143063</v>
      </c>
      <c r="B242" t="s">
        <v>446</v>
      </c>
      <c r="C242" t="s">
        <v>785</v>
      </c>
      <c r="D242" t="s">
        <v>124</v>
      </c>
      <c r="E242" t="s">
        <v>786</v>
      </c>
      <c r="F242" t="s">
        <v>168</v>
      </c>
      <c r="G242" s="1">
        <v>515424.73</v>
      </c>
      <c r="H242" t="s">
        <v>126</v>
      </c>
      <c r="I242" t="s">
        <v>156</v>
      </c>
      <c r="J242" t="s">
        <v>787</v>
      </c>
    </row>
    <row r="243" spans="1:10">
      <c r="A243">
        <v>115457</v>
      </c>
      <c r="B243" t="s">
        <v>446</v>
      </c>
      <c r="C243" t="s">
        <v>788</v>
      </c>
      <c r="D243" t="s">
        <v>12</v>
      </c>
      <c r="E243" t="s">
        <v>789</v>
      </c>
      <c r="F243" t="s">
        <v>14</v>
      </c>
      <c r="G243" s="1">
        <v>514929.35</v>
      </c>
      <c r="H243" t="s">
        <v>514</v>
      </c>
      <c r="I243" t="s">
        <v>790</v>
      </c>
      <c r="J243" t="s">
        <v>791</v>
      </c>
    </row>
    <row r="244" spans="1:10">
      <c r="A244">
        <v>150705</v>
      </c>
      <c r="B244" t="s">
        <v>446</v>
      </c>
      <c r="C244" t="s">
        <v>792</v>
      </c>
      <c r="D244" t="s">
        <v>12</v>
      </c>
      <c r="E244" t="s">
        <v>793</v>
      </c>
      <c r="F244" t="s">
        <v>14</v>
      </c>
      <c r="G244" s="1">
        <v>511998.88</v>
      </c>
      <c r="H244" t="s">
        <v>21</v>
      </c>
      <c r="I244" t="s">
        <v>794</v>
      </c>
      <c r="J244" t="s">
        <v>795</v>
      </c>
    </row>
    <row r="245" spans="1:10">
      <c r="A245">
        <v>118902</v>
      </c>
      <c r="B245" t="s">
        <v>446</v>
      </c>
      <c r="C245" t="s">
        <v>796</v>
      </c>
      <c r="D245" t="s">
        <v>25</v>
      </c>
      <c r="E245" t="s">
        <v>797</v>
      </c>
      <c r="F245" t="s">
        <v>14</v>
      </c>
      <c r="G245" s="1">
        <v>511423</v>
      </c>
      <c r="H245" t="s">
        <v>27</v>
      </c>
      <c r="I245" t="s">
        <v>27</v>
      </c>
      <c r="J245" t="s">
        <v>798</v>
      </c>
    </row>
    <row r="246" spans="1:10">
      <c r="A246">
        <v>142766</v>
      </c>
      <c r="B246" t="s">
        <v>446</v>
      </c>
      <c r="C246" t="s">
        <v>799</v>
      </c>
      <c r="D246" t="s">
        <v>124</v>
      </c>
      <c r="E246" t="s">
        <v>800</v>
      </c>
      <c r="F246" t="s">
        <v>14</v>
      </c>
      <c r="G246" s="1">
        <v>511165.43</v>
      </c>
      <c r="H246" t="s">
        <v>126</v>
      </c>
      <c r="I246" t="s">
        <v>224</v>
      </c>
      <c r="J246" t="s">
        <v>801</v>
      </c>
    </row>
    <row r="247" spans="1:10">
      <c r="A247">
        <v>150541</v>
      </c>
      <c r="B247" t="s">
        <v>446</v>
      </c>
      <c r="C247" t="s">
        <v>802</v>
      </c>
      <c r="D247" t="s">
        <v>12</v>
      </c>
      <c r="E247" t="s">
        <v>803</v>
      </c>
      <c r="F247" t="s">
        <v>14</v>
      </c>
      <c r="G247" s="1">
        <v>508946.57</v>
      </c>
      <c r="H247" t="s">
        <v>36</v>
      </c>
      <c r="I247" t="s">
        <v>804</v>
      </c>
      <c r="J247" t="s">
        <v>805</v>
      </c>
    </row>
    <row r="248" spans="1:10">
      <c r="A248">
        <v>127975</v>
      </c>
      <c r="B248" t="s">
        <v>446</v>
      </c>
      <c r="C248" t="s">
        <v>806</v>
      </c>
      <c r="D248" t="s">
        <v>124</v>
      </c>
      <c r="E248" t="s">
        <v>807</v>
      </c>
      <c r="F248" t="s">
        <v>14</v>
      </c>
      <c r="G248" s="1">
        <v>507395.02</v>
      </c>
      <c r="H248" t="s">
        <v>126</v>
      </c>
      <c r="I248" t="s">
        <v>156</v>
      </c>
      <c r="J248" t="s">
        <v>180</v>
      </c>
    </row>
    <row r="249" spans="1:10">
      <c r="A249">
        <v>140552</v>
      </c>
      <c r="B249" t="s">
        <v>446</v>
      </c>
      <c r="C249" t="s">
        <v>808</v>
      </c>
      <c r="D249" t="s">
        <v>124</v>
      </c>
      <c r="E249" t="s">
        <v>809</v>
      </c>
      <c r="F249" t="s">
        <v>14</v>
      </c>
      <c r="G249" s="1">
        <v>506109.41</v>
      </c>
      <c r="H249" t="s">
        <v>126</v>
      </c>
      <c r="I249" t="s">
        <v>156</v>
      </c>
      <c r="J249" t="s">
        <v>810</v>
      </c>
    </row>
    <row r="250" spans="1:10">
      <c r="A250">
        <v>131812</v>
      </c>
      <c r="B250" t="s">
        <v>446</v>
      </c>
      <c r="C250" t="s">
        <v>811</v>
      </c>
      <c r="D250" t="s">
        <v>124</v>
      </c>
      <c r="E250" t="s">
        <v>657</v>
      </c>
      <c r="F250" t="s">
        <v>14</v>
      </c>
      <c r="G250" s="1">
        <v>505210.74</v>
      </c>
      <c r="H250" t="s">
        <v>126</v>
      </c>
      <c r="I250" t="s">
        <v>156</v>
      </c>
      <c r="J250" t="s">
        <v>812</v>
      </c>
    </row>
    <row r="251" spans="1:10">
      <c r="A251">
        <v>141940</v>
      </c>
      <c r="B251" t="s">
        <v>446</v>
      </c>
      <c r="C251" t="s">
        <v>813</v>
      </c>
      <c r="D251" t="s">
        <v>12</v>
      </c>
      <c r="E251" t="s">
        <v>814</v>
      </c>
      <c r="F251" t="s">
        <v>14</v>
      </c>
      <c r="G251" s="1">
        <v>501247.98</v>
      </c>
      <c r="H251" t="s">
        <v>95</v>
      </c>
      <c r="I251" t="s">
        <v>815</v>
      </c>
      <c r="J251" t="s">
        <v>816</v>
      </c>
    </row>
    <row r="252" spans="1:10">
      <c r="A252">
        <v>150038</v>
      </c>
      <c r="B252" t="s">
        <v>446</v>
      </c>
      <c r="C252" t="s">
        <v>817</v>
      </c>
      <c r="D252" t="s">
        <v>124</v>
      </c>
      <c r="E252" t="s">
        <v>818</v>
      </c>
      <c r="F252" t="s">
        <v>14</v>
      </c>
      <c r="G252" s="1">
        <v>499786.01</v>
      </c>
      <c r="H252" t="s">
        <v>126</v>
      </c>
      <c r="I252" t="s">
        <v>156</v>
      </c>
      <c r="J252" t="s">
        <v>819</v>
      </c>
    </row>
    <row r="253" spans="1:10">
      <c r="A253">
        <v>129884</v>
      </c>
      <c r="B253" t="s">
        <v>446</v>
      </c>
      <c r="C253" t="s">
        <v>820</v>
      </c>
      <c r="D253" t="s">
        <v>124</v>
      </c>
      <c r="E253" t="s">
        <v>821</v>
      </c>
      <c r="F253" t="s">
        <v>14</v>
      </c>
      <c r="G253" s="1">
        <v>498853.18</v>
      </c>
      <c r="H253" t="s">
        <v>126</v>
      </c>
      <c r="I253" t="s">
        <v>156</v>
      </c>
      <c r="J253" t="s">
        <v>822</v>
      </c>
    </row>
    <row r="254" spans="1:10">
      <c r="A254">
        <v>114484</v>
      </c>
      <c r="B254" t="s">
        <v>446</v>
      </c>
      <c r="C254" t="s">
        <v>823</v>
      </c>
      <c r="D254" t="s">
        <v>12</v>
      </c>
      <c r="E254" t="s">
        <v>824</v>
      </c>
      <c r="F254" t="s">
        <v>14</v>
      </c>
      <c r="G254" s="1">
        <v>498009.9</v>
      </c>
      <c r="H254" t="s">
        <v>56</v>
      </c>
      <c r="I254" t="s">
        <v>825</v>
      </c>
      <c r="J254" t="s">
        <v>826</v>
      </c>
    </row>
    <row r="255" spans="1:10">
      <c r="A255">
        <v>129170</v>
      </c>
      <c r="B255" t="s">
        <v>446</v>
      </c>
      <c r="C255" t="s">
        <v>827</v>
      </c>
      <c r="D255" t="s">
        <v>124</v>
      </c>
      <c r="E255" t="s">
        <v>657</v>
      </c>
      <c r="F255" t="s">
        <v>14</v>
      </c>
      <c r="G255" s="1">
        <v>497994.67</v>
      </c>
      <c r="H255" t="s">
        <v>126</v>
      </c>
      <c r="I255" t="s">
        <v>156</v>
      </c>
      <c r="J255" t="s">
        <v>356</v>
      </c>
    </row>
    <row r="256" spans="1:10">
      <c r="A256">
        <v>150962</v>
      </c>
      <c r="B256" t="s">
        <v>446</v>
      </c>
      <c r="C256" t="s">
        <v>828</v>
      </c>
      <c r="D256" t="s">
        <v>25</v>
      </c>
      <c r="E256" t="s">
        <v>829</v>
      </c>
      <c r="F256" t="s">
        <v>14</v>
      </c>
      <c r="G256" s="1">
        <v>493462</v>
      </c>
      <c r="H256" t="s">
        <v>27</v>
      </c>
      <c r="I256" t="s">
        <v>136</v>
      </c>
      <c r="J256" t="s">
        <v>830</v>
      </c>
    </row>
    <row r="257" spans="1:10">
      <c r="A257">
        <v>120027</v>
      </c>
      <c r="B257" t="s">
        <v>446</v>
      </c>
      <c r="C257" t="s">
        <v>831</v>
      </c>
      <c r="D257" t="s">
        <v>124</v>
      </c>
      <c r="E257" t="s">
        <v>832</v>
      </c>
      <c r="F257" t="s">
        <v>14</v>
      </c>
      <c r="G257" s="1">
        <v>485218.73</v>
      </c>
      <c r="H257" t="s">
        <v>126</v>
      </c>
      <c r="I257" t="s">
        <v>156</v>
      </c>
      <c r="J257" t="s">
        <v>187</v>
      </c>
    </row>
    <row r="258" spans="1:10">
      <c r="A258">
        <v>128962</v>
      </c>
      <c r="B258" t="s">
        <v>446</v>
      </c>
      <c r="C258" t="s">
        <v>833</v>
      </c>
      <c r="D258" t="s">
        <v>12</v>
      </c>
      <c r="E258" t="s">
        <v>834</v>
      </c>
      <c r="F258" t="s">
        <v>14</v>
      </c>
      <c r="G258" s="1">
        <v>484726.45</v>
      </c>
      <c r="H258" t="s">
        <v>499</v>
      </c>
      <c r="I258" t="s">
        <v>835</v>
      </c>
      <c r="J258" t="s">
        <v>836</v>
      </c>
    </row>
    <row r="259" spans="1:10">
      <c r="A259">
        <v>145530</v>
      </c>
      <c r="B259" t="s">
        <v>446</v>
      </c>
      <c r="C259" t="s">
        <v>837</v>
      </c>
      <c r="D259" t="s">
        <v>245</v>
      </c>
      <c r="E259" t="s">
        <v>838</v>
      </c>
      <c r="F259" t="s">
        <v>14</v>
      </c>
      <c r="G259" s="1">
        <v>483822</v>
      </c>
      <c r="H259" t="s">
        <v>36</v>
      </c>
      <c r="I259" t="s">
        <v>288</v>
      </c>
      <c r="J259" t="s">
        <v>839</v>
      </c>
    </row>
    <row r="260" spans="1:10">
      <c r="A260">
        <v>150439</v>
      </c>
      <c r="B260" t="s">
        <v>446</v>
      </c>
      <c r="C260" t="s">
        <v>840</v>
      </c>
      <c r="D260" t="s">
        <v>124</v>
      </c>
      <c r="E260" t="s">
        <v>841</v>
      </c>
      <c r="F260" t="s">
        <v>14</v>
      </c>
      <c r="G260" s="1">
        <v>482901.05</v>
      </c>
      <c r="H260" t="s">
        <v>126</v>
      </c>
      <c r="I260" t="s">
        <v>156</v>
      </c>
      <c r="J260" t="s">
        <v>157</v>
      </c>
    </row>
    <row r="261" spans="1:10">
      <c r="A261">
        <v>127129</v>
      </c>
      <c r="B261" t="s">
        <v>446</v>
      </c>
      <c r="C261" t="s">
        <v>842</v>
      </c>
      <c r="D261" t="s">
        <v>12</v>
      </c>
      <c r="E261" t="s">
        <v>843</v>
      </c>
      <c r="F261" t="s">
        <v>14</v>
      </c>
      <c r="G261" s="1">
        <v>480430.78</v>
      </c>
      <c r="H261" t="s">
        <v>140</v>
      </c>
      <c r="I261" t="s">
        <v>844</v>
      </c>
      <c r="J261" t="s">
        <v>845</v>
      </c>
    </row>
    <row r="262" spans="1:10">
      <c r="A262">
        <v>129735</v>
      </c>
      <c r="B262" t="s">
        <v>446</v>
      </c>
      <c r="C262" t="s">
        <v>846</v>
      </c>
      <c r="D262" t="s">
        <v>124</v>
      </c>
      <c r="E262" t="s">
        <v>847</v>
      </c>
      <c r="F262" t="s">
        <v>14</v>
      </c>
      <c r="G262" s="1">
        <v>477641.17</v>
      </c>
      <c r="H262" t="s">
        <v>848</v>
      </c>
      <c r="I262" t="s">
        <v>848</v>
      </c>
      <c r="J262" t="s">
        <v>849</v>
      </c>
    </row>
    <row r="263" spans="1:10">
      <c r="A263">
        <v>143223</v>
      </c>
      <c r="B263" t="s">
        <v>446</v>
      </c>
      <c r="C263" t="s">
        <v>850</v>
      </c>
      <c r="D263" t="s">
        <v>124</v>
      </c>
      <c r="E263" t="s">
        <v>851</v>
      </c>
      <c r="F263" t="s">
        <v>14</v>
      </c>
      <c r="G263" s="1">
        <v>477443.69</v>
      </c>
      <c r="H263" t="s">
        <v>852</v>
      </c>
      <c r="I263" t="s">
        <v>853</v>
      </c>
      <c r="J263" t="s">
        <v>854</v>
      </c>
    </row>
    <row r="264" spans="1:10">
      <c r="A264">
        <v>115524</v>
      </c>
      <c r="B264" t="s">
        <v>446</v>
      </c>
      <c r="C264" t="s">
        <v>855</v>
      </c>
      <c r="D264" t="s">
        <v>124</v>
      </c>
      <c r="E264" t="s">
        <v>856</v>
      </c>
      <c r="F264" t="s">
        <v>14</v>
      </c>
      <c r="G264" s="1">
        <v>476735.71</v>
      </c>
      <c r="H264" t="s">
        <v>126</v>
      </c>
      <c r="I264" t="s">
        <v>156</v>
      </c>
      <c r="J264" t="s">
        <v>180</v>
      </c>
    </row>
    <row r="265" spans="1:10">
      <c r="A265">
        <v>150372</v>
      </c>
      <c r="B265" t="s">
        <v>446</v>
      </c>
      <c r="C265" t="s">
        <v>857</v>
      </c>
      <c r="D265" t="s">
        <v>12</v>
      </c>
      <c r="E265" t="s">
        <v>858</v>
      </c>
      <c r="F265" t="s">
        <v>14</v>
      </c>
      <c r="G265" s="1">
        <v>474889.5</v>
      </c>
      <c r="H265"/>
      <c r="I265" t="s">
        <v>859</v>
      </c>
      <c r="J265" t="s">
        <v>860</v>
      </c>
    </row>
    <row r="266" spans="1:10">
      <c r="A266">
        <v>122959</v>
      </c>
      <c r="B266" t="s">
        <v>446</v>
      </c>
      <c r="C266" t="s">
        <v>861</v>
      </c>
      <c r="D266" t="s">
        <v>124</v>
      </c>
      <c r="E266" t="s">
        <v>862</v>
      </c>
      <c r="F266" t="s">
        <v>14</v>
      </c>
      <c r="G266" s="1">
        <v>473300.64</v>
      </c>
      <c r="H266" t="s">
        <v>126</v>
      </c>
      <c r="I266" t="s">
        <v>156</v>
      </c>
      <c r="J266" t="s">
        <v>863</v>
      </c>
    </row>
    <row r="267" spans="1:10">
      <c r="A267">
        <v>148203</v>
      </c>
      <c r="B267" t="s">
        <v>446</v>
      </c>
      <c r="C267" t="s">
        <v>864</v>
      </c>
      <c r="D267" t="s">
        <v>124</v>
      </c>
      <c r="E267" t="s">
        <v>865</v>
      </c>
      <c r="F267" t="s">
        <v>14</v>
      </c>
      <c r="G267" s="1">
        <v>469726.87</v>
      </c>
      <c r="H267" t="s">
        <v>126</v>
      </c>
      <c r="I267" t="s">
        <v>156</v>
      </c>
      <c r="J267" t="s">
        <v>180</v>
      </c>
    </row>
    <row r="268" spans="1:10">
      <c r="A268">
        <v>150575</v>
      </c>
      <c r="B268" t="s">
        <v>446</v>
      </c>
      <c r="C268" t="s">
        <v>866</v>
      </c>
      <c r="D268" t="s">
        <v>124</v>
      </c>
      <c r="E268" t="s">
        <v>867</v>
      </c>
      <c r="F268" t="s">
        <v>14</v>
      </c>
      <c r="G268" s="1">
        <v>469496.03</v>
      </c>
      <c r="H268" t="s">
        <v>126</v>
      </c>
      <c r="I268" t="s">
        <v>868</v>
      </c>
      <c r="J268" t="s">
        <v>869</v>
      </c>
    </row>
    <row r="269" spans="1:10">
      <c r="A269">
        <v>116730</v>
      </c>
      <c r="B269" t="s">
        <v>446</v>
      </c>
      <c r="C269" t="s">
        <v>870</v>
      </c>
      <c r="D269" t="s">
        <v>124</v>
      </c>
      <c r="E269" t="s">
        <v>871</v>
      </c>
      <c r="F269" t="s">
        <v>14</v>
      </c>
      <c r="G269" s="1">
        <v>467468.41</v>
      </c>
      <c r="H269" t="s">
        <v>126</v>
      </c>
      <c r="I269" t="s">
        <v>156</v>
      </c>
      <c r="J269" t="s">
        <v>180</v>
      </c>
    </row>
    <row r="270" spans="1:10">
      <c r="A270">
        <v>146211</v>
      </c>
      <c r="B270" t="s">
        <v>446</v>
      </c>
      <c r="C270" t="s">
        <v>872</v>
      </c>
      <c r="D270" t="s">
        <v>124</v>
      </c>
      <c r="E270" t="s">
        <v>873</v>
      </c>
      <c r="F270" t="s">
        <v>14</v>
      </c>
      <c r="G270" s="1">
        <v>462752</v>
      </c>
      <c r="H270" t="s">
        <v>126</v>
      </c>
      <c r="I270" t="s">
        <v>156</v>
      </c>
      <c r="J270" t="s">
        <v>180</v>
      </c>
    </row>
    <row r="271" spans="1:10">
      <c r="A271">
        <v>132104</v>
      </c>
      <c r="B271" t="s">
        <v>446</v>
      </c>
      <c r="C271" t="s">
        <v>874</v>
      </c>
      <c r="D271" t="s">
        <v>124</v>
      </c>
      <c r="E271" t="s">
        <v>875</v>
      </c>
      <c r="F271" t="s">
        <v>14</v>
      </c>
      <c r="G271" s="1">
        <v>453764.07</v>
      </c>
      <c r="H271" t="s">
        <v>126</v>
      </c>
      <c r="I271" t="s">
        <v>156</v>
      </c>
      <c r="J271" t="s">
        <v>180</v>
      </c>
    </row>
    <row r="272" spans="1:10">
      <c r="A272">
        <v>143525</v>
      </c>
      <c r="B272" t="s">
        <v>446</v>
      </c>
      <c r="C272" t="s">
        <v>876</v>
      </c>
      <c r="D272" t="s">
        <v>124</v>
      </c>
      <c r="E272" t="s">
        <v>877</v>
      </c>
      <c r="F272" t="s">
        <v>14</v>
      </c>
      <c r="G272" s="1">
        <v>452453.07</v>
      </c>
      <c r="H272" t="s">
        <v>126</v>
      </c>
      <c r="I272" t="s">
        <v>156</v>
      </c>
      <c r="J272" t="s">
        <v>187</v>
      </c>
    </row>
    <row r="273" spans="1:10">
      <c r="A273" t="s">
        <v>878</v>
      </c>
      <c r="B273" t="s">
        <v>446</v>
      </c>
      <c r="C273" t="s">
        <v>75</v>
      </c>
      <c r="D273" t="s">
        <v>12</v>
      </c>
      <c r="E273" t="s">
        <v>76</v>
      </c>
      <c r="F273" t="s">
        <v>168</v>
      </c>
      <c r="G273" s="1">
        <v>451888.84</v>
      </c>
      <c r="H273" t="s">
        <v>36</v>
      </c>
      <c r="I273" t="s">
        <v>77</v>
      </c>
      <c r="J273" t="s">
        <v>879</v>
      </c>
    </row>
    <row r="274" spans="1:10">
      <c r="A274">
        <v>141128</v>
      </c>
      <c r="B274" t="s">
        <v>446</v>
      </c>
      <c r="C274" t="s">
        <v>880</v>
      </c>
      <c r="D274" t="s">
        <v>12</v>
      </c>
      <c r="E274" t="s">
        <v>881</v>
      </c>
      <c r="F274" t="s">
        <v>14</v>
      </c>
      <c r="G274" s="1">
        <v>451705.93</v>
      </c>
      <c r="H274" t="s">
        <v>85</v>
      </c>
      <c r="I274" t="s">
        <v>882</v>
      </c>
      <c r="J274" t="s">
        <v>883</v>
      </c>
    </row>
    <row r="275" spans="1:10">
      <c r="A275">
        <v>130378</v>
      </c>
      <c r="B275" t="s">
        <v>446</v>
      </c>
      <c r="C275" t="s">
        <v>884</v>
      </c>
      <c r="D275" t="s">
        <v>124</v>
      </c>
      <c r="E275" t="s">
        <v>885</v>
      </c>
      <c r="F275" t="s">
        <v>14</v>
      </c>
      <c r="G275" s="1">
        <v>443883.71</v>
      </c>
      <c r="H275" t="s">
        <v>126</v>
      </c>
      <c r="I275" t="s">
        <v>156</v>
      </c>
      <c r="J275" t="s">
        <v>886</v>
      </c>
    </row>
    <row r="276" spans="1:10">
      <c r="A276">
        <v>150694</v>
      </c>
      <c r="B276" t="s">
        <v>446</v>
      </c>
      <c r="C276" t="s">
        <v>887</v>
      </c>
      <c r="D276" t="s">
        <v>25</v>
      </c>
      <c r="E276" t="s">
        <v>888</v>
      </c>
      <c r="F276" t="s">
        <v>14</v>
      </c>
      <c r="G276" s="1">
        <v>439867</v>
      </c>
      <c r="H276" t="s">
        <v>27</v>
      </c>
      <c r="I276" t="s">
        <v>889</v>
      </c>
      <c r="J276" t="s">
        <v>890</v>
      </c>
    </row>
    <row r="277" spans="1:10">
      <c r="A277">
        <v>100241</v>
      </c>
      <c r="B277" t="s">
        <v>446</v>
      </c>
      <c r="C277" t="s">
        <v>891</v>
      </c>
      <c r="D277" t="s">
        <v>12</v>
      </c>
      <c r="E277" t="s">
        <v>31</v>
      </c>
      <c r="F277" t="s">
        <v>168</v>
      </c>
      <c r="G277" s="1">
        <v>436656.2</v>
      </c>
      <c r="H277" t="s">
        <v>15</v>
      </c>
      <c r="I277" t="s">
        <v>32</v>
      </c>
      <c r="J277" t="s">
        <v>33</v>
      </c>
    </row>
    <row r="278" spans="1:10">
      <c r="A278">
        <v>144057</v>
      </c>
      <c r="B278" t="s">
        <v>446</v>
      </c>
      <c r="C278" t="s">
        <v>892</v>
      </c>
      <c r="D278" t="s">
        <v>25</v>
      </c>
      <c r="E278" t="s">
        <v>893</v>
      </c>
      <c r="F278" t="s">
        <v>14</v>
      </c>
      <c r="G278" s="1">
        <v>435366.01</v>
      </c>
      <c r="H278" t="s">
        <v>27</v>
      </c>
      <c r="I278" t="s">
        <v>889</v>
      </c>
      <c r="J278" t="s">
        <v>894</v>
      </c>
    </row>
    <row r="279" spans="1:10">
      <c r="A279">
        <v>143926</v>
      </c>
      <c r="B279" t="s">
        <v>446</v>
      </c>
      <c r="C279" t="s">
        <v>895</v>
      </c>
      <c r="D279" t="s">
        <v>124</v>
      </c>
      <c r="E279" t="s">
        <v>896</v>
      </c>
      <c r="F279" t="s">
        <v>14</v>
      </c>
      <c r="G279" s="1">
        <v>433151.98</v>
      </c>
      <c r="H279" t="s">
        <v>504</v>
      </c>
      <c r="I279" t="s">
        <v>897</v>
      </c>
      <c r="J279" t="s">
        <v>898</v>
      </c>
    </row>
    <row r="280" spans="1:10">
      <c r="A280">
        <v>132295</v>
      </c>
      <c r="B280" t="s">
        <v>446</v>
      </c>
      <c r="C280" t="s">
        <v>899</v>
      </c>
      <c r="D280" t="s">
        <v>124</v>
      </c>
      <c r="E280" t="s">
        <v>314</v>
      </c>
      <c r="F280" t="s">
        <v>14</v>
      </c>
      <c r="G280" s="1">
        <v>433032.69</v>
      </c>
      <c r="H280" t="s">
        <v>126</v>
      </c>
      <c r="I280" t="s">
        <v>156</v>
      </c>
      <c r="J280" t="s">
        <v>900</v>
      </c>
    </row>
    <row r="281" spans="1:10">
      <c r="A281">
        <v>132154</v>
      </c>
      <c r="B281" t="s">
        <v>446</v>
      </c>
      <c r="C281" t="s">
        <v>901</v>
      </c>
      <c r="D281" t="s">
        <v>124</v>
      </c>
      <c r="E281" t="s">
        <v>902</v>
      </c>
      <c r="F281" t="s">
        <v>14</v>
      </c>
      <c r="G281" s="1">
        <v>430119.03</v>
      </c>
      <c r="H281" t="s">
        <v>126</v>
      </c>
      <c r="I281" t="s">
        <v>156</v>
      </c>
      <c r="J281" t="s">
        <v>180</v>
      </c>
    </row>
    <row r="282" spans="1:10">
      <c r="A282">
        <v>131948</v>
      </c>
      <c r="B282" t="s">
        <v>446</v>
      </c>
      <c r="C282" t="s">
        <v>903</v>
      </c>
      <c r="D282" t="s">
        <v>124</v>
      </c>
      <c r="E282" t="s">
        <v>904</v>
      </c>
      <c r="F282" t="s">
        <v>14</v>
      </c>
      <c r="G282" s="1">
        <v>429862.79</v>
      </c>
      <c r="H282" t="s">
        <v>126</v>
      </c>
      <c r="I282" t="s">
        <v>156</v>
      </c>
      <c r="J282" t="s">
        <v>905</v>
      </c>
    </row>
    <row r="283" spans="1:10">
      <c r="A283">
        <v>102927</v>
      </c>
      <c r="B283" t="s">
        <v>446</v>
      </c>
      <c r="C283" t="s">
        <v>906</v>
      </c>
      <c r="D283" t="s">
        <v>12</v>
      </c>
      <c r="E283" t="s">
        <v>907</v>
      </c>
      <c r="F283" t="s">
        <v>14</v>
      </c>
      <c r="G283" s="1">
        <v>423833.33</v>
      </c>
      <c r="H283" t="s">
        <v>85</v>
      </c>
      <c r="I283" t="s">
        <v>908</v>
      </c>
      <c r="J283" t="s">
        <v>909</v>
      </c>
    </row>
    <row r="284" spans="1:10">
      <c r="A284">
        <v>149108</v>
      </c>
      <c r="B284" t="s">
        <v>446</v>
      </c>
      <c r="C284" t="s">
        <v>910</v>
      </c>
      <c r="D284" t="s">
        <v>124</v>
      </c>
      <c r="E284" t="s">
        <v>911</v>
      </c>
      <c r="F284" t="s">
        <v>14</v>
      </c>
      <c r="G284" s="1">
        <v>421644.05</v>
      </c>
      <c r="H284" t="s">
        <v>126</v>
      </c>
      <c r="I284" t="s">
        <v>156</v>
      </c>
      <c r="J284" t="s">
        <v>660</v>
      </c>
    </row>
    <row r="285" spans="1:10">
      <c r="A285">
        <v>104681</v>
      </c>
      <c r="B285" t="s">
        <v>446</v>
      </c>
      <c r="C285" t="s">
        <v>912</v>
      </c>
      <c r="D285" t="s">
        <v>12</v>
      </c>
      <c r="E285" t="s">
        <v>913</v>
      </c>
      <c r="F285" t="s">
        <v>14</v>
      </c>
      <c r="G285" s="1">
        <v>418632.96000000002</v>
      </c>
      <c r="H285" t="s">
        <v>27</v>
      </c>
      <c r="I285" t="s">
        <v>914</v>
      </c>
      <c r="J285" t="s">
        <v>915</v>
      </c>
    </row>
    <row r="286" spans="1:10">
      <c r="A286">
        <v>150923</v>
      </c>
      <c r="B286" t="s">
        <v>446</v>
      </c>
      <c r="C286" t="s">
        <v>916</v>
      </c>
      <c r="D286" t="s">
        <v>12</v>
      </c>
      <c r="E286" t="s">
        <v>917</v>
      </c>
      <c r="F286" t="s">
        <v>14</v>
      </c>
      <c r="G286" s="1">
        <v>417239.07</v>
      </c>
      <c r="H286" t="s">
        <v>918</v>
      </c>
      <c r="I286" t="s">
        <v>919</v>
      </c>
      <c r="J286" t="s">
        <v>920</v>
      </c>
    </row>
    <row r="287" spans="1:10">
      <c r="A287">
        <v>141171</v>
      </c>
      <c r="B287" t="s">
        <v>446</v>
      </c>
      <c r="C287" t="s">
        <v>921</v>
      </c>
      <c r="D287" t="s">
        <v>124</v>
      </c>
      <c r="E287" t="s">
        <v>922</v>
      </c>
      <c r="F287" t="s">
        <v>14</v>
      </c>
      <c r="G287" s="1">
        <v>416678.07</v>
      </c>
      <c r="H287" t="s">
        <v>126</v>
      </c>
      <c r="I287" t="s">
        <v>156</v>
      </c>
      <c r="J287" t="s">
        <v>180</v>
      </c>
    </row>
    <row r="288" spans="1:10">
      <c r="A288">
        <v>151488</v>
      </c>
      <c r="B288" t="s">
        <v>446</v>
      </c>
      <c r="C288" t="s">
        <v>923</v>
      </c>
      <c r="D288" t="s">
        <v>12</v>
      </c>
      <c r="E288" t="s">
        <v>924</v>
      </c>
      <c r="F288" t="s">
        <v>14</v>
      </c>
      <c r="G288" s="1">
        <v>412527.38</v>
      </c>
      <c r="H288" t="s">
        <v>126</v>
      </c>
      <c r="I288" t="s">
        <v>485</v>
      </c>
      <c r="J288" t="s">
        <v>925</v>
      </c>
    </row>
    <row r="289" spans="1:10">
      <c r="A289">
        <v>149481</v>
      </c>
      <c r="B289" t="s">
        <v>446</v>
      </c>
      <c r="C289" t="s">
        <v>926</v>
      </c>
      <c r="D289" t="s">
        <v>12</v>
      </c>
      <c r="E289" t="s">
        <v>927</v>
      </c>
      <c r="F289" t="s">
        <v>14</v>
      </c>
      <c r="G289" s="1">
        <v>410454.67</v>
      </c>
      <c r="H289" t="s">
        <v>928</v>
      </c>
      <c r="I289" t="s">
        <v>929</v>
      </c>
      <c r="J289" t="s">
        <v>930</v>
      </c>
    </row>
    <row r="290" spans="1:10">
      <c r="A290">
        <v>130147</v>
      </c>
      <c r="B290" t="s">
        <v>446</v>
      </c>
      <c r="C290" t="s">
        <v>931</v>
      </c>
      <c r="D290" t="s">
        <v>12</v>
      </c>
      <c r="E290" t="s">
        <v>932</v>
      </c>
      <c r="F290" t="s">
        <v>14</v>
      </c>
      <c r="G290" s="1">
        <v>400000</v>
      </c>
      <c r="H290" t="s">
        <v>85</v>
      </c>
      <c r="I290" t="s">
        <v>933</v>
      </c>
      <c r="J290" t="s">
        <v>934</v>
      </c>
    </row>
    <row r="291" spans="1:10">
      <c r="A291">
        <v>141674</v>
      </c>
      <c r="B291" t="s">
        <v>446</v>
      </c>
      <c r="C291" t="s">
        <v>935</v>
      </c>
      <c r="D291" t="s">
        <v>124</v>
      </c>
      <c r="E291" t="s">
        <v>936</v>
      </c>
      <c r="F291" t="s">
        <v>14</v>
      </c>
      <c r="G291" s="1">
        <v>398183.91</v>
      </c>
      <c r="H291" t="s">
        <v>126</v>
      </c>
      <c r="I291" t="s">
        <v>156</v>
      </c>
      <c r="J291" t="s">
        <v>180</v>
      </c>
    </row>
    <row r="292" spans="1:10">
      <c r="A292">
        <v>141083</v>
      </c>
      <c r="B292" t="s">
        <v>446</v>
      </c>
      <c r="C292" t="s">
        <v>937</v>
      </c>
      <c r="D292" t="s">
        <v>124</v>
      </c>
      <c r="E292" t="s">
        <v>938</v>
      </c>
      <c r="F292" t="s">
        <v>14</v>
      </c>
      <c r="G292" s="1">
        <v>392374.81</v>
      </c>
      <c r="H292" t="s">
        <v>126</v>
      </c>
      <c r="I292" t="s">
        <v>156</v>
      </c>
      <c r="J292" t="s">
        <v>180</v>
      </c>
    </row>
    <row r="293" spans="1:10">
      <c r="A293">
        <v>129521</v>
      </c>
      <c r="B293" t="s">
        <v>446</v>
      </c>
      <c r="C293" t="s">
        <v>939</v>
      </c>
      <c r="D293" t="s">
        <v>124</v>
      </c>
      <c r="E293" t="s">
        <v>940</v>
      </c>
      <c r="F293" t="s">
        <v>14</v>
      </c>
      <c r="G293" s="1">
        <v>391596.95</v>
      </c>
      <c r="H293" t="s">
        <v>126</v>
      </c>
      <c r="I293" t="s">
        <v>156</v>
      </c>
      <c r="J293" t="s">
        <v>180</v>
      </c>
    </row>
    <row r="294" spans="1:10">
      <c r="A294">
        <v>144174</v>
      </c>
      <c r="B294" t="s">
        <v>446</v>
      </c>
      <c r="C294" t="s">
        <v>941</v>
      </c>
      <c r="D294" t="s">
        <v>124</v>
      </c>
      <c r="E294" t="s">
        <v>942</v>
      </c>
      <c r="F294" t="s">
        <v>14</v>
      </c>
      <c r="G294" s="1">
        <v>383388.17</v>
      </c>
      <c r="H294" t="s">
        <v>126</v>
      </c>
      <c r="I294" t="s">
        <v>156</v>
      </c>
      <c r="J294" t="s">
        <v>180</v>
      </c>
    </row>
    <row r="295" spans="1:10">
      <c r="A295">
        <v>114305</v>
      </c>
      <c r="B295" t="s">
        <v>446</v>
      </c>
      <c r="C295" t="s">
        <v>943</v>
      </c>
      <c r="D295" t="s">
        <v>124</v>
      </c>
      <c r="E295" t="s">
        <v>944</v>
      </c>
      <c r="F295" t="s">
        <v>14</v>
      </c>
      <c r="G295" s="1">
        <v>382186.47</v>
      </c>
      <c r="H295" t="s">
        <v>126</v>
      </c>
      <c r="I295" t="s">
        <v>156</v>
      </c>
      <c r="J295" t="s">
        <v>180</v>
      </c>
    </row>
    <row r="296" spans="1:10">
      <c r="A296">
        <v>103253</v>
      </c>
      <c r="B296" t="s">
        <v>446</v>
      </c>
      <c r="C296" t="s">
        <v>945</v>
      </c>
      <c r="D296" t="s">
        <v>12</v>
      </c>
      <c r="E296" t="s">
        <v>946</v>
      </c>
      <c r="F296" t="s">
        <v>14</v>
      </c>
      <c r="G296" s="1">
        <v>381673.19</v>
      </c>
      <c r="H296" t="s">
        <v>27</v>
      </c>
      <c r="I296" t="s">
        <v>947</v>
      </c>
      <c r="J296" t="s">
        <v>948</v>
      </c>
    </row>
    <row r="297" spans="1:10">
      <c r="A297">
        <v>123944</v>
      </c>
      <c r="B297" t="s">
        <v>446</v>
      </c>
      <c r="C297" t="s">
        <v>949</v>
      </c>
      <c r="D297" t="s">
        <v>124</v>
      </c>
      <c r="E297" t="s">
        <v>950</v>
      </c>
      <c r="F297" t="s">
        <v>14</v>
      </c>
      <c r="G297" s="1">
        <v>378897.66</v>
      </c>
      <c r="H297" t="s">
        <v>126</v>
      </c>
      <c r="I297" t="s">
        <v>156</v>
      </c>
      <c r="J297" t="s">
        <v>180</v>
      </c>
    </row>
    <row r="298" spans="1:10">
      <c r="A298">
        <v>150219</v>
      </c>
      <c r="B298" t="s">
        <v>446</v>
      </c>
      <c r="C298" t="s">
        <v>951</v>
      </c>
      <c r="D298" t="s">
        <v>12</v>
      </c>
      <c r="E298" t="s">
        <v>952</v>
      </c>
      <c r="F298" t="s">
        <v>14</v>
      </c>
      <c r="G298" s="1">
        <v>378880</v>
      </c>
      <c r="H298" t="s">
        <v>56</v>
      </c>
      <c r="I298" t="s">
        <v>953</v>
      </c>
      <c r="J298" t="s">
        <v>954</v>
      </c>
    </row>
    <row r="299" spans="1:10">
      <c r="A299">
        <v>145085</v>
      </c>
      <c r="B299" t="s">
        <v>446</v>
      </c>
      <c r="C299" t="s">
        <v>955</v>
      </c>
      <c r="D299" t="s">
        <v>124</v>
      </c>
      <c r="E299" t="s">
        <v>956</v>
      </c>
      <c r="F299" t="s">
        <v>14</v>
      </c>
      <c r="G299" s="1">
        <v>376321.18</v>
      </c>
      <c r="H299" t="s">
        <v>126</v>
      </c>
      <c r="I299" t="s">
        <v>957</v>
      </c>
    </row>
    <row r="300" spans="1:10">
      <c r="A300">
        <v>146502</v>
      </c>
      <c r="B300" t="s">
        <v>446</v>
      </c>
      <c r="C300" t="s">
        <v>958</v>
      </c>
      <c r="D300" t="s">
        <v>12</v>
      </c>
      <c r="E300" t="s">
        <v>959</v>
      </c>
      <c r="F300" t="s">
        <v>14</v>
      </c>
      <c r="G300" s="1">
        <v>375698.35</v>
      </c>
      <c r="H300" t="s">
        <v>85</v>
      </c>
      <c r="I300" t="s">
        <v>960</v>
      </c>
      <c r="J300" t="s">
        <v>961</v>
      </c>
    </row>
    <row r="301" spans="1:10">
      <c r="A301">
        <v>119060</v>
      </c>
      <c r="B301" t="s">
        <v>446</v>
      </c>
      <c r="C301" t="s">
        <v>962</v>
      </c>
      <c r="D301" t="s">
        <v>12</v>
      </c>
      <c r="E301" t="s">
        <v>963</v>
      </c>
      <c r="F301" t="s">
        <v>14</v>
      </c>
      <c r="G301" s="1">
        <v>375420.71</v>
      </c>
      <c r="H301" t="s">
        <v>36</v>
      </c>
      <c r="I301" t="s">
        <v>964</v>
      </c>
      <c r="J301" t="s">
        <v>965</v>
      </c>
    </row>
    <row r="302" spans="1:10">
      <c r="A302">
        <v>129960</v>
      </c>
      <c r="B302" t="s">
        <v>446</v>
      </c>
      <c r="C302" t="s">
        <v>966</v>
      </c>
      <c r="D302" t="s">
        <v>124</v>
      </c>
      <c r="E302" t="s">
        <v>967</v>
      </c>
      <c r="F302" t="s">
        <v>14</v>
      </c>
      <c r="G302" s="1">
        <v>374805.45</v>
      </c>
      <c r="H302" t="s">
        <v>126</v>
      </c>
      <c r="I302" t="s">
        <v>156</v>
      </c>
      <c r="J302" t="s">
        <v>180</v>
      </c>
    </row>
    <row r="303" spans="1:10">
      <c r="A303">
        <v>121985</v>
      </c>
      <c r="B303" t="s">
        <v>446</v>
      </c>
      <c r="C303" t="s">
        <v>968</v>
      </c>
      <c r="D303" t="s">
        <v>124</v>
      </c>
      <c r="E303" t="s">
        <v>969</v>
      </c>
      <c r="F303" t="s">
        <v>14</v>
      </c>
      <c r="G303" s="1">
        <v>374250</v>
      </c>
      <c r="H303" t="s">
        <v>126</v>
      </c>
      <c r="I303" t="s">
        <v>156</v>
      </c>
      <c r="J303" t="s">
        <v>180</v>
      </c>
    </row>
    <row r="304" spans="1:10">
      <c r="A304">
        <v>129708</v>
      </c>
      <c r="B304" t="s">
        <v>446</v>
      </c>
      <c r="C304" t="s">
        <v>970</v>
      </c>
      <c r="D304" t="s">
        <v>124</v>
      </c>
      <c r="E304" t="s">
        <v>971</v>
      </c>
      <c r="F304" t="s">
        <v>14</v>
      </c>
      <c r="G304" s="1">
        <v>369187.58</v>
      </c>
      <c r="H304" t="s">
        <v>126</v>
      </c>
      <c r="I304" t="s">
        <v>156</v>
      </c>
      <c r="J304" t="s">
        <v>187</v>
      </c>
    </row>
    <row r="305" spans="1:10">
      <c r="A305">
        <v>116634</v>
      </c>
      <c r="B305" t="s">
        <v>446</v>
      </c>
      <c r="C305" t="s">
        <v>972</v>
      </c>
      <c r="D305" t="s">
        <v>124</v>
      </c>
      <c r="E305" t="s">
        <v>973</v>
      </c>
      <c r="F305" t="s">
        <v>14</v>
      </c>
      <c r="G305" s="1">
        <v>367980.18</v>
      </c>
      <c r="H305" t="s">
        <v>126</v>
      </c>
      <c r="I305" t="s">
        <v>156</v>
      </c>
      <c r="J305" t="s">
        <v>974</v>
      </c>
    </row>
    <row r="306" spans="1:10">
      <c r="A306">
        <v>142903</v>
      </c>
      <c r="B306" t="s">
        <v>446</v>
      </c>
      <c r="C306" t="s">
        <v>975</v>
      </c>
      <c r="D306" t="s">
        <v>12</v>
      </c>
      <c r="E306" t="s">
        <v>976</v>
      </c>
      <c r="F306" t="s">
        <v>14</v>
      </c>
      <c r="G306" s="1">
        <v>366048.67</v>
      </c>
      <c r="H306" t="s">
        <v>36</v>
      </c>
      <c r="I306" t="s">
        <v>762</v>
      </c>
      <c r="J306" t="s">
        <v>977</v>
      </c>
    </row>
    <row r="307" spans="1:10">
      <c r="A307">
        <v>132327</v>
      </c>
      <c r="B307" t="s">
        <v>446</v>
      </c>
      <c r="C307" t="s">
        <v>978</v>
      </c>
      <c r="D307" t="s">
        <v>12</v>
      </c>
      <c r="E307" t="s">
        <v>979</v>
      </c>
      <c r="F307" t="s">
        <v>14</v>
      </c>
      <c r="G307" s="1">
        <v>365991.95</v>
      </c>
      <c r="H307" t="s">
        <v>36</v>
      </c>
      <c r="I307" t="s">
        <v>980</v>
      </c>
      <c r="J307" t="s">
        <v>981</v>
      </c>
    </row>
    <row r="308" spans="1:10">
      <c r="A308">
        <v>103608</v>
      </c>
      <c r="B308" t="s">
        <v>446</v>
      </c>
      <c r="C308" t="s">
        <v>982</v>
      </c>
      <c r="D308" t="s">
        <v>12</v>
      </c>
      <c r="E308" t="s">
        <v>983</v>
      </c>
      <c r="F308" t="s">
        <v>14</v>
      </c>
      <c r="G308" s="1">
        <v>365194.23999999999</v>
      </c>
      <c r="H308" t="s">
        <v>425</v>
      </c>
      <c r="I308" t="s">
        <v>984</v>
      </c>
      <c r="J308" t="s">
        <v>985</v>
      </c>
    </row>
    <row r="309" spans="1:10">
      <c r="A309">
        <v>141548</v>
      </c>
      <c r="B309" t="s">
        <v>446</v>
      </c>
      <c r="C309" t="s">
        <v>986</v>
      </c>
      <c r="D309" t="s">
        <v>124</v>
      </c>
      <c r="E309" t="s">
        <v>987</v>
      </c>
      <c r="F309" t="s">
        <v>14</v>
      </c>
      <c r="G309" s="1">
        <v>365107.16</v>
      </c>
      <c r="H309" t="s">
        <v>126</v>
      </c>
      <c r="I309" t="s">
        <v>156</v>
      </c>
      <c r="J309" t="s">
        <v>180</v>
      </c>
    </row>
    <row r="310" spans="1:10">
      <c r="A310" t="s">
        <v>988</v>
      </c>
      <c r="B310" t="s">
        <v>446</v>
      </c>
      <c r="C310" t="s">
        <v>989</v>
      </c>
      <c r="D310" t="s">
        <v>12</v>
      </c>
      <c r="E310" t="s">
        <v>470</v>
      </c>
      <c r="F310" t="s">
        <v>168</v>
      </c>
      <c r="G310" s="1">
        <v>357348.99</v>
      </c>
      <c r="H310" t="s">
        <v>56</v>
      </c>
      <c r="I310" t="s">
        <v>990</v>
      </c>
      <c r="J310" t="s">
        <v>991</v>
      </c>
    </row>
    <row r="311" spans="1:10">
      <c r="A311">
        <v>150896</v>
      </c>
      <c r="B311" t="s">
        <v>446</v>
      </c>
      <c r="C311" t="s">
        <v>992</v>
      </c>
      <c r="D311" t="s">
        <v>12</v>
      </c>
      <c r="E311" t="s">
        <v>993</v>
      </c>
      <c r="F311" t="s">
        <v>14</v>
      </c>
      <c r="G311" s="1">
        <v>355819.54</v>
      </c>
      <c r="H311" t="s">
        <v>36</v>
      </c>
      <c r="I311" t="s">
        <v>994</v>
      </c>
      <c r="J311" t="s">
        <v>995</v>
      </c>
    </row>
    <row r="312" spans="1:10">
      <c r="A312">
        <v>140828</v>
      </c>
      <c r="B312" t="s">
        <v>446</v>
      </c>
      <c r="C312" t="s">
        <v>996</v>
      </c>
      <c r="D312" t="s">
        <v>12</v>
      </c>
      <c r="E312" t="s">
        <v>997</v>
      </c>
      <c r="F312" t="s">
        <v>14</v>
      </c>
      <c r="G312" s="1">
        <v>355383.2</v>
      </c>
      <c r="H312" t="s">
        <v>56</v>
      </c>
      <c r="I312" t="s">
        <v>998</v>
      </c>
      <c r="J312" t="s">
        <v>999</v>
      </c>
    </row>
    <row r="313" spans="1:10">
      <c r="A313">
        <v>122537</v>
      </c>
      <c r="B313" t="s">
        <v>446</v>
      </c>
      <c r="C313" t="s">
        <v>1000</v>
      </c>
      <c r="D313" t="s">
        <v>124</v>
      </c>
      <c r="E313" t="s">
        <v>674</v>
      </c>
      <c r="F313" t="s">
        <v>14</v>
      </c>
      <c r="G313" s="1">
        <v>350241.08</v>
      </c>
      <c r="H313" t="s">
        <v>126</v>
      </c>
      <c r="I313" t="s">
        <v>156</v>
      </c>
      <c r="J313" t="s">
        <v>180</v>
      </c>
    </row>
    <row r="314" spans="1:10">
      <c r="A314">
        <v>119603</v>
      </c>
      <c r="B314" t="s">
        <v>446</v>
      </c>
      <c r="C314" t="s">
        <v>1001</v>
      </c>
      <c r="D314" t="s">
        <v>331</v>
      </c>
      <c r="E314" t="s">
        <v>1002</v>
      </c>
      <c r="F314" t="s">
        <v>14</v>
      </c>
      <c r="G314" s="1">
        <v>348862.61</v>
      </c>
      <c r="H314" t="s">
        <v>333</v>
      </c>
      <c r="I314" t="s">
        <v>334</v>
      </c>
      <c r="J314" t="s">
        <v>1003</v>
      </c>
    </row>
    <row r="315" spans="1:10">
      <c r="A315">
        <v>108801</v>
      </c>
      <c r="B315" t="s">
        <v>446</v>
      </c>
      <c r="C315" t="s">
        <v>1004</v>
      </c>
      <c r="D315" t="s">
        <v>12</v>
      </c>
      <c r="E315" t="s">
        <v>1005</v>
      </c>
      <c r="F315" t="s">
        <v>14</v>
      </c>
      <c r="G315" s="1">
        <v>348797.68</v>
      </c>
      <c r="H315" t="s">
        <v>140</v>
      </c>
      <c r="I315" t="s">
        <v>1006</v>
      </c>
      <c r="J315" t="s">
        <v>1007</v>
      </c>
    </row>
    <row r="316" spans="1:10">
      <c r="A316">
        <v>127441</v>
      </c>
      <c r="B316" t="s">
        <v>446</v>
      </c>
      <c r="C316" t="s">
        <v>1008</v>
      </c>
      <c r="D316" t="s">
        <v>12</v>
      </c>
      <c r="E316" t="s">
        <v>1009</v>
      </c>
      <c r="F316" t="s">
        <v>14</v>
      </c>
      <c r="G316" s="1">
        <v>348434.89</v>
      </c>
      <c r="H316" t="s">
        <v>27</v>
      </c>
      <c r="I316" t="s">
        <v>1010</v>
      </c>
      <c r="J316" t="s">
        <v>1011</v>
      </c>
    </row>
    <row r="317" spans="1:10">
      <c r="A317">
        <v>111465</v>
      </c>
      <c r="B317" t="s">
        <v>446</v>
      </c>
      <c r="C317" t="s">
        <v>1012</v>
      </c>
      <c r="D317" t="s">
        <v>25</v>
      </c>
      <c r="E317" t="s">
        <v>1013</v>
      </c>
      <c r="F317" t="s">
        <v>14</v>
      </c>
      <c r="G317" s="1">
        <v>347825</v>
      </c>
      <c r="H317" t="s">
        <v>36</v>
      </c>
      <c r="I317" t="s">
        <v>41</v>
      </c>
      <c r="J317" t="s">
        <v>1014</v>
      </c>
    </row>
    <row r="318" spans="1:10">
      <c r="A318">
        <v>130103</v>
      </c>
      <c r="B318" t="s">
        <v>446</v>
      </c>
      <c r="C318" t="s">
        <v>1015</v>
      </c>
      <c r="D318" t="s">
        <v>12</v>
      </c>
      <c r="E318" t="s">
        <v>1016</v>
      </c>
      <c r="F318" t="s">
        <v>14</v>
      </c>
      <c r="G318" s="1">
        <v>340660.12</v>
      </c>
      <c r="H318" t="s">
        <v>1017</v>
      </c>
      <c r="I318" t="s">
        <v>1018</v>
      </c>
      <c r="J318" t="s">
        <v>1019</v>
      </c>
    </row>
    <row r="319" spans="1:10">
      <c r="A319">
        <v>128456</v>
      </c>
      <c r="B319" t="s">
        <v>446</v>
      </c>
      <c r="C319" t="s">
        <v>1020</v>
      </c>
      <c r="D319" t="s">
        <v>12</v>
      </c>
      <c r="E319" t="s">
        <v>1021</v>
      </c>
      <c r="F319" t="s">
        <v>14</v>
      </c>
      <c r="G319" s="1">
        <v>339258.98</v>
      </c>
      <c r="H319" t="s">
        <v>1017</v>
      </c>
      <c r="I319" t="s">
        <v>1022</v>
      </c>
      <c r="J319" t="s">
        <v>1023</v>
      </c>
    </row>
    <row r="320" spans="1:10">
      <c r="A320">
        <v>130245</v>
      </c>
      <c r="B320" t="s">
        <v>446</v>
      </c>
      <c r="C320" t="s">
        <v>1024</v>
      </c>
      <c r="D320" t="s">
        <v>124</v>
      </c>
      <c r="E320" t="s">
        <v>1025</v>
      </c>
      <c r="F320" t="s">
        <v>14</v>
      </c>
      <c r="G320" s="1">
        <v>335410.81</v>
      </c>
      <c r="H320" t="s">
        <v>126</v>
      </c>
      <c r="I320" t="s">
        <v>156</v>
      </c>
      <c r="J320" t="s">
        <v>1026</v>
      </c>
    </row>
    <row r="321" spans="1:10">
      <c r="A321">
        <v>114306</v>
      </c>
      <c r="B321" t="s">
        <v>446</v>
      </c>
      <c r="C321" t="s">
        <v>1027</v>
      </c>
      <c r="D321" t="s">
        <v>124</v>
      </c>
      <c r="E321" t="s">
        <v>1028</v>
      </c>
      <c r="F321" t="s">
        <v>14</v>
      </c>
      <c r="G321" s="1">
        <v>330900</v>
      </c>
      <c r="H321" t="s">
        <v>126</v>
      </c>
      <c r="I321" t="s">
        <v>156</v>
      </c>
      <c r="J321" t="s">
        <v>180</v>
      </c>
    </row>
    <row r="322" spans="1:10">
      <c r="A322">
        <v>119362</v>
      </c>
      <c r="B322" t="s">
        <v>446</v>
      </c>
      <c r="C322" t="s">
        <v>1029</v>
      </c>
      <c r="D322" t="s">
        <v>124</v>
      </c>
      <c r="E322" t="s">
        <v>1030</v>
      </c>
      <c r="F322" t="s">
        <v>14</v>
      </c>
      <c r="G322" s="1">
        <v>329607.24</v>
      </c>
      <c r="H322" t="s">
        <v>126</v>
      </c>
      <c r="I322" t="s">
        <v>156</v>
      </c>
      <c r="J322" t="s">
        <v>180</v>
      </c>
    </row>
    <row r="323" spans="1:10">
      <c r="A323">
        <v>110663</v>
      </c>
      <c r="B323" t="s">
        <v>446</v>
      </c>
      <c r="C323" t="s">
        <v>1031</v>
      </c>
      <c r="D323" t="s">
        <v>124</v>
      </c>
      <c r="E323" t="s">
        <v>1032</v>
      </c>
      <c r="F323" t="s">
        <v>14</v>
      </c>
      <c r="G323" s="1">
        <v>329572.71000000002</v>
      </c>
      <c r="H323" t="s">
        <v>126</v>
      </c>
      <c r="I323" t="s">
        <v>156</v>
      </c>
      <c r="J323" t="s">
        <v>157</v>
      </c>
    </row>
    <row r="324" spans="1:10">
      <c r="A324">
        <v>143807</v>
      </c>
      <c r="B324" t="s">
        <v>446</v>
      </c>
      <c r="C324" t="s">
        <v>1033</v>
      </c>
      <c r="D324" t="s">
        <v>124</v>
      </c>
      <c r="E324" t="s">
        <v>1034</v>
      </c>
      <c r="F324" t="s">
        <v>14</v>
      </c>
      <c r="G324" s="1">
        <v>327252.96000000002</v>
      </c>
      <c r="H324" t="s">
        <v>126</v>
      </c>
      <c r="I324" t="s">
        <v>156</v>
      </c>
      <c r="J324" t="s">
        <v>180</v>
      </c>
    </row>
    <row r="325" spans="1:10">
      <c r="A325">
        <v>110652</v>
      </c>
      <c r="B325" t="s">
        <v>446</v>
      </c>
      <c r="C325" t="s">
        <v>1035</v>
      </c>
      <c r="D325" t="s">
        <v>124</v>
      </c>
      <c r="E325" t="s">
        <v>1036</v>
      </c>
      <c r="F325" t="s">
        <v>14</v>
      </c>
      <c r="G325" s="1">
        <v>325902.68</v>
      </c>
      <c r="H325" t="s">
        <v>126</v>
      </c>
      <c r="I325" t="s">
        <v>156</v>
      </c>
      <c r="J325" t="s">
        <v>1037</v>
      </c>
    </row>
    <row r="326" spans="1:10">
      <c r="A326">
        <v>106718</v>
      </c>
      <c r="B326" t="s">
        <v>446</v>
      </c>
      <c r="C326" t="s">
        <v>1038</v>
      </c>
      <c r="D326" t="s">
        <v>12</v>
      </c>
      <c r="E326" t="s">
        <v>1039</v>
      </c>
      <c r="F326" t="s">
        <v>14</v>
      </c>
      <c r="G326" s="1">
        <v>324823.78999999998</v>
      </c>
      <c r="H326" t="s">
        <v>437</v>
      </c>
      <c r="I326" t="s">
        <v>1040</v>
      </c>
      <c r="J326" t="s">
        <v>1041</v>
      </c>
    </row>
    <row r="327" spans="1:10">
      <c r="A327">
        <v>125582</v>
      </c>
      <c r="B327" t="s">
        <v>446</v>
      </c>
      <c r="C327" t="s">
        <v>129</v>
      </c>
      <c r="D327" t="s">
        <v>124</v>
      </c>
      <c r="E327" t="s">
        <v>31</v>
      </c>
      <c r="F327" t="s">
        <v>14</v>
      </c>
      <c r="G327" s="1">
        <v>322859.52000000002</v>
      </c>
      <c r="H327" t="s">
        <v>27</v>
      </c>
      <c r="I327" t="s">
        <v>1042</v>
      </c>
      <c r="J327" t="s">
        <v>1043</v>
      </c>
    </row>
    <row r="328" spans="1:10">
      <c r="A328">
        <v>104092</v>
      </c>
      <c r="B328" t="s">
        <v>446</v>
      </c>
      <c r="C328" t="s">
        <v>1044</v>
      </c>
      <c r="D328" t="s">
        <v>245</v>
      </c>
      <c r="E328" t="s">
        <v>1045</v>
      </c>
      <c r="F328" t="s">
        <v>14</v>
      </c>
      <c r="G328" s="1">
        <v>319820</v>
      </c>
      <c r="H328" t="s">
        <v>27</v>
      </c>
      <c r="I328" t="s">
        <v>1046</v>
      </c>
      <c r="J328" t="s">
        <v>1047</v>
      </c>
    </row>
    <row r="329" spans="1:10">
      <c r="A329">
        <v>106349</v>
      </c>
      <c r="B329" t="s">
        <v>446</v>
      </c>
      <c r="C329" t="s">
        <v>1048</v>
      </c>
      <c r="D329" t="s">
        <v>124</v>
      </c>
      <c r="E329" t="s">
        <v>1049</v>
      </c>
      <c r="F329" t="s">
        <v>14</v>
      </c>
      <c r="G329" s="1">
        <v>318070.56</v>
      </c>
      <c r="H329" t="s">
        <v>126</v>
      </c>
      <c r="I329" t="s">
        <v>156</v>
      </c>
      <c r="J329" t="s">
        <v>1050</v>
      </c>
    </row>
    <row r="330" spans="1:10">
      <c r="A330">
        <v>122536</v>
      </c>
      <c r="B330" t="s">
        <v>446</v>
      </c>
      <c r="C330" t="s">
        <v>1051</v>
      </c>
      <c r="D330" t="s">
        <v>124</v>
      </c>
      <c r="E330" t="s">
        <v>1052</v>
      </c>
      <c r="F330" t="s">
        <v>14</v>
      </c>
      <c r="G330" s="1">
        <v>316579.84000000003</v>
      </c>
      <c r="H330" t="s">
        <v>126</v>
      </c>
      <c r="I330" t="s">
        <v>156</v>
      </c>
      <c r="J330" t="s">
        <v>180</v>
      </c>
    </row>
    <row r="331" spans="1:10">
      <c r="A331">
        <v>148966</v>
      </c>
      <c r="B331" t="s">
        <v>446</v>
      </c>
      <c r="C331" t="s">
        <v>1053</v>
      </c>
      <c r="D331" t="s">
        <v>12</v>
      </c>
      <c r="E331" t="s">
        <v>1054</v>
      </c>
      <c r="F331" t="s">
        <v>14</v>
      </c>
      <c r="G331" s="1">
        <v>314685</v>
      </c>
      <c r="H331" t="s">
        <v>140</v>
      </c>
      <c r="I331" t="s">
        <v>284</v>
      </c>
      <c r="J331" t="s">
        <v>1055</v>
      </c>
    </row>
    <row r="332" spans="1:10">
      <c r="A332">
        <v>151733</v>
      </c>
      <c r="B332" t="s">
        <v>446</v>
      </c>
      <c r="C332" t="s">
        <v>1056</v>
      </c>
      <c r="D332" t="s">
        <v>124</v>
      </c>
      <c r="E332" t="s">
        <v>1057</v>
      </c>
      <c r="F332" t="s">
        <v>168</v>
      </c>
      <c r="G332" s="1">
        <v>313604.33</v>
      </c>
      <c r="H332" t="s">
        <v>126</v>
      </c>
      <c r="I332" t="s">
        <v>156</v>
      </c>
      <c r="J332" t="s">
        <v>180</v>
      </c>
    </row>
    <row r="333" spans="1:10">
      <c r="A333">
        <v>121567</v>
      </c>
      <c r="B333" t="s">
        <v>446</v>
      </c>
      <c r="C333" t="s">
        <v>1058</v>
      </c>
      <c r="D333" t="s">
        <v>12</v>
      </c>
      <c r="E333" t="s">
        <v>1059</v>
      </c>
      <c r="F333" t="s">
        <v>14</v>
      </c>
      <c r="G333" s="1">
        <v>313586</v>
      </c>
      <c r="H333" t="s">
        <v>85</v>
      </c>
      <c r="I333" t="s">
        <v>1060</v>
      </c>
      <c r="J333" t="s">
        <v>1061</v>
      </c>
    </row>
    <row r="334" spans="1:10">
      <c r="A334">
        <v>107381</v>
      </c>
      <c r="B334" t="s">
        <v>446</v>
      </c>
      <c r="C334" t="s">
        <v>1062</v>
      </c>
      <c r="D334" t="s">
        <v>124</v>
      </c>
      <c r="E334" t="s">
        <v>1063</v>
      </c>
      <c r="F334" t="s">
        <v>14</v>
      </c>
      <c r="G334" s="1">
        <v>312576.34999999998</v>
      </c>
      <c r="H334" t="s">
        <v>27</v>
      </c>
      <c r="I334" t="s">
        <v>1064</v>
      </c>
      <c r="J334" t="s">
        <v>1065</v>
      </c>
    </row>
    <row r="335" spans="1:10">
      <c r="A335">
        <v>130028</v>
      </c>
      <c r="B335" t="s">
        <v>446</v>
      </c>
      <c r="C335" t="s">
        <v>1066</v>
      </c>
      <c r="D335" t="s">
        <v>12</v>
      </c>
      <c r="E335" t="s">
        <v>1067</v>
      </c>
      <c r="F335" t="s">
        <v>14</v>
      </c>
      <c r="G335" s="1">
        <v>312009</v>
      </c>
      <c r="H335" t="s">
        <v>85</v>
      </c>
      <c r="I335" t="s">
        <v>1068</v>
      </c>
      <c r="J335" t="s">
        <v>1069</v>
      </c>
    </row>
    <row r="336" spans="1:10">
      <c r="A336">
        <v>129522</v>
      </c>
      <c r="B336" t="s">
        <v>446</v>
      </c>
      <c r="C336" t="s">
        <v>1070</v>
      </c>
      <c r="D336" t="s">
        <v>124</v>
      </c>
      <c r="E336" t="s">
        <v>1071</v>
      </c>
      <c r="F336" t="s">
        <v>14</v>
      </c>
      <c r="G336" s="1">
        <v>310648.40999999997</v>
      </c>
      <c r="H336" t="s">
        <v>126</v>
      </c>
      <c r="I336" t="s">
        <v>156</v>
      </c>
      <c r="J336" t="s">
        <v>180</v>
      </c>
    </row>
    <row r="337" spans="1:10">
      <c r="A337">
        <v>146177</v>
      </c>
      <c r="B337" t="s">
        <v>446</v>
      </c>
      <c r="C337" t="s">
        <v>1072</v>
      </c>
      <c r="D337" t="s">
        <v>124</v>
      </c>
      <c r="E337" t="s">
        <v>1073</v>
      </c>
      <c r="F337" t="s">
        <v>14</v>
      </c>
      <c r="G337" s="1">
        <v>310271.68</v>
      </c>
      <c r="H337" t="s">
        <v>126</v>
      </c>
      <c r="I337" t="s">
        <v>156</v>
      </c>
      <c r="J337" t="s">
        <v>180</v>
      </c>
    </row>
    <row r="338" spans="1:10">
      <c r="A338">
        <v>149043</v>
      </c>
      <c r="B338" t="s">
        <v>446</v>
      </c>
      <c r="C338" t="s">
        <v>1074</v>
      </c>
      <c r="D338" t="s">
        <v>12</v>
      </c>
      <c r="E338" t="s">
        <v>1075</v>
      </c>
      <c r="F338" t="s">
        <v>14</v>
      </c>
      <c r="G338" s="1">
        <v>306284.52</v>
      </c>
      <c r="H338" t="s">
        <v>85</v>
      </c>
      <c r="I338" t="s">
        <v>1076</v>
      </c>
      <c r="J338" t="s">
        <v>1077</v>
      </c>
    </row>
    <row r="339" spans="1:10">
      <c r="A339">
        <v>151203</v>
      </c>
      <c r="B339" t="s">
        <v>446</v>
      </c>
      <c r="C339" t="s">
        <v>1078</v>
      </c>
      <c r="D339" t="s">
        <v>12</v>
      </c>
      <c r="E339" t="s">
        <v>1079</v>
      </c>
      <c r="F339" t="s">
        <v>14</v>
      </c>
      <c r="G339" s="1">
        <v>305997.5</v>
      </c>
      <c r="H339" t="s">
        <v>95</v>
      </c>
      <c r="I339" t="s">
        <v>1080</v>
      </c>
      <c r="J339" t="s">
        <v>1081</v>
      </c>
    </row>
    <row r="340" spans="1:10">
      <c r="A340">
        <v>140284</v>
      </c>
      <c r="B340" t="s">
        <v>446</v>
      </c>
      <c r="C340" t="s">
        <v>1082</v>
      </c>
      <c r="D340" t="s">
        <v>12</v>
      </c>
      <c r="E340" t="s">
        <v>1083</v>
      </c>
      <c r="F340" t="s">
        <v>14</v>
      </c>
      <c r="G340" s="1">
        <v>304997.5</v>
      </c>
      <c r="H340" t="s">
        <v>437</v>
      </c>
      <c r="I340" t="s">
        <v>1084</v>
      </c>
      <c r="J340" t="s">
        <v>1085</v>
      </c>
    </row>
    <row r="341" spans="1:10">
      <c r="A341">
        <v>130642</v>
      </c>
      <c r="B341" t="s">
        <v>446</v>
      </c>
      <c r="C341" t="s">
        <v>1086</v>
      </c>
      <c r="D341" t="s">
        <v>124</v>
      </c>
      <c r="E341" t="s">
        <v>1087</v>
      </c>
      <c r="F341" t="s">
        <v>14</v>
      </c>
      <c r="G341" s="1">
        <v>302858.03999999998</v>
      </c>
      <c r="H341" t="s">
        <v>126</v>
      </c>
      <c r="I341" t="s">
        <v>156</v>
      </c>
      <c r="J341" t="s">
        <v>180</v>
      </c>
    </row>
    <row r="342" spans="1:10">
      <c r="A342">
        <v>150298</v>
      </c>
      <c r="B342" t="s">
        <v>446</v>
      </c>
      <c r="C342" t="s">
        <v>1088</v>
      </c>
      <c r="D342" t="s">
        <v>12</v>
      </c>
      <c r="E342" t="s">
        <v>1089</v>
      </c>
      <c r="F342" t="s">
        <v>14</v>
      </c>
      <c r="G342" s="1">
        <v>299264.5</v>
      </c>
      <c r="H342" t="s">
        <v>333</v>
      </c>
      <c r="I342" t="s">
        <v>1090</v>
      </c>
      <c r="J342" t="s">
        <v>1091</v>
      </c>
    </row>
    <row r="343" spans="1:10">
      <c r="A343">
        <v>151772</v>
      </c>
      <c r="B343" t="s">
        <v>446</v>
      </c>
      <c r="C343" t="s">
        <v>1092</v>
      </c>
      <c r="D343" t="s">
        <v>12</v>
      </c>
      <c r="E343" t="s">
        <v>1093</v>
      </c>
      <c r="F343" t="s">
        <v>14</v>
      </c>
      <c r="G343" s="1">
        <v>298239.86</v>
      </c>
      <c r="H343" t="s">
        <v>36</v>
      </c>
      <c r="I343" t="s">
        <v>1094</v>
      </c>
      <c r="J343" t="s">
        <v>1095</v>
      </c>
    </row>
    <row r="344" spans="1:10">
      <c r="A344">
        <v>130838</v>
      </c>
      <c r="B344" t="s">
        <v>446</v>
      </c>
      <c r="C344" t="s">
        <v>1096</v>
      </c>
      <c r="D344" t="s">
        <v>12</v>
      </c>
      <c r="E344" t="s">
        <v>1097</v>
      </c>
      <c r="F344" t="s">
        <v>14</v>
      </c>
      <c r="G344" s="1">
        <v>298044.77</v>
      </c>
      <c r="H344" t="s">
        <v>95</v>
      </c>
      <c r="I344" t="s">
        <v>258</v>
      </c>
      <c r="J344" t="s">
        <v>1098</v>
      </c>
    </row>
    <row r="345" spans="1:10">
      <c r="A345" t="s">
        <v>1099</v>
      </c>
      <c r="B345" t="s">
        <v>446</v>
      </c>
      <c r="C345" t="s">
        <v>1100</v>
      </c>
      <c r="D345" t="s">
        <v>12</v>
      </c>
      <c r="E345" t="s">
        <v>1101</v>
      </c>
      <c r="F345" t="s">
        <v>168</v>
      </c>
      <c r="G345" s="1">
        <v>296114.34999999998</v>
      </c>
      <c r="H345" t="s">
        <v>15</v>
      </c>
      <c r="I345" t="s">
        <v>1102</v>
      </c>
      <c r="J345" t="s">
        <v>1103</v>
      </c>
    </row>
    <row r="346" spans="1:10">
      <c r="A346">
        <v>130712</v>
      </c>
      <c r="B346" t="s">
        <v>446</v>
      </c>
      <c r="C346" t="s">
        <v>1104</v>
      </c>
      <c r="D346" t="s">
        <v>124</v>
      </c>
      <c r="E346" t="s">
        <v>1105</v>
      </c>
      <c r="F346" t="s">
        <v>14</v>
      </c>
      <c r="G346" s="1">
        <v>295881.03999999998</v>
      </c>
      <c r="H346" t="s">
        <v>504</v>
      </c>
      <c r="I346" t="s">
        <v>1106</v>
      </c>
      <c r="J346" t="s">
        <v>1107</v>
      </c>
    </row>
    <row r="347" spans="1:10">
      <c r="A347">
        <v>122973</v>
      </c>
      <c r="B347" t="s">
        <v>446</v>
      </c>
      <c r="C347" t="s">
        <v>1108</v>
      </c>
      <c r="D347" t="s">
        <v>12</v>
      </c>
      <c r="E347" t="s">
        <v>1109</v>
      </c>
      <c r="F347" t="s">
        <v>14</v>
      </c>
      <c r="G347" s="1">
        <v>294807.03999999998</v>
      </c>
      <c r="H347" t="s">
        <v>232</v>
      </c>
      <c r="I347" t="s">
        <v>233</v>
      </c>
      <c r="J347" t="s">
        <v>1110</v>
      </c>
    </row>
    <row r="348" spans="1:10">
      <c r="A348">
        <v>146725</v>
      </c>
      <c r="B348" t="s">
        <v>446</v>
      </c>
      <c r="C348" t="s">
        <v>1111</v>
      </c>
      <c r="D348" t="s">
        <v>12</v>
      </c>
      <c r="E348" t="s">
        <v>1112</v>
      </c>
      <c r="F348" t="s">
        <v>14</v>
      </c>
      <c r="G348" s="1">
        <v>294232.78000000003</v>
      </c>
      <c r="H348" t="s">
        <v>85</v>
      </c>
      <c r="I348" t="s">
        <v>1113</v>
      </c>
      <c r="J348" t="s">
        <v>1114</v>
      </c>
    </row>
    <row r="349" spans="1:10">
      <c r="A349">
        <v>150217</v>
      </c>
      <c r="B349" t="s">
        <v>446</v>
      </c>
      <c r="C349" t="s">
        <v>1115</v>
      </c>
      <c r="D349" t="s">
        <v>12</v>
      </c>
      <c r="E349" t="s">
        <v>1116</v>
      </c>
      <c r="F349" t="s">
        <v>14</v>
      </c>
      <c r="G349" s="1">
        <v>289229</v>
      </c>
      <c r="H349" t="s">
        <v>95</v>
      </c>
      <c r="I349" t="s">
        <v>1117</v>
      </c>
      <c r="J349" t="s">
        <v>1118</v>
      </c>
    </row>
    <row r="350" spans="1:10">
      <c r="A350">
        <v>131947</v>
      </c>
      <c r="B350" t="s">
        <v>446</v>
      </c>
      <c r="C350" t="s">
        <v>1119</v>
      </c>
      <c r="D350" t="s">
        <v>124</v>
      </c>
      <c r="E350" t="s">
        <v>904</v>
      </c>
      <c r="F350" t="s">
        <v>14</v>
      </c>
      <c r="G350" s="1">
        <v>288296.86</v>
      </c>
      <c r="H350" t="s">
        <v>126</v>
      </c>
      <c r="I350" t="s">
        <v>156</v>
      </c>
      <c r="J350" t="s">
        <v>434</v>
      </c>
    </row>
    <row r="351" spans="1:10">
      <c r="A351">
        <v>114399</v>
      </c>
      <c r="B351" t="s">
        <v>446</v>
      </c>
      <c r="C351" t="s">
        <v>1120</v>
      </c>
      <c r="D351" t="s">
        <v>124</v>
      </c>
      <c r="E351" t="s">
        <v>1121</v>
      </c>
      <c r="F351" t="s">
        <v>14</v>
      </c>
      <c r="G351" s="1">
        <v>287196.02</v>
      </c>
      <c r="H351" t="s">
        <v>126</v>
      </c>
      <c r="I351" t="s">
        <v>156</v>
      </c>
      <c r="J351" t="s">
        <v>664</v>
      </c>
    </row>
    <row r="352" spans="1:10">
      <c r="A352">
        <v>151867</v>
      </c>
      <c r="B352" t="s">
        <v>446</v>
      </c>
      <c r="C352" t="s">
        <v>1122</v>
      </c>
      <c r="D352" t="s">
        <v>12</v>
      </c>
      <c r="E352" t="s">
        <v>1123</v>
      </c>
      <c r="F352" t="s">
        <v>14</v>
      </c>
      <c r="G352" s="1">
        <v>285225.25</v>
      </c>
      <c r="H352" t="s">
        <v>1124</v>
      </c>
      <c r="I352" t="s">
        <v>1125</v>
      </c>
      <c r="J352" t="s">
        <v>1126</v>
      </c>
    </row>
    <row r="353" spans="1:10">
      <c r="A353">
        <v>110869</v>
      </c>
      <c r="B353" t="s">
        <v>446</v>
      </c>
      <c r="C353" t="s">
        <v>1127</v>
      </c>
      <c r="D353" t="s">
        <v>12</v>
      </c>
      <c r="E353" t="s">
        <v>1128</v>
      </c>
      <c r="F353" t="s">
        <v>14</v>
      </c>
      <c r="G353" s="1">
        <v>284125.19</v>
      </c>
      <c r="H353" t="s">
        <v>15</v>
      </c>
      <c r="I353" t="s">
        <v>1129</v>
      </c>
      <c r="J353" t="s">
        <v>1130</v>
      </c>
    </row>
    <row r="354" spans="1:10">
      <c r="A354">
        <v>119578</v>
      </c>
      <c r="B354" t="s">
        <v>446</v>
      </c>
      <c r="C354" t="s">
        <v>1131</v>
      </c>
      <c r="D354" t="s">
        <v>124</v>
      </c>
      <c r="E354" t="s">
        <v>1132</v>
      </c>
      <c r="F354" t="s">
        <v>14</v>
      </c>
      <c r="G354" s="1">
        <v>283500</v>
      </c>
      <c r="H354" t="s">
        <v>27</v>
      </c>
      <c r="I354" t="s">
        <v>136</v>
      </c>
      <c r="J354" t="s">
        <v>1133</v>
      </c>
    </row>
    <row r="355" spans="1:10">
      <c r="A355">
        <v>126847</v>
      </c>
      <c r="B355" t="s">
        <v>446</v>
      </c>
      <c r="C355" t="s">
        <v>1134</v>
      </c>
      <c r="D355" t="s">
        <v>124</v>
      </c>
      <c r="E355" t="s">
        <v>1135</v>
      </c>
      <c r="F355" t="s">
        <v>14</v>
      </c>
      <c r="G355" s="1">
        <v>282735.82</v>
      </c>
      <c r="H355" t="s">
        <v>126</v>
      </c>
      <c r="I355" t="s">
        <v>156</v>
      </c>
      <c r="J355" t="s">
        <v>180</v>
      </c>
    </row>
    <row r="356" spans="1:10">
      <c r="A356">
        <v>128912</v>
      </c>
      <c r="B356" t="s">
        <v>446</v>
      </c>
      <c r="C356" t="s">
        <v>1136</v>
      </c>
      <c r="D356" t="s">
        <v>12</v>
      </c>
      <c r="E356" t="s">
        <v>1137</v>
      </c>
      <c r="F356" t="s">
        <v>14</v>
      </c>
      <c r="G356" s="1">
        <v>281720.28000000003</v>
      </c>
      <c r="H356" t="s">
        <v>56</v>
      </c>
      <c r="I356" t="s">
        <v>1138</v>
      </c>
      <c r="J356" t="s">
        <v>1139</v>
      </c>
    </row>
    <row r="357" spans="1:10">
      <c r="A357">
        <v>143754</v>
      </c>
      <c r="B357" t="s">
        <v>446</v>
      </c>
      <c r="C357" t="s">
        <v>1140</v>
      </c>
      <c r="D357" t="s">
        <v>124</v>
      </c>
      <c r="E357" t="s">
        <v>1141</v>
      </c>
      <c r="F357" t="s">
        <v>14</v>
      </c>
      <c r="G357" s="1">
        <v>278362.33</v>
      </c>
      <c r="H357" t="s">
        <v>126</v>
      </c>
      <c r="I357" t="s">
        <v>156</v>
      </c>
      <c r="J357" t="s">
        <v>187</v>
      </c>
    </row>
    <row r="358" spans="1:10">
      <c r="A358">
        <v>100776</v>
      </c>
      <c r="B358" t="s">
        <v>446</v>
      </c>
      <c r="C358" t="s">
        <v>1142</v>
      </c>
      <c r="D358" t="s">
        <v>12</v>
      </c>
      <c r="E358" t="s">
        <v>1143</v>
      </c>
      <c r="F358" t="s">
        <v>14</v>
      </c>
      <c r="G358" s="1">
        <v>276857.21000000002</v>
      </c>
      <c r="H358" t="s">
        <v>1144</v>
      </c>
      <c r="I358" t="s">
        <v>1145</v>
      </c>
      <c r="J358" t="s">
        <v>1146</v>
      </c>
    </row>
    <row r="359" spans="1:10">
      <c r="A359">
        <v>100137</v>
      </c>
      <c r="B359" t="s">
        <v>446</v>
      </c>
      <c r="C359" t="s">
        <v>1147</v>
      </c>
      <c r="D359" t="s">
        <v>12</v>
      </c>
      <c r="E359" t="s">
        <v>1148</v>
      </c>
      <c r="F359" t="s">
        <v>14</v>
      </c>
      <c r="G359" s="1">
        <v>276215.46000000002</v>
      </c>
      <c r="H359" t="s">
        <v>27</v>
      </c>
      <c r="I359" t="s">
        <v>947</v>
      </c>
      <c r="J359" t="s">
        <v>1149</v>
      </c>
    </row>
    <row r="360" spans="1:10">
      <c r="A360">
        <v>145275</v>
      </c>
      <c r="B360" t="s">
        <v>446</v>
      </c>
      <c r="C360" t="s">
        <v>1150</v>
      </c>
      <c r="D360" t="s">
        <v>124</v>
      </c>
      <c r="E360" t="s">
        <v>1151</v>
      </c>
      <c r="F360" t="s">
        <v>14</v>
      </c>
      <c r="G360" s="1">
        <v>275530.36</v>
      </c>
      <c r="H360" t="s">
        <v>126</v>
      </c>
      <c r="I360" t="s">
        <v>156</v>
      </c>
      <c r="J360" t="s">
        <v>1152</v>
      </c>
    </row>
    <row r="361" spans="1:10">
      <c r="A361">
        <v>118839</v>
      </c>
      <c r="B361" t="s">
        <v>446</v>
      </c>
      <c r="C361" t="s">
        <v>1153</v>
      </c>
      <c r="D361" t="s">
        <v>12</v>
      </c>
      <c r="E361" t="s">
        <v>1154</v>
      </c>
      <c r="F361" t="s">
        <v>14</v>
      </c>
      <c r="G361" s="1">
        <v>273700</v>
      </c>
      <c r="H361" t="s">
        <v>85</v>
      </c>
      <c r="I361" t="s">
        <v>1155</v>
      </c>
      <c r="J361" t="s">
        <v>1156</v>
      </c>
    </row>
    <row r="362" spans="1:10">
      <c r="A362">
        <v>132326</v>
      </c>
      <c r="B362" t="s">
        <v>446</v>
      </c>
      <c r="C362" t="s">
        <v>1157</v>
      </c>
      <c r="D362" t="s">
        <v>12</v>
      </c>
      <c r="E362" t="s">
        <v>1158</v>
      </c>
      <c r="F362" t="s">
        <v>14</v>
      </c>
      <c r="G362" s="1">
        <v>272170.07</v>
      </c>
      <c r="H362" t="s">
        <v>514</v>
      </c>
      <c r="I362" t="s">
        <v>1159</v>
      </c>
      <c r="J362" t="s">
        <v>1160</v>
      </c>
    </row>
    <row r="363" spans="1:10">
      <c r="A363">
        <v>131052</v>
      </c>
      <c r="B363" t="s">
        <v>446</v>
      </c>
      <c r="C363" t="s">
        <v>1161</v>
      </c>
      <c r="D363" t="s">
        <v>124</v>
      </c>
      <c r="E363" t="s">
        <v>1162</v>
      </c>
      <c r="F363" t="s">
        <v>14</v>
      </c>
      <c r="G363" s="1">
        <v>271847.67999999999</v>
      </c>
      <c r="H363" t="s">
        <v>126</v>
      </c>
      <c r="I363" t="s">
        <v>156</v>
      </c>
      <c r="J363" t="s">
        <v>1163</v>
      </c>
    </row>
    <row r="364" spans="1:10">
      <c r="A364">
        <v>147899</v>
      </c>
      <c r="B364" t="s">
        <v>446</v>
      </c>
      <c r="C364" t="s">
        <v>1164</v>
      </c>
      <c r="D364" t="s">
        <v>12</v>
      </c>
      <c r="E364" t="s">
        <v>1165</v>
      </c>
      <c r="F364" t="s">
        <v>14</v>
      </c>
      <c r="G364" s="1">
        <v>270219.95</v>
      </c>
      <c r="H364" t="s">
        <v>21</v>
      </c>
      <c r="I364" t="s">
        <v>1166</v>
      </c>
      <c r="J364" t="s">
        <v>1167</v>
      </c>
    </row>
    <row r="365" spans="1:10">
      <c r="A365">
        <v>148800</v>
      </c>
      <c r="B365" t="s">
        <v>446</v>
      </c>
      <c r="C365" t="s">
        <v>1168</v>
      </c>
      <c r="D365" t="s">
        <v>12</v>
      </c>
      <c r="E365" t="s">
        <v>1169</v>
      </c>
      <c r="F365" t="s">
        <v>14</v>
      </c>
      <c r="G365" s="1">
        <v>267891.38</v>
      </c>
      <c r="H365" t="s">
        <v>56</v>
      </c>
      <c r="I365" t="s">
        <v>1170</v>
      </c>
      <c r="J365" t="s">
        <v>1171</v>
      </c>
    </row>
    <row r="366" spans="1:10">
      <c r="A366">
        <v>108842</v>
      </c>
      <c r="B366" t="s">
        <v>446</v>
      </c>
      <c r="C366" t="s">
        <v>1172</v>
      </c>
      <c r="D366" t="s">
        <v>12</v>
      </c>
      <c r="E366" t="s">
        <v>1173</v>
      </c>
      <c r="F366" t="s">
        <v>14</v>
      </c>
      <c r="G366" s="1">
        <v>267707.19</v>
      </c>
      <c r="H366" t="s">
        <v>437</v>
      </c>
      <c r="I366" t="s">
        <v>1174</v>
      </c>
      <c r="J366" t="s">
        <v>1175</v>
      </c>
    </row>
    <row r="367" spans="1:10">
      <c r="A367">
        <v>124649</v>
      </c>
      <c r="B367" t="s">
        <v>446</v>
      </c>
      <c r="C367" t="s">
        <v>1176</v>
      </c>
      <c r="D367" t="s">
        <v>12</v>
      </c>
      <c r="E367" t="s">
        <v>1177</v>
      </c>
      <c r="F367" t="s">
        <v>14</v>
      </c>
      <c r="G367" s="1">
        <v>265972.5</v>
      </c>
      <c r="H367" t="s">
        <v>21</v>
      </c>
      <c r="I367" t="s">
        <v>1178</v>
      </c>
      <c r="J367" t="s">
        <v>1179</v>
      </c>
    </row>
    <row r="368" spans="1:10">
      <c r="A368">
        <v>150590</v>
      </c>
      <c r="B368" t="s">
        <v>446</v>
      </c>
      <c r="C368" t="s">
        <v>1180</v>
      </c>
      <c r="D368" t="s">
        <v>124</v>
      </c>
      <c r="E368" t="s">
        <v>1181</v>
      </c>
      <c r="F368" t="s">
        <v>14</v>
      </c>
      <c r="G368" s="1">
        <v>264190.5</v>
      </c>
      <c r="H368" t="s">
        <v>126</v>
      </c>
      <c r="I368" t="s">
        <v>156</v>
      </c>
      <c r="J368" t="s">
        <v>180</v>
      </c>
    </row>
    <row r="369" spans="1:10">
      <c r="A369">
        <v>102692</v>
      </c>
      <c r="B369" t="s">
        <v>446</v>
      </c>
      <c r="C369" t="s">
        <v>1182</v>
      </c>
      <c r="D369" t="s">
        <v>12</v>
      </c>
      <c r="E369" t="s">
        <v>31</v>
      </c>
      <c r="F369" t="s">
        <v>14</v>
      </c>
      <c r="G369" s="1">
        <v>263867.09000000003</v>
      </c>
      <c r="H369" t="s">
        <v>72</v>
      </c>
      <c r="I369" t="s">
        <v>1183</v>
      </c>
      <c r="J369" t="s">
        <v>1184</v>
      </c>
    </row>
    <row r="370" spans="1:10">
      <c r="A370">
        <v>104321</v>
      </c>
      <c r="B370" t="s">
        <v>446</v>
      </c>
      <c r="C370" t="s">
        <v>1185</v>
      </c>
      <c r="D370" t="s">
        <v>12</v>
      </c>
      <c r="E370" t="s">
        <v>1186</v>
      </c>
      <c r="F370" t="s">
        <v>14</v>
      </c>
      <c r="G370" s="1">
        <v>263043.46000000002</v>
      </c>
      <c r="H370" t="s">
        <v>232</v>
      </c>
      <c r="I370" t="s">
        <v>1187</v>
      </c>
      <c r="J370" t="s">
        <v>1188</v>
      </c>
    </row>
    <row r="371" spans="1:10">
      <c r="A371">
        <v>143491</v>
      </c>
      <c r="B371" t="s">
        <v>446</v>
      </c>
      <c r="C371" t="s">
        <v>1189</v>
      </c>
      <c r="D371" t="s">
        <v>12</v>
      </c>
      <c r="E371" t="s">
        <v>1190</v>
      </c>
      <c r="F371" t="s">
        <v>14</v>
      </c>
      <c r="G371" s="1">
        <v>262250</v>
      </c>
      <c r="H371" t="s">
        <v>85</v>
      </c>
      <c r="I371" t="s">
        <v>882</v>
      </c>
      <c r="J371" t="s">
        <v>1191</v>
      </c>
    </row>
    <row r="372" spans="1:10">
      <c r="A372">
        <v>143877</v>
      </c>
      <c r="B372" t="s">
        <v>446</v>
      </c>
      <c r="C372" t="s">
        <v>1192</v>
      </c>
      <c r="D372" t="s">
        <v>124</v>
      </c>
      <c r="E372" t="s">
        <v>1193</v>
      </c>
      <c r="F372" t="s">
        <v>14</v>
      </c>
      <c r="G372" s="1">
        <v>260727.16</v>
      </c>
      <c r="H372" t="s">
        <v>126</v>
      </c>
      <c r="I372" t="s">
        <v>156</v>
      </c>
      <c r="J372" t="s">
        <v>180</v>
      </c>
    </row>
    <row r="373" spans="1:10">
      <c r="A373">
        <v>113480</v>
      </c>
      <c r="B373" t="s">
        <v>446</v>
      </c>
      <c r="C373" t="s">
        <v>1194</v>
      </c>
      <c r="D373" t="s">
        <v>124</v>
      </c>
      <c r="E373" t="s">
        <v>1195</v>
      </c>
      <c r="F373" t="s">
        <v>14</v>
      </c>
      <c r="G373" s="1">
        <v>259992.4</v>
      </c>
      <c r="H373" t="s">
        <v>126</v>
      </c>
      <c r="I373" t="s">
        <v>156</v>
      </c>
      <c r="J373" t="s">
        <v>180</v>
      </c>
    </row>
    <row r="374" spans="1:10">
      <c r="A374">
        <v>147768</v>
      </c>
      <c r="B374" t="s">
        <v>446</v>
      </c>
      <c r="C374" t="s">
        <v>1196</v>
      </c>
      <c r="D374" t="s">
        <v>12</v>
      </c>
      <c r="E374" t="s">
        <v>1197</v>
      </c>
      <c r="F374" t="s">
        <v>14</v>
      </c>
      <c r="G374" s="1">
        <v>256213.39</v>
      </c>
      <c r="H374" t="s">
        <v>36</v>
      </c>
      <c r="I374" t="s">
        <v>1198</v>
      </c>
      <c r="J374" t="s">
        <v>1199</v>
      </c>
    </row>
    <row r="375" spans="1:10">
      <c r="A375">
        <v>132163</v>
      </c>
      <c r="B375" t="s">
        <v>446</v>
      </c>
      <c r="C375" t="s">
        <v>1200</v>
      </c>
      <c r="D375" t="s">
        <v>12</v>
      </c>
      <c r="E375" t="s">
        <v>1201</v>
      </c>
      <c r="F375" t="s">
        <v>14</v>
      </c>
      <c r="G375" s="1">
        <v>255310.06</v>
      </c>
      <c r="H375" t="s">
        <v>27</v>
      </c>
      <c r="I375" t="s">
        <v>1202</v>
      </c>
      <c r="J375" t="s">
        <v>1203</v>
      </c>
    </row>
    <row r="376" spans="1:10">
      <c r="A376">
        <v>123147</v>
      </c>
      <c r="B376" t="s">
        <v>446</v>
      </c>
      <c r="C376" t="s">
        <v>1204</v>
      </c>
      <c r="D376" t="s">
        <v>124</v>
      </c>
      <c r="E376" t="s">
        <v>1205</v>
      </c>
      <c r="F376" t="s">
        <v>14</v>
      </c>
      <c r="G376" s="1">
        <v>255299.03</v>
      </c>
      <c r="H376" t="s">
        <v>126</v>
      </c>
      <c r="I376" t="s">
        <v>156</v>
      </c>
      <c r="J376" t="s">
        <v>321</v>
      </c>
    </row>
    <row r="377" spans="1:10">
      <c r="A377">
        <v>116571</v>
      </c>
      <c r="B377" t="s">
        <v>446</v>
      </c>
      <c r="C377" t="s">
        <v>1206</v>
      </c>
      <c r="D377" t="s">
        <v>124</v>
      </c>
      <c r="E377" t="s">
        <v>1207</v>
      </c>
      <c r="F377" t="s">
        <v>14</v>
      </c>
      <c r="G377" s="1">
        <v>253049.16</v>
      </c>
      <c r="H377" t="s">
        <v>126</v>
      </c>
      <c r="I377" t="s">
        <v>156</v>
      </c>
      <c r="J377" t="s">
        <v>1208</v>
      </c>
    </row>
    <row r="378" spans="1:10">
      <c r="A378">
        <v>102569</v>
      </c>
      <c r="B378" t="s">
        <v>446</v>
      </c>
      <c r="C378" t="s">
        <v>1209</v>
      </c>
      <c r="D378" t="s">
        <v>12</v>
      </c>
      <c r="E378" t="s">
        <v>1210</v>
      </c>
      <c r="F378" t="s">
        <v>14</v>
      </c>
      <c r="G378" s="1">
        <v>251991.67</v>
      </c>
      <c r="H378" t="s">
        <v>437</v>
      </c>
      <c r="I378" t="s">
        <v>1211</v>
      </c>
      <c r="J378" t="s">
        <v>1212</v>
      </c>
    </row>
    <row r="379" spans="1:10">
      <c r="A379">
        <v>150691</v>
      </c>
      <c r="B379" t="s">
        <v>446</v>
      </c>
      <c r="C379" t="s">
        <v>1213</v>
      </c>
      <c r="D379" t="s">
        <v>25</v>
      </c>
      <c r="E379" t="s">
        <v>1214</v>
      </c>
      <c r="F379" t="s">
        <v>14</v>
      </c>
      <c r="G379" s="1">
        <v>250390</v>
      </c>
      <c r="H379" t="s">
        <v>27</v>
      </c>
      <c r="I379" t="s">
        <v>889</v>
      </c>
      <c r="J379" t="s">
        <v>1215</v>
      </c>
    </row>
    <row r="380" spans="1:10">
      <c r="A380">
        <v>111153</v>
      </c>
      <c r="B380" t="s">
        <v>446</v>
      </c>
      <c r="C380" t="s">
        <v>1216</v>
      </c>
      <c r="D380" t="s">
        <v>124</v>
      </c>
      <c r="E380" t="s">
        <v>1217</v>
      </c>
      <c r="F380" t="s">
        <v>14</v>
      </c>
      <c r="G380" s="1">
        <v>248382.12</v>
      </c>
      <c r="H380" t="s">
        <v>126</v>
      </c>
      <c r="I380" t="s">
        <v>156</v>
      </c>
      <c r="J380" t="s">
        <v>1218</v>
      </c>
    </row>
    <row r="381" spans="1:10" ht="15.75" thickBot="1">
      <c r="A381">
        <v>142799</v>
      </c>
      <c r="B381" t="s">
        <v>446</v>
      </c>
      <c r="C381" t="s">
        <v>1219</v>
      </c>
      <c r="D381" t="s">
        <v>12</v>
      </c>
      <c r="E381" t="s">
        <v>1220</v>
      </c>
      <c r="F381" t="s">
        <v>14</v>
      </c>
      <c r="G381" s="1">
        <v>245584.13</v>
      </c>
      <c r="H381" t="s">
        <v>27</v>
      </c>
      <c r="I381" t="s">
        <v>1221</v>
      </c>
      <c r="J381" t="s">
        <v>1222</v>
      </c>
    </row>
    <row r="382" spans="1:10" ht="15.75" thickBot="1">
      <c r="A382">
        <v>105968</v>
      </c>
      <c r="B382" t="s">
        <v>446</v>
      </c>
      <c r="C382" t="s">
        <v>1223</v>
      </c>
      <c r="D382" t="s">
        <v>12</v>
      </c>
      <c r="E382" t="s">
        <v>1224</v>
      </c>
      <c r="F382" t="s">
        <v>14</v>
      </c>
      <c r="G382" s="1">
        <v>244169.73</v>
      </c>
      <c r="H382" t="s">
        <v>36</v>
      </c>
      <c r="I382" s="3" t="s">
        <v>1225</v>
      </c>
      <c r="J382" s="3" t="s">
        <v>1226</v>
      </c>
    </row>
    <row r="383" spans="1:10">
      <c r="A383">
        <v>131459</v>
      </c>
      <c r="B383" t="s">
        <v>446</v>
      </c>
      <c r="C383" t="s">
        <v>1227</v>
      </c>
      <c r="D383" t="s">
        <v>124</v>
      </c>
      <c r="E383" t="s">
        <v>1228</v>
      </c>
      <c r="F383" t="s">
        <v>14</v>
      </c>
      <c r="G383" s="1">
        <v>242645.92</v>
      </c>
      <c r="H383" t="s">
        <v>126</v>
      </c>
      <c r="I383" t="s">
        <v>156</v>
      </c>
      <c r="J383" t="s">
        <v>180</v>
      </c>
    </row>
    <row r="384" spans="1:10">
      <c r="A384">
        <v>147878</v>
      </c>
      <c r="B384" t="s">
        <v>446</v>
      </c>
      <c r="C384" t="s">
        <v>1229</v>
      </c>
      <c r="D384" t="s">
        <v>12</v>
      </c>
      <c r="E384" t="s">
        <v>1230</v>
      </c>
      <c r="F384" t="s">
        <v>14</v>
      </c>
      <c r="G384" s="1">
        <v>242330.9</v>
      </c>
      <c r="H384" t="s">
        <v>95</v>
      </c>
      <c r="I384" t="s">
        <v>1231</v>
      </c>
      <c r="J384" t="s">
        <v>1232</v>
      </c>
    </row>
    <row r="385" spans="1:10">
      <c r="A385">
        <v>150612</v>
      </c>
      <c r="B385" t="s">
        <v>446</v>
      </c>
      <c r="C385" t="s">
        <v>1233</v>
      </c>
      <c r="D385" t="s">
        <v>25</v>
      </c>
      <c r="E385" t="s">
        <v>1234</v>
      </c>
      <c r="F385" t="s">
        <v>14</v>
      </c>
      <c r="G385" s="1">
        <v>241317.99</v>
      </c>
      <c r="H385" t="s">
        <v>36</v>
      </c>
      <c r="I385" t="s">
        <v>41</v>
      </c>
      <c r="J385" t="s">
        <v>839</v>
      </c>
    </row>
    <row r="386" spans="1:10">
      <c r="A386">
        <v>100257</v>
      </c>
      <c r="B386" t="s">
        <v>446</v>
      </c>
      <c r="C386" t="s">
        <v>1235</v>
      </c>
      <c r="D386" t="s">
        <v>12</v>
      </c>
      <c r="E386" t="s">
        <v>1236</v>
      </c>
      <c r="F386" t="s">
        <v>14</v>
      </c>
      <c r="G386" s="1">
        <v>240714.19</v>
      </c>
      <c r="H386" t="s">
        <v>1144</v>
      </c>
      <c r="I386" t="s">
        <v>1237</v>
      </c>
      <c r="J386" t="s">
        <v>1238</v>
      </c>
    </row>
    <row r="387" spans="1:10">
      <c r="A387">
        <v>131124</v>
      </c>
      <c r="B387" t="s">
        <v>446</v>
      </c>
      <c r="C387" t="s">
        <v>1239</v>
      </c>
      <c r="D387" t="s">
        <v>124</v>
      </c>
      <c r="E387" t="s">
        <v>1240</v>
      </c>
      <c r="F387" t="s">
        <v>14</v>
      </c>
      <c r="G387" s="1">
        <v>240000</v>
      </c>
      <c r="H387" t="s">
        <v>126</v>
      </c>
      <c r="I387" t="s">
        <v>156</v>
      </c>
      <c r="J387" t="s">
        <v>180</v>
      </c>
    </row>
    <row r="388" spans="1:10">
      <c r="A388" t="s">
        <v>1241</v>
      </c>
      <c r="B388" t="s">
        <v>446</v>
      </c>
      <c r="C388" t="s">
        <v>459</v>
      </c>
      <c r="D388" t="s">
        <v>25</v>
      </c>
      <c r="E388" t="s">
        <v>1242</v>
      </c>
      <c r="F388" t="s">
        <v>168</v>
      </c>
      <c r="G388" s="1">
        <v>236934.52</v>
      </c>
      <c r="H388" t="s">
        <v>27</v>
      </c>
      <c r="I388" t="s">
        <v>27</v>
      </c>
      <c r="J388" t="s">
        <v>461</v>
      </c>
    </row>
    <row r="389" spans="1:10">
      <c r="A389">
        <v>130822</v>
      </c>
      <c r="B389" t="s">
        <v>446</v>
      </c>
      <c r="C389" t="s">
        <v>1243</v>
      </c>
      <c r="D389" t="s">
        <v>124</v>
      </c>
      <c r="E389" t="s">
        <v>1244</v>
      </c>
      <c r="F389" t="s">
        <v>14</v>
      </c>
      <c r="G389" s="1">
        <v>236700</v>
      </c>
      <c r="H389" t="s">
        <v>126</v>
      </c>
      <c r="I389" t="s">
        <v>156</v>
      </c>
      <c r="J389" t="s">
        <v>180</v>
      </c>
    </row>
    <row r="390" spans="1:10">
      <c r="A390">
        <v>120807</v>
      </c>
      <c r="B390" t="s">
        <v>446</v>
      </c>
      <c r="C390" t="s">
        <v>1245</v>
      </c>
      <c r="D390" t="s">
        <v>12</v>
      </c>
      <c r="E390" t="s">
        <v>293</v>
      </c>
      <c r="F390" t="s">
        <v>14</v>
      </c>
      <c r="G390" s="1">
        <v>235651.98</v>
      </c>
      <c r="H390" t="s">
        <v>1144</v>
      </c>
      <c r="I390" t="s">
        <v>1246</v>
      </c>
      <c r="J390" t="s">
        <v>1247</v>
      </c>
    </row>
    <row r="391" spans="1:10">
      <c r="A391">
        <v>141036</v>
      </c>
      <c r="B391" t="s">
        <v>446</v>
      </c>
      <c r="C391" t="s">
        <v>1248</v>
      </c>
      <c r="D391" t="s">
        <v>124</v>
      </c>
      <c r="E391" t="s">
        <v>1249</v>
      </c>
      <c r="F391" t="s">
        <v>14</v>
      </c>
      <c r="G391" s="1">
        <v>234484.38</v>
      </c>
      <c r="H391" t="s">
        <v>126</v>
      </c>
      <c r="I391" t="s">
        <v>156</v>
      </c>
      <c r="J391" t="s">
        <v>1250</v>
      </c>
    </row>
    <row r="392" spans="1:10">
      <c r="A392">
        <v>106713</v>
      </c>
      <c r="B392" t="s">
        <v>446</v>
      </c>
      <c r="C392" t="s">
        <v>1251</v>
      </c>
      <c r="D392" t="s">
        <v>12</v>
      </c>
      <c r="E392" t="s">
        <v>1252</v>
      </c>
      <c r="F392" t="s">
        <v>14</v>
      </c>
      <c r="G392" s="1">
        <v>234391.13</v>
      </c>
      <c r="H392" t="s">
        <v>437</v>
      </c>
      <c r="I392" t="s">
        <v>1253</v>
      </c>
      <c r="J392" t="s">
        <v>1254</v>
      </c>
    </row>
    <row r="393" spans="1:10">
      <c r="A393">
        <v>112382</v>
      </c>
      <c r="B393" t="s">
        <v>446</v>
      </c>
      <c r="C393" t="s">
        <v>1255</v>
      </c>
      <c r="D393" t="s">
        <v>124</v>
      </c>
      <c r="E393" t="s">
        <v>1256</v>
      </c>
      <c r="F393" t="s">
        <v>14</v>
      </c>
      <c r="G393" s="1">
        <v>232646.64</v>
      </c>
      <c r="H393" t="s">
        <v>126</v>
      </c>
      <c r="I393" t="s">
        <v>156</v>
      </c>
      <c r="J393" t="s">
        <v>180</v>
      </c>
    </row>
    <row r="394" spans="1:10">
      <c r="A394">
        <v>109331</v>
      </c>
      <c r="B394" t="s">
        <v>446</v>
      </c>
      <c r="C394" t="s">
        <v>1257</v>
      </c>
      <c r="D394" t="s">
        <v>12</v>
      </c>
      <c r="E394" t="s">
        <v>1258</v>
      </c>
      <c r="F394" t="s">
        <v>14</v>
      </c>
      <c r="G394" s="1">
        <v>232346.58</v>
      </c>
      <c r="H394" t="s">
        <v>85</v>
      </c>
      <c r="I394" t="s">
        <v>1259</v>
      </c>
      <c r="J394" t="s">
        <v>1260</v>
      </c>
    </row>
    <row r="395" spans="1:10">
      <c r="A395">
        <v>132493</v>
      </c>
      <c r="B395" t="s">
        <v>446</v>
      </c>
      <c r="C395" t="s">
        <v>1261</v>
      </c>
      <c r="D395" t="s">
        <v>124</v>
      </c>
      <c r="E395" t="s">
        <v>1262</v>
      </c>
      <c r="F395" t="s">
        <v>14</v>
      </c>
      <c r="G395" s="1">
        <v>232071.58</v>
      </c>
      <c r="H395" t="s">
        <v>1263</v>
      </c>
      <c r="I395" t="s">
        <v>1264</v>
      </c>
      <c r="J395" t="s">
        <v>1265</v>
      </c>
    </row>
    <row r="396" spans="1:10">
      <c r="A396">
        <v>131383</v>
      </c>
      <c r="B396" t="s">
        <v>446</v>
      </c>
      <c r="C396" t="s">
        <v>1266</v>
      </c>
      <c r="D396" t="s">
        <v>124</v>
      </c>
      <c r="E396" t="s">
        <v>1267</v>
      </c>
      <c r="F396" t="s">
        <v>14</v>
      </c>
      <c r="G396" s="1">
        <v>231968.34</v>
      </c>
      <c r="H396" t="s">
        <v>126</v>
      </c>
      <c r="I396" t="s">
        <v>156</v>
      </c>
      <c r="J396" t="s">
        <v>180</v>
      </c>
    </row>
    <row r="397" spans="1:10">
      <c r="A397">
        <v>126641</v>
      </c>
      <c r="B397" t="s">
        <v>446</v>
      </c>
      <c r="C397" t="s">
        <v>1268</v>
      </c>
      <c r="D397" t="s">
        <v>124</v>
      </c>
      <c r="E397" t="s">
        <v>1269</v>
      </c>
      <c r="F397" t="s">
        <v>14</v>
      </c>
      <c r="G397" s="1">
        <v>231117.95</v>
      </c>
      <c r="H397" t="s">
        <v>27</v>
      </c>
      <c r="I397" t="s">
        <v>27</v>
      </c>
      <c r="J397" t="s">
        <v>798</v>
      </c>
    </row>
    <row r="398" spans="1:10">
      <c r="A398">
        <v>147154</v>
      </c>
      <c r="B398" t="s">
        <v>446</v>
      </c>
      <c r="C398" t="s">
        <v>1270</v>
      </c>
      <c r="D398" t="s">
        <v>12</v>
      </c>
      <c r="E398" t="s">
        <v>1271</v>
      </c>
      <c r="F398" t="s">
        <v>14</v>
      </c>
      <c r="G398" s="1">
        <v>231055</v>
      </c>
      <c r="H398" t="s">
        <v>95</v>
      </c>
      <c r="I398" t="s">
        <v>1272</v>
      </c>
      <c r="J398" t="s">
        <v>1273</v>
      </c>
    </row>
    <row r="399" spans="1:10">
      <c r="A399">
        <v>128841</v>
      </c>
      <c r="B399" t="s">
        <v>446</v>
      </c>
      <c r="C399" t="s">
        <v>1274</v>
      </c>
      <c r="D399" t="s">
        <v>12</v>
      </c>
      <c r="E399" t="s">
        <v>1275</v>
      </c>
      <c r="F399" t="s">
        <v>14</v>
      </c>
      <c r="G399" s="1">
        <v>231050</v>
      </c>
      <c r="H399" t="s">
        <v>85</v>
      </c>
      <c r="I399" t="s">
        <v>1276</v>
      </c>
      <c r="J399" t="s">
        <v>1277</v>
      </c>
    </row>
    <row r="400" spans="1:10">
      <c r="A400">
        <v>122656</v>
      </c>
      <c r="B400" t="s">
        <v>446</v>
      </c>
      <c r="C400" t="s">
        <v>1278</v>
      </c>
      <c r="D400" t="s">
        <v>12</v>
      </c>
      <c r="E400" t="s">
        <v>1279</v>
      </c>
      <c r="F400" t="s">
        <v>14</v>
      </c>
      <c r="G400" s="1">
        <v>231018.43</v>
      </c>
      <c r="H400" t="s">
        <v>27</v>
      </c>
      <c r="I400" t="s">
        <v>1280</v>
      </c>
      <c r="J400" t="s">
        <v>1281</v>
      </c>
    </row>
    <row r="401" spans="1:10">
      <c r="A401">
        <v>150474</v>
      </c>
      <c r="B401" t="s">
        <v>446</v>
      </c>
      <c r="C401" t="s">
        <v>1282</v>
      </c>
      <c r="D401" t="s">
        <v>12</v>
      </c>
      <c r="E401" t="s">
        <v>1283</v>
      </c>
      <c r="F401" t="s">
        <v>14</v>
      </c>
      <c r="G401" s="1">
        <v>231001.87</v>
      </c>
      <c r="H401" t="s">
        <v>15</v>
      </c>
      <c r="I401" t="s">
        <v>1284</v>
      </c>
      <c r="J401" t="s">
        <v>1285</v>
      </c>
    </row>
    <row r="402" spans="1:10">
      <c r="A402">
        <v>132294</v>
      </c>
      <c r="B402" t="s">
        <v>446</v>
      </c>
      <c r="C402" t="s">
        <v>1286</v>
      </c>
      <c r="D402" t="s">
        <v>124</v>
      </c>
      <c r="E402" t="s">
        <v>314</v>
      </c>
      <c r="F402" t="s">
        <v>14</v>
      </c>
      <c r="G402" s="1">
        <v>228332.28</v>
      </c>
      <c r="H402" t="s">
        <v>126</v>
      </c>
      <c r="I402" t="s">
        <v>156</v>
      </c>
      <c r="J402" t="s">
        <v>900</v>
      </c>
    </row>
    <row r="403" spans="1:10">
      <c r="A403">
        <v>112483</v>
      </c>
      <c r="B403" t="s">
        <v>446</v>
      </c>
      <c r="C403" t="s">
        <v>1287</v>
      </c>
      <c r="D403" t="s">
        <v>124</v>
      </c>
      <c r="E403" t="s">
        <v>1288</v>
      </c>
      <c r="F403" t="s">
        <v>14</v>
      </c>
      <c r="G403" s="1">
        <v>225206.56</v>
      </c>
      <c r="H403" t="s">
        <v>126</v>
      </c>
      <c r="I403" t="s">
        <v>156</v>
      </c>
      <c r="J403" t="s">
        <v>187</v>
      </c>
    </row>
    <row r="404" spans="1:10">
      <c r="A404">
        <v>122047</v>
      </c>
      <c r="B404" t="s">
        <v>446</v>
      </c>
      <c r="C404" t="s">
        <v>1289</v>
      </c>
      <c r="D404" t="s">
        <v>124</v>
      </c>
      <c r="E404" t="s">
        <v>1290</v>
      </c>
      <c r="F404" t="s">
        <v>14</v>
      </c>
      <c r="G404" s="1">
        <v>225000</v>
      </c>
      <c r="H404" t="s">
        <v>126</v>
      </c>
      <c r="I404" t="s">
        <v>156</v>
      </c>
      <c r="J404" t="s">
        <v>1291</v>
      </c>
    </row>
    <row r="405" spans="1:10">
      <c r="A405">
        <v>112910</v>
      </c>
      <c r="B405" t="s">
        <v>446</v>
      </c>
      <c r="C405" t="s">
        <v>1292</v>
      </c>
      <c r="D405" t="s">
        <v>12</v>
      </c>
      <c r="E405" t="s">
        <v>1293</v>
      </c>
      <c r="F405" t="s">
        <v>14</v>
      </c>
      <c r="G405" s="1">
        <v>221841.01</v>
      </c>
      <c r="H405" t="s">
        <v>15</v>
      </c>
      <c r="I405" t="s">
        <v>1294</v>
      </c>
      <c r="J405" t="s">
        <v>1295</v>
      </c>
    </row>
    <row r="406" spans="1:10">
      <c r="A406">
        <v>116369</v>
      </c>
      <c r="B406" t="s">
        <v>446</v>
      </c>
      <c r="C406" t="s">
        <v>1296</v>
      </c>
      <c r="D406" t="s">
        <v>12</v>
      </c>
      <c r="E406" t="s">
        <v>1297</v>
      </c>
      <c r="F406" t="s">
        <v>14</v>
      </c>
      <c r="G406" s="1">
        <v>221836.29</v>
      </c>
      <c r="H406" t="s">
        <v>437</v>
      </c>
      <c r="I406" t="s">
        <v>1298</v>
      </c>
      <c r="J406" t="s">
        <v>1299</v>
      </c>
    </row>
    <row r="407" spans="1:10">
      <c r="A407">
        <v>150801</v>
      </c>
      <c r="B407" t="s">
        <v>446</v>
      </c>
      <c r="C407" t="s">
        <v>1300</v>
      </c>
      <c r="D407" t="s">
        <v>12</v>
      </c>
      <c r="E407" t="s">
        <v>1301</v>
      </c>
      <c r="F407" t="s">
        <v>168</v>
      </c>
      <c r="G407" s="1">
        <v>220522.54</v>
      </c>
      <c r="H407" t="s">
        <v>437</v>
      </c>
      <c r="I407" t="s">
        <v>1040</v>
      </c>
      <c r="J407" t="s">
        <v>1302</v>
      </c>
    </row>
    <row r="408" spans="1:10">
      <c r="A408">
        <v>118642</v>
      </c>
      <c r="B408" t="s">
        <v>446</v>
      </c>
      <c r="C408" t="s">
        <v>1303</v>
      </c>
      <c r="D408" t="s">
        <v>124</v>
      </c>
      <c r="E408" t="s">
        <v>1304</v>
      </c>
      <c r="F408" t="s">
        <v>14</v>
      </c>
      <c r="G408" s="1">
        <v>218086.14</v>
      </c>
      <c r="H408" t="s">
        <v>126</v>
      </c>
      <c r="I408" t="s">
        <v>156</v>
      </c>
      <c r="J408" t="s">
        <v>180</v>
      </c>
    </row>
    <row r="409" spans="1:10">
      <c r="A409">
        <v>125323</v>
      </c>
      <c r="B409" t="s">
        <v>446</v>
      </c>
      <c r="C409" t="s">
        <v>1305</v>
      </c>
      <c r="D409" t="s">
        <v>124</v>
      </c>
      <c r="E409" t="s">
        <v>1306</v>
      </c>
      <c r="F409" t="s">
        <v>14</v>
      </c>
      <c r="G409" s="1">
        <v>213579.2</v>
      </c>
      <c r="H409" t="s">
        <v>126</v>
      </c>
      <c r="I409" t="s">
        <v>156</v>
      </c>
      <c r="J409" t="s">
        <v>180</v>
      </c>
    </row>
    <row r="410" spans="1:10">
      <c r="A410" t="s">
        <v>1307</v>
      </c>
      <c r="B410" t="s">
        <v>446</v>
      </c>
      <c r="C410" t="s">
        <v>1308</v>
      </c>
      <c r="D410" t="s">
        <v>124</v>
      </c>
      <c r="E410" t="s">
        <v>1309</v>
      </c>
      <c r="F410" t="s">
        <v>168</v>
      </c>
      <c r="G410" s="1">
        <v>212075.27</v>
      </c>
      <c r="H410" t="s">
        <v>126</v>
      </c>
      <c r="I410" t="s">
        <v>156</v>
      </c>
      <c r="J410" t="s">
        <v>180</v>
      </c>
    </row>
    <row r="411" spans="1:10">
      <c r="A411">
        <v>109719</v>
      </c>
      <c r="B411" t="s">
        <v>446</v>
      </c>
      <c r="C411" t="s">
        <v>1310</v>
      </c>
      <c r="D411" t="s">
        <v>12</v>
      </c>
      <c r="E411" t="s">
        <v>1311</v>
      </c>
      <c r="F411" t="s">
        <v>14</v>
      </c>
      <c r="G411" s="1">
        <v>208295</v>
      </c>
      <c r="H411" t="s">
        <v>95</v>
      </c>
      <c r="I411" t="s">
        <v>683</v>
      </c>
      <c r="J411" t="s">
        <v>1312</v>
      </c>
    </row>
    <row r="412" spans="1:10">
      <c r="A412">
        <v>130505</v>
      </c>
      <c r="B412" t="s">
        <v>446</v>
      </c>
      <c r="C412" t="s">
        <v>1313</v>
      </c>
      <c r="D412" t="s">
        <v>124</v>
      </c>
      <c r="E412" t="s">
        <v>1314</v>
      </c>
      <c r="F412" t="s">
        <v>14</v>
      </c>
      <c r="G412" s="1">
        <v>208230</v>
      </c>
      <c r="H412" t="s">
        <v>126</v>
      </c>
      <c r="I412" t="s">
        <v>156</v>
      </c>
      <c r="J412" t="s">
        <v>180</v>
      </c>
    </row>
    <row r="413" spans="1:10">
      <c r="A413">
        <v>128520</v>
      </c>
      <c r="B413" t="s">
        <v>446</v>
      </c>
      <c r="C413" t="s">
        <v>1315</v>
      </c>
      <c r="D413" t="s">
        <v>12</v>
      </c>
      <c r="E413" t="s">
        <v>1316</v>
      </c>
      <c r="F413" t="s">
        <v>14</v>
      </c>
      <c r="G413" s="1">
        <v>208228.88</v>
      </c>
      <c r="H413" t="s">
        <v>848</v>
      </c>
      <c r="I413" t="s">
        <v>156</v>
      </c>
      <c r="J413" t="s">
        <v>180</v>
      </c>
    </row>
    <row r="414" spans="1:10">
      <c r="A414">
        <v>103259</v>
      </c>
      <c r="B414" t="s">
        <v>446</v>
      </c>
      <c r="C414" t="s">
        <v>1317</v>
      </c>
      <c r="D414" t="s">
        <v>12</v>
      </c>
      <c r="E414" t="s">
        <v>1318</v>
      </c>
      <c r="F414" t="s">
        <v>14</v>
      </c>
      <c r="G414" s="1">
        <v>207892.87</v>
      </c>
      <c r="H414" t="s">
        <v>27</v>
      </c>
      <c r="I414" t="s">
        <v>1319</v>
      </c>
      <c r="J414" t="s">
        <v>1320</v>
      </c>
    </row>
    <row r="415" spans="1:10">
      <c r="A415">
        <v>127679</v>
      </c>
      <c r="B415" t="s">
        <v>446</v>
      </c>
      <c r="C415" t="s">
        <v>1321</v>
      </c>
      <c r="D415" t="s">
        <v>12</v>
      </c>
      <c r="E415" t="s">
        <v>1322</v>
      </c>
      <c r="F415" t="s">
        <v>14</v>
      </c>
      <c r="G415" s="1">
        <v>206280.11</v>
      </c>
      <c r="H415" t="s">
        <v>27</v>
      </c>
      <c r="I415" t="s">
        <v>1323</v>
      </c>
      <c r="J415" t="s">
        <v>1324</v>
      </c>
    </row>
    <row r="416" spans="1:10">
      <c r="A416" t="s">
        <v>1325</v>
      </c>
      <c r="B416" t="s">
        <v>446</v>
      </c>
      <c r="C416" t="s">
        <v>1326</v>
      </c>
      <c r="D416" t="s">
        <v>124</v>
      </c>
      <c r="E416" t="s">
        <v>1327</v>
      </c>
      <c r="F416" t="s">
        <v>168</v>
      </c>
      <c r="G416" s="1">
        <v>205974.45</v>
      </c>
      <c r="H416" t="s">
        <v>126</v>
      </c>
      <c r="I416" t="s">
        <v>868</v>
      </c>
      <c r="J416" t="s">
        <v>1328</v>
      </c>
    </row>
    <row r="417" spans="1:10">
      <c r="A417">
        <v>113482</v>
      </c>
      <c r="B417" t="s">
        <v>446</v>
      </c>
      <c r="C417" t="s">
        <v>1329</v>
      </c>
      <c r="D417" t="s">
        <v>12</v>
      </c>
      <c r="E417" t="s">
        <v>1330</v>
      </c>
      <c r="F417" t="s">
        <v>14</v>
      </c>
      <c r="G417" s="1">
        <v>203439.68</v>
      </c>
      <c r="H417" t="s">
        <v>777</v>
      </c>
      <c r="I417" t="s">
        <v>1331</v>
      </c>
      <c r="J417" t="s">
        <v>1332</v>
      </c>
    </row>
    <row r="418" spans="1:10">
      <c r="A418">
        <v>130766</v>
      </c>
      <c r="B418" t="s">
        <v>446</v>
      </c>
      <c r="C418" t="s">
        <v>1333</v>
      </c>
      <c r="D418" t="s">
        <v>12</v>
      </c>
      <c r="E418" t="s">
        <v>1334</v>
      </c>
      <c r="F418" t="s">
        <v>14</v>
      </c>
      <c r="G418" s="1">
        <v>202596.75</v>
      </c>
      <c r="H418" t="s">
        <v>437</v>
      </c>
      <c r="I418" t="s">
        <v>1335</v>
      </c>
      <c r="J418" t="s">
        <v>1336</v>
      </c>
    </row>
    <row r="419" spans="1:10">
      <c r="A419">
        <v>131235</v>
      </c>
      <c r="B419" t="s">
        <v>446</v>
      </c>
      <c r="C419" t="s">
        <v>1337</v>
      </c>
      <c r="D419" t="s">
        <v>124</v>
      </c>
      <c r="E419" t="s">
        <v>1338</v>
      </c>
      <c r="F419" t="s">
        <v>14</v>
      </c>
      <c r="G419" s="1">
        <v>201305</v>
      </c>
      <c r="H419" t="s">
        <v>126</v>
      </c>
      <c r="I419" t="s">
        <v>156</v>
      </c>
      <c r="J419" t="s">
        <v>180</v>
      </c>
    </row>
    <row r="420" spans="1:10">
      <c r="A420">
        <v>118470</v>
      </c>
      <c r="B420" t="s">
        <v>446</v>
      </c>
      <c r="C420" t="s">
        <v>1339</v>
      </c>
      <c r="D420" t="s">
        <v>12</v>
      </c>
      <c r="E420" t="s">
        <v>1340</v>
      </c>
      <c r="F420" t="s">
        <v>14</v>
      </c>
      <c r="G420" s="1">
        <v>198905.7</v>
      </c>
      <c r="H420" t="s">
        <v>56</v>
      </c>
      <c r="I420" t="s">
        <v>1341</v>
      </c>
      <c r="J420" t="s">
        <v>1342</v>
      </c>
    </row>
    <row r="421" spans="1:10">
      <c r="A421">
        <v>100199</v>
      </c>
      <c r="B421" t="s">
        <v>446</v>
      </c>
      <c r="C421" t="s">
        <v>1343</v>
      </c>
      <c r="D421" t="s">
        <v>12</v>
      </c>
      <c r="E421" t="s">
        <v>1344</v>
      </c>
      <c r="F421" t="s">
        <v>14</v>
      </c>
      <c r="G421" s="1">
        <v>198687.72</v>
      </c>
      <c r="H421" t="s">
        <v>232</v>
      </c>
      <c r="I421" t="s">
        <v>1345</v>
      </c>
      <c r="J421" t="s">
        <v>1346</v>
      </c>
    </row>
    <row r="422" spans="1:10">
      <c r="A422">
        <v>124348</v>
      </c>
      <c r="B422" t="s">
        <v>446</v>
      </c>
      <c r="C422" t="s">
        <v>1347</v>
      </c>
      <c r="D422" t="s">
        <v>124</v>
      </c>
      <c r="E422" t="s">
        <v>1348</v>
      </c>
      <c r="F422" t="s">
        <v>14</v>
      </c>
      <c r="G422" s="1">
        <v>198043.61</v>
      </c>
      <c r="H422" t="s">
        <v>848</v>
      </c>
      <c r="I422" t="s">
        <v>848</v>
      </c>
      <c r="J422" t="s">
        <v>1349</v>
      </c>
    </row>
    <row r="423" spans="1:10">
      <c r="A423" t="s">
        <v>1350</v>
      </c>
      <c r="B423" t="s">
        <v>446</v>
      </c>
      <c r="C423" t="s">
        <v>1351</v>
      </c>
      <c r="D423" t="s">
        <v>12</v>
      </c>
      <c r="E423" t="s">
        <v>1352</v>
      </c>
      <c r="F423" t="s">
        <v>168</v>
      </c>
      <c r="G423" s="1">
        <v>196062.48</v>
      </c>
      <c r="H423" t="s">
        <v>56</v>
      </c>
      <c r="I423" t="s">
        <v>1353</v>
      </c>
      <c r="J423" t="s">
        <v>1354</v>
      </c>
    </row>
    <row r="424" spans="1:10">
      <c r="A424">
        <v>124185</v>
      </c>
      <c r="B424" t="s">
        <v>446</v>
      </c>
      <c r="C424" t="s">
        <v>1355</v>
      </c>
      <c r="D424" t="s">
        <v>12</v>
      </c>
      <c r="E424" t="s">
        <v>1356</v>
      </c>
      <c r="F424" t="s">
        <v>14</v>
      </c>
      <c r="G424" s="1">
        <v>195276.79999999999</v>
      </c>
      <c r="H424" t="s">
        <v>333</v>
      </c>
      <c r="I424" t="s">
        <v>1357</v>
      </c>
      <c r="J424" t="s">
        <v>1358</v>
      </c>
    </row>
    <row r="425" spans="1:10">
      <c r="A425">
        <v>141152</v>
      </c>
      <c r="B425" t="s">
        <v>446</v>
      </c>
      <c r="C425" t="s">
        <v>1359</v>
      </c>
      <c r="D425" t="s">
        <v>12</v>
      </c>
      <c r="E425" t="s">
        <v>1360</v>
      </c>
      <c r="F425" t="s">
        <v>14</v>
      </c>
      <c r="G425" s="1">
        <v>195000</v>
      </c>
      <c r="H425" t="s">
        <v>140</v>
      </c>
      <c r="I425" t="s">
        <v>1361</v>
      </c>
      <c r="J425" t="s">
        <v>1362</v>
      </c>
    </row>
    <row r="426" spans="1:10">
      <c r="A426" t="s">
        <v>1363</v>
      </c>
      <c r="B426" t="s">
        <v>446</v>
      </c>
      <c r="C426" t="s">
        <v>1364</v>
      </c>
      <c r="D426" t="s">
        <v>124</v>
      </c>
      <c r="E426" t="s">
        <v>1365</v>
      </c>
      <c r="F426" t="s">
        <v>168</v>
      </c>
      <c r="G426" s="1">
        <v>193114.63</v>
      </c>
      <c r="H426" t="s">
        <v>1263</v>
      </c>
      <c r="I426" t="s">
        <v>1366</v>
      </c>
      <c r="J426" t="s">
        <v>1367</v>
      </c>
    </row>
    <row r="427" spans="1:10">
      <c r="A427">
        <v>151306</v>
      </c>
      <c r="B427" t="s">
        <v>446</v>
      </c>
      <c r="C427" t="s">
        <v>1368</v>
      </c>
      <c r="D427" t="s">
        <v>124</v>
      </c>
      <c r="E427" t="s">
        <v>1369</v>
      </c>
      <c r="F427" t="s">
        <v>14</v>
      </c>
      <c r="G427" s="1">
        <v>193000</v>
      </c>
      <c r="H427" t="s">
        <v>848</v>
      </c>
      <c r="I427" t="s">
        <v>1370</v>
      </c>
      <c r="J427" t="s">
        <v>1371</v>
      </c>
    </row>
    <row r="428" spans="1:10">
      <c r="A428">
        <v>130143</v>
      </c>
      <c r="B428" t="s">
        <v>446</v>
      </c>
      <c r="C428" t="s">
        <v>1372</v>
      </c>
      <c r="D428" t="s">
        <v>12</v>
      </c>
      <c r="E428" t="s">
        <v>1373</v>
      </c>
      <c r="F428" t="s">
        <v>14</v>
      </c>
      <c r="G428" s="1">
        <v>191250</v>
      </c>
      <c r="H428" t="s">
        <v>36</v>
      </c>
      <c r="I428" t="s">
        <v>1374</v>
      </c>
      <c r="J428" t="s">
        <v>1375</v>
      </c>
    </row>
    <row r="429" spans="1:10">
      <c r="A429">
        <v>102970</v>
      </c>
      <c r="B429" t="s">
        <v>446</v>
      </c>
      <c r="C429" t="s">
        <v>1376</v>
      </c>
      <c r="D429" t="s">
        <v>12</v>
      </c>
      <c r="E429" t="s">
        <v>1377</v>
      </c>
      <c r="F429" t="s">
        <v>14</v>
      </c>
      <c r="G429" s="1">
        <v>190513.09</v>
      </c>
      <c r="H429" t="s">
        <v>1378</v>
      </c>
      <c r="I429" t="s">
        <v>1379</v>
      </c>
      <c r="J429" t="s">
        <v>1380</v>
      </c>
    </row>
    <row r="430" spans="1:10">
      <c r="A430">
        <v>149514</v>
      </c>
      <c r="B430" t="s">
        <v>446</v>
      </c>
      <c r="C430" t="s">
        <v>1381</v>
      </c>
      <c r="D430" t="s">
        <v>124</v>
      </c>
      <c r="E430" t="s">
        <v>1382</v>
      </c>
      <c r="F430" t="s">
        <v>14</v>
      </c>
      <c r="G430" s="1">
        <v>189884</v>
      </c>
      <c r="H430" t="s">
        <v>126</v>
      </c>
      <c r="I430" t="s">
        <v>156</v>
      </c>
      <c r="J430" t="s">
        <v>180</v>
      </c>
    </row>
    <row r="431" spans="1:10">
      <c r="A431">
        <v>151623</v>
      </c>
      <c r="B431" t="s">
        <v>446</v>
      </c>
      <c r="C431" t="s">
        <v>1383</v>
      </c>
      <c r="D431" t="s">
        <v>12</v>
      </c>
      <c r="E431" t="s">
        <v>1384</v>
      </c>
      <c r="F431" t="s">
        <v>14</v>
      </c>
      <c r="G431" s="1">
        <v>188800</v>
      </c>
      <c r="H431" t="s">
        <v>85</v>
      </c>
      <c r="I431" t="s">
        <v>1385</v>
      </c>
      <c r="J431" t="s">
        <v>1386</v>
      </c>
    </row>
    <row r="432" spans="1:10">
      <c r="A432" t="s">
        <v>1387</v>
      </c>
      <c r="B432" t="s">
        <v>446</v>
      </c>
      <c r="C432" t="s">
        <v>1388</v>
      </c>
      <c r="D432" t="s">
        <v>12</v>
      </c>
      <c r="E432" t="s">
        <v>1389</v>
      </c>
      <c r="F432" t="s">
        <v>168</v>
      </c>
      <c r="G432" s="1">
        <v>187954.76</v>
      </c>
      <c r="H432" t="s">
        <v>56</v>
      </c>
      <c r="I432" t="s">
        <v>1390</v>
      </c>
      <c r="J432" t="s">
        <v>1391</v>
      </c>
    </row>
    <row r="433" spans="1:10">
      <c r="A433">
        <v>125618</v>
      </c>
      <c r="B433" t="s">
        <v>446</v>
      </c>
      <c r="C433" t="s">
        <v>1392</v>
      </c>
      <c r="D433" t="s">
        <v>12</v>
      </c>
      <c r="E433" t="s">
        <v>1393</v>
      </c>
      <c r="F433" t="s">
        <v>14</v>
      </c>
      <c r="G433" s="1">
        <v>185191</v>
      </c>
      <c r="H433" t="s">
        <v>777</v>
      </c>
      <c r="I433" t="s">
        <v>1394</v>
      </c>
      <c r="J433" t="s">
        <v>1395</v>
      </c>
    </row>
    <row r="434" spans="1:10">
      <c r="A434">
        <v>106345</v>
      </c>
      <c r="B434" t="s">
        <v>446</v>
      </c>
      <c r="C434" t="s">
        <v>1396</v>
      </c>
      <c r="D434" t="s">
        <v>124</v>
      </c>
      <c r="E434" t="s">
        <v>1397</v>
      </c>
      <c r="F434" t="s">
        <v>14</v>
      </c>
      <c r="G434" s="1">
        <v>180303.12</v>
      </c>
      <c r="H434" t="s">
        <v>126</v>
      </c>
      <c r="I434" t="s">
        <v>156</v>
      </c>
      <c r="J434" t="s">
        <v>1398</v>
      </c>
    </row>
    <row r="435" spans="1:10">
      <c r="A435">
        <v>145012</v>
      </c>
      <c r="B435" t="s">
        <v>446</v>
      </c>
      <c r="C435" t="s">
        <v>1399</v>
      </c>
      <c r="D435" t="s">
        <v>124</v>
      </c>
      <c r="E435" t="s">
        <v>1400</v>
      </c>
      <c r="F435" t="s">
        <v>168</v>
      </c>
      <c r="G435" s="1">
        <v>177731.66</v>
      </c>
      <c r="H435" t="s">
        <v>126</v>
      </c>
      <c r="I435" t="s">
        <v>1401</v>
      </c>
      <c r="J435" t="s">
        <v>1402</v>
      </c>
    </row>
    <row r="436" spans="1:10">
      <c r="A436">
        <v>130504</v>
      </c>
      <c r="B436" t="s">
        <v>446</v>
      </c>
      <c r="C436" t="s">
        <v>1403</v>
      </c>
      <c r="D436" t="s">
        <v>124</v>
      </c>
      <c r="E436" t="s">
        <v>1314</v>
      </c>
      <c r="F436" t="s">
        <v>14</v>
      </c>
      <c r="G436" s="1">
        <v>177055.4</v>
      </c>
      <c r="H436" t="s">
        <v>126</v>
      </c>
      <c r="I436" t="s">
        <v>156</v>
      </c>
      <c r="J436" t="s">
        <v>180</v>
      </c>
    </row>
    <row r="437" spans="1:10">
      <c r="A437">
        <v>130963</v>
      </c>
      <c r="B437" t="s">
        <v>446</v>
      </c>
      <c r="C437" t="s">
        <v>1404</v>
      </c>
      <c r="D437" t="s">
        <v>124</v>
      </c>
      <c r="E437" t="s">
        <v>1405</v>
      </c>
      <c r="F437" t="s">
        <v>14</v>
      </c>
      <c r="G437" s="1">
        <v>175161.63</v>
      </c>
      <c r="H437" t="s">
        <v>126</v>
      </c>
      <c r="I437" t="s">
        <v>156</v>
      </c>
      <c r="J437" t="s">
        <v>180</v>
      </c>
    </row>
    <row r="438" spans="1:10">
      <c r="A438">
        <v>145002</v>
      </c>
      <c r="B438" t="s">
        <v>446</v>
      </c>
      <c r="C438" t="s">
        <v>1406</v>
      </c>
      <c r="D438" t="s">
        <v>12</v>
      </c>
      <c r="E438" t="s">
        <v>1407</v>
      </c>
      <c r="F438" t="s">
        <v>14</v>
      </c>
      <c r="G438" s="1">
        <v>175000</v>
      </c>
      <c r="H438" t="s">
        <v>85</v>
      </c>
      <c r="I438" t="s">
        <v>1408</v>
      </c>
      <c r="J438" t="s">
        <v>1409</v>
      </c>
    </row>
    <row r="439" spans="1:10">
      <c r="A439">
        <v>149244</v>
      </c>
      <c r="B439" t="s">
        <v>446</v>
      </c>
      <c r="C439" t="s">
        <v>1410</v>
      </c>
      <c r="D439" t="s">
        <v>12</v>
      </c>
      <c r="E439" t="s">
        <v>1411</v>
      </c>
      <c r="F439" t="s">
        <v>14</v>
      </c>
      <c r="G439" s="1">
        <v>173550.04</v>
      </c>
      <c r="H439" t="s">
        <v>1412</v>
      </c>
      <c r="I439" t="s">
        <v>1413</v>
      </c>
      <c r="J439" t="s">
        <v>1414</v>
      </c>
    </row>
    <row r="440" spans="1:10">
      <c r="A440">
        <v>105779</v>
      </c>
      <c r="B440" t="s">
        <v>446</v>
      </c>
      <c r="C440" t="s">
        <v>1415</v>
      </c>
      <c r="D440" t="s">
        <v>12</v>
      </c>
      <c r="E440" t="s">
        <v>1416</v>
      </c>
      <c r="F440" t="s">
        <v>14</v>
      </c>
      <c r="G440" s="1">
        <v>173160.78</v>
      </c>
      <c r="H440" t="s">
        <v>56</v>
      </c>
      <c r="I440" t="s">
        <v>1417</v>
      </c>
      <c r="J440" t="s">
        <v>1418</v>
      </c>
    </row>
    <row r="441" spans="1:10">
      <c r="A441">
        <v>110137</v>
      </c>
      <c r="B441" t="s">
        <v>446</v>
      </c>
      <c r="C441" t="s">
        <v>1419</v>
      </c>
      <c r="D441" t="s">
        <v>12</v>
      </c>
      <c r="E441" t="s">
        <v>1420</v>
      </c>
      <c r="F441" t="s">
        <v>14</v>
      </c>
      <c r="G441" s="1">
        <v>172396.78</v>
      </c>
      <c r="H441" t="s">
        <v>437</v>
      </c>
      <c r="I441" t="s">
        <v>1421</v>
      </c>
      <c r="J441" t="s">
        <v>1422</v>
      </c>
    </row>
    <row r="442" spans="1:10">
      <c r="A442">
        <v>127271</v>
      </c>
      <c r="B442" t="s">
        <v>446</v>
      </c>
      <c r="C442" t="s">
        <v>1423</v>
      </c>
      <c r="D442" t="s">
        <v>12</v>
      </c>
      <c r="E442" t="s">
        <v>1424</v>
      </c>
      <c r="F442" t="s">
        <v>14</v>
      </c>
      <c r="G442" s="1">
        <v>167917.25</v>
      </c>
      <c r="H442" t="s">
        <v>72</v>
      </c>
      <c r="I442" t="s">
        <v>1425</v>
      </c>
      <c r="J442" t="s">
        <v>1426</v>
      </c>
    </row>
    <row r="443" spans="1:10">
      <c r="A443">
        <v>102548</v>
      </c>
      <c r="B443" t="s">
        <v>446</v>
      </c>
      <c r="C443" t="s">
        <v>1427</v>
      </c>
      <c r="D443" t="s">
        <v>12</v>
      </c>
      <c r="E443" t="s">
        <v>1428</v>
      </c>
      <c r="F443" t="s">
        <v>14</v>
      </c>
      <c r="G443" s="1">
        <v>166936.92000000001</v>
      </c>
      <c r="H443" t="s">
        <v>232</v>
      </c>
      <c r="I443" t="s">
        <v>1429</v>
      </c>
      <c r="J443" t="s">
        <v>1430</v>
      </c>
    </row>
    <row r="444" spans="1:10">
      <c r="A444">
        <v>121718</v>
      </c>
      <c r="B444" t="s">
        <v>446</v>
      </c>
      <c r="C444" t="s">
        <v>1431</v>
      </c>
      <c r="D444" t="s">
        <v>12</v>
      </c>
      <c r="E444" t="s">
        <v>1432</v>
      </c>
      <c r="F444" t="s">
        <v>14</v>
      </c>
      <c r="G444" s="1">
        <v>166598</v>
      </c>
      <c r="H444" t="s">
        <v>85</v>
      </c>
      <c r="I444" t="s">
        <v>1433</v>
      </c>
      <c r="J444" t="s">
        <v>1434</v>
      </c>
    </row>
    <row r="445" spans="1:10">
      <c r="A445">
        <v>141400</v>
      </c>
      <c r="B445" t="s">
        <v>446</v>
      </c>
      <c r="C445" t="s">
        <v>1435</v>
      </c>
      <c r="D445" t="s">
        <v>12</v>
      </c>
      <c r="E445" t="s">
        <v>1436</v>
      </c>
      <c r="F445" t="s">
        <v>14</v>
      </c>
      <c r="G445" s="1">
        <v>166125</v>
      </c>
      <c r="H445" t="s">
        <v>95</v>
      </c>
      <c r="I445" t="s">
        <v>1437</v>
      </c>
      <c r="J445" t="s">
        <v>1438</v>
      </c>
    </row>
    <row r="446" spans="1:10">
      <c r="A446">
        <v>112889</v>
      </c>
      <c r="B446" t="s">
        <v>446</v>
      </c>
      <c r="C446" t="s">
        <v>1439</v>
      </c>
      <c r="D446" t="s">
        <v>12</v>
      </c>
      <c r="E446" t="s">
        <v>1440</v>
      </c>
      <c r="F446" t="s">
        <v>14</v>
      </c>
      <c r="G446" s="1">
        <v>165784.06</v>
      </c>
      <c r="H446" t="s">
        <v>232</v>
      </c>
      <c r="I446" t="s">
        <v>1441</v>
      </c>
      <c r="J446" t="s">
        <v>1442</v>
      </c>
    </row>
    <row r="447" spans="1:10">
      <c r="A447">
        <v>143372</v>
      </c>
      <c r="B447" t="s">
        <v>446</v>
      </c>
      <c r="C447" t="s">
        <v>1443</v>
      </c>
      <c r="D447" t="s">
        <v>12</v>
      </c>
      <c r="E447" t="s">
        <v>1444</v>
      </c>
      <c r="F447" t="s">
        <v>14</v>
      </c>
      <c r="G447" s="1">
        <v>165300</v>
      </c>
      <c r="H447" t="s">
        <v>85</v>
      </c>
      <c r="I447" t="s">
        <v>1445</v>
      </c>
      <c r="J447" t="s">
        <v>1446</v>
      </c>
    </row>
    <row r="448" spans="1:10">
      <c r="A448" t="s">
        <v>1447</v>
      </c>
      <c r="B448" t="s">
        <v>446</v>
      </c>
      <c r="C448" t="s">
        <v>1448</v>
      </c>
      <c r="D448" t="s">
        <v>12</v>
      </c>
      <c r="E448" t="s">
        <v>1449</v>
      </c>
      <c r="F448" t="s">
        <v>168</v>
      </c>
      <c r="G448" s="1">
        <v>164890.9</v>
      </c>
      <c r="H448" t="s">
        <v>72</v>
      </c>
      <c r="I448" t="s">
        <v>1450</v>
      </c>
      <c r="J448" t="s">
        <v>1451</v>
      </c>
    </row>
    <row r="449" spans="1:10">
      <c r="A449">
        <v>144862</v>
      </c>
      <c r="B449" t="s">
        <v>446</v>
      </c>
      <c r="C449" t="s">
        <v>1452</v>
      </c>
      <c r="D449" t="s">
        <v>124</v>
      </c>
      <c r="E449" t="s">
        <v>1453</v>
      </c>
      <c r="F449" t="s">
        <v>14</v>
      </c>
      <c r="G449" s="1">
        <v>163823.98000000001</v>
      </c>
      <c r="H449" t="s">
        <v>126</v>
      </c>
      <c r="I449" t="s">
        <v>156</v>
      </c>
      <c r="J449" t="s">
        <v>187</v>
      </c>
    </row>
    <row r="450" spans="1:10">
      <c r="A450">
        <v>125050</v>
      </c>
      <c r="B450" t="s">
        <v>446</v>
      </c>
      <c r="C450" t="s">
        <v>1454</v>
      </c>
      <c r="D450" t="s">
        <v>124</v>
      </c>
      <c r="E450" t="s">
        <v>1455</v>
      </c>
      <c r="F450" t="s">
        <v>14</v>
      </c>
      <c r="G450" s="1">
        <v>163500</v>
      </c>
      <c r="H450" t="s">
        <v>126</v>
      </c>
      <c r="I450" t="s">
        <v>156</v>
      </c>
      <c r="J450" t="s">
        <v>180</v>
      </c>
    </row>
    <row r="451" spans="1:10">
      <c r="A451">
        <v>145343</v>
      </c>
      <c r="B451" t="s">
        <v>446</v>
      </c>
      <c r="C451" t="s">
        <v>1456</v>
      </c>
      <c r="D451" t="s">
        <v>12</v>
      </c>
      <c r="E451" t="s">
        <v>1457</v>
      </c>
      <c r="F451" t="s">
        <v>14</v>
      </c>
      <c r="G451" s="1">
        <v>163074.75</v>
      </c>
      <c r="H451" t="s">
        <v>140</v>
      </c>
      <c r="I451" t="s">
        <v>1458</v>
      </c>
      <c r="J451" t="s">
        <v>1459</v>
      </c>
    </row>
    <row r="452" spans="1:10">
      <c r="A452">
        <v>105138</v>
      </c>
      <c r="B452" t="s">
        <v>446</v>
      </c>
      <c r="C452" t="s">
        <v>1460</v>
      </c>
      <c r="D452" t="s">
        <v>12</v>
      </c>
      <c r="E452" t="s">
        <v>1461</v>
      </c>
      <c r="F452" t="s">
        <v>14</v>
      </c>
      <c r="G452" s="1">
        <v>161835.6</v>
      </c>
      <c r="H452" t="s">
        <v>56</v>
      </c>
      <c r="I452" t="s">
        <v>1462</v>
      </c>
      <c r="J452" t="s">
        <v>1463</v>
      </c>
    </row>
    <row r="453" spans="1:10">
      <c r="A453">
        <v>150289</v>
      </c>
      <c r="B453" t="s">
        <v>446</v>
      </c>
      <c r="C453" t="s">
        <v>1464</v>
      </c>
      <c r="D453" t="s">
        <v>12</v>
      </c>
      <c r="E453" t="s">
        <v>1465</v>
      </c>
      <c r="F453" t="s">
        <v>14</v>
      </c>
      <c r="G453" s="1">
        <v>159420.26999999999</v>
      </c>
      <c r="H453" t="s">
        <v>36</v>
      </c>
      <c r="I453" t="s">
        <v>1466</v>
      </c>
      <c r="J453" t="s">
        <v>1467</v>
      </c>
    </row>
    <row r="454" spans="1:10">
      <c r="A454">
        <v>132183</v>
      </c>
      <c r="B454" t="s">
        <v>446</v>
      </c>
      <c r="C454" t="s">
        <v>1468</v>
      </c>
      <c r="D454" t="s">
        <v>12</v>
      </c>
      <c r="E454" t="s">
        <v>1469</v>
      </c>
      <c r="F454" t="s">
        <v>14</v>
      </c>
      <c r="G454" s="1">
        <v>157000</v>
      </c>
      <c r="H454" t="s">
        <v>85</v>
      </c>
      <c r="I454" t="s">
        <v>1470</v>
      </c>
      <c r="J454" t="s">
        <v>1471</v>
      </c>
    </row>
    <row r="455" spans="1:10">
      <c r="A455">
        <v>145174</v>
      </c>
      <c r="B455" t="s">
        <v>446</v>
      </c>
      <c r="C455" t="s">
        <v>1472</v>
      </c>
      <c r="D455" t="s">
        <v>12</v>
      </c>
      <c r="E455" t="s">
        <v>1473</v>
      </c>
      <c r="F455" t="s">
        <v>14</v>
      </c>
      <c r="G455" s="1">
        <v>156503.26999999999</v>
      </c>
      <c r="H455" t="s">
        <v>777</v>
      </c>
      <c r="I455" t="s">
        <v>1474</v>
      </c>
      <c r="J455" t="s">
        <v>1475</v>
      </c>
    </row>
    <row r="456" spans="1:10">
      <c r="A456">
        <v>148813</v>
      </c>
      <c r="B456" t="s">
        <v>446</v>
      </c>
      <c r="C456" t="s">
        <v>1476</v>
      </c>
      <c r="D456" t="s">
        <v>12</v>
      </c>
      <c r="E456" t="s">
        <v>1477</v>
      </c>
      <c r="F456" t="s">
        <v>14</v>
      </c>
      <c r="G456" s="1">
        <v>155373.29</v>
      </c>
      <c r="H456" t="s">
        <v>27</v>
      </c>
      <c r="I456" t="s">
        <v>1478</v>
      </c>
      <c r="J456" t="s">
        <v>1479</v>
      </c>
    </row>
    <row r="457" spans="1:10">
      <c r="A457">
        <v>149679</v>
      </c>
      <c r="B457" t="s">
        <v>446</v>
      </c>
      <c r="C457" t="s">
        <v>1480</v>
      </c>
      <c r="D457" t="s">
        <v>12</v>
      </c>
      <c r="E457" t="s">
        <v>1481</v>
      </c>
      <c r="F457" t="s">
        <v>14</v>
      </c>
      <c r="G457" s="1">
        <v>155000</v>
      </c>
      <c r="H457" t="s">
        <v>85</v>
      </c>
      <c r="I457" t="s">
        <v>1482</v>
      </c>
      <c r="J457" t="s">
        <v>1483</v>
      </c>
    </row>
    <row r="458" spans="1:10">
      <c r="A458">
        <v>141670</v>
      </c>
      <c r="B458" t="s">
        <v>446</v>
      </c>
      <c r="C458" t="s">
        <v>1484</v>
      </c>
      <c r="D458" t="s">
        <v>124</v>
      </c>
      <c r="E458" t="s">
        <v>1485</v>
      </c>
      <c r="F458" t="s">
        <v>14</v>
      </c>
      <c r="G458" s="1">
        <v>154190</v>
      </c>
      <c r="H458" t="s">
        <v>126</v>
      </c>
      <c r="I458" t="s">
        <v>1486</v>
      </c>
      <c r="J458" t="s">
        <v>1487</v>
      </c>
    </row>
    <row r="459" spans="1:10">
      <c r="A459">
        <v>113010</v>
      </c>
      <c r="B459" t="s">
        <v>446</v>
      </c>
      <c r="C459" t="s">
        <v>1488</v>
      </c>
      <c r="D459" t="s">
        <v>124</v>
      </c>
      <c r="E459" t="s">
        <v>1489</v>
      </c>
      <c r="F459" t="s">
        <v>14</v>
      </c>
      <c r="G459" s="1">
        <v>154076.84</v>
      </c>
      <c r="H459" t="s">
        <v>126</v>
      </c>
      <c r="I459" t="s">
        <v>1490</v>
      </c>
      <c r="J459" t="s">
        <v>1491</v>
      </c>
    </row>
    <row r="460" spans="1:10">
      <c r="A460">
        <v>141529</v>
      </c>
      <c r="B460" t="s">
        <v>446</v>
      </c>
      <c r="C460" t="s">
        <v>1492</v>
      </c>
      <c r="D460" t="s">
        <v>12</v>
      </c>
      <c r="E460" t="s">
        <v>1493</v>
      </c>
      <c r="F460" t="s">
        <v>14</v>
      </c>
      <c r="G460" s="1">
        <v>153636.28</v>
      </c>
      <c r="H460" t="s">
        <v>1017</v>
      </c>
      <c r="I460" t="s">
        <v>1494</v>
      </c>
      <c r="J460" t="s">
        <v>1495</v>
      </c>
    </row>
    <row r="461" spans="1:10">
      <c r="A461">
        <v>144353</v>
      </c>
      <c r="B461" t="s">
        <v>446</v>
      </c>
      <c r="C461" t="s">
        <v>1496</v>
      </c>
      <c r="D461" t="s">
        <v>124</v>
      </c>
      <c r="E461" t="s">
        <v>1497</v>
      </c>
      <c r="F461" t="s">
        <v>14</v>
      </c>
      <c r="G461" s="1">
        <v>153547.71</v>
      </c>
      <c r="H461" t="s">
        <v>126</v>
      </c>
      <c r="I461" t="s">
        <v>156</v>
      </c>
      <c r="J461" t="s">
        <v>180</v>
      </c>
    </row>
    <row r="462" spans="1:10">
      <c r="A462">
        <v>102859</v>
      </c>
      <c r="B462" t="s">
        <v>446</v>
      </c>
      <c r="C462" t="s">
        <v>1498</v>
      </c>
      <c r="D462" t="s">
        <v>12</v>
      </c>
      <c r="E462" t="s">
        <v>1499</v>
      </c>
      <c r="F462" t="s">
        <v>14</v>
      </c>
      <c r="G462" s="1">
        <v>151828</v>
      </c>
      <c r="H462" t="s">
        <v>437</v>
      </c>
      <c r="I462" t="s">
        <v>1500</v>
      </c>
      <c r="J462" t="s">
        <v>1501</v>
      </c>
    </row>
    <row r="463" spans="1:10">
      <c r="A463">
        <v>150680</v>
      </c>
      <c r="B463" t="s">
        <v>446</v>
      </c>
      <c r="C463" t="s">
        <v>1502</v>
      </c>
      <c r="D463" t="s">
        <v>25</v>
      </c>
      <c r="E463" t="s">
        <v>1503</v>
      </c>
      <c r="F463" t="s">
        <v>14</v>
      </c>
      <c r="G463" s="1">
        <v>151261</v>
      </c>
      <c r="H463" t="s">
        <v>27</v>
      </c>
      <c r="I463" t="s">
        <v>27</v>
      </c>
      <c r="J463" t="s">
        <v>28</v>
      </c>
    </row>
    <row r="464" spans="1:10">
      <c r="A464">
        <v>100990</v>
      </c>
      <c r="B464" t="s">
        <v>446</v>
      </c>
      <c r="C464" t="s">
        <v>1504</v>
      </c>
      <c r="D464" t="s">
        <v>12</v>
      </c>
      <c r="E464" t="s">
        <v>1505</v>
      </c>
      <c r="F464" t="s">
        <v>14</v>
      </c>
      <c r="G464" s="1">
        <v>150520</v>
      </c>
      <c r="H464" t="s">
        <v>21</v>
      </c>
      <c r="I464" t="s">
        <v>1506</v>
      </c>
      <c r="J464" t="s">
        <v>1507</v>
      </c>
    </row>
    <row r="465" spans="1:10">
      <c r="A465">
        <v>115296</v>
      </c>
      <c r="B465" t="s">
        <v>446</v>
      </c>
      <c r="C465" t="s">
        <v>1508</v>
      </c>
      <c r="D465" t="s">
        <v>124</v>
      </c>
      <c r="E465" t="s">
        <v>1509</v>
      </c>
      <c r="F465" t="s">
        <v>14</v>
      </c>
      <c r="G465" s="1">
        <v>150503.85</v>
      </c>
      <c r="H465" t="s">
        <v>126</v>
      </c>
      <c r="I465" t="s">
        <v>156</v>
      </c>
      <c r="J465" t="s">
        <v>180</v>
      </c>
    </row>
    <row r="466" spans="1:10">
      <c r="A466">
        <v>148799</v>
      </c>
      <c r="B466" t="s">
        <v>446</v>
      </c>
      <c r="C466" t="s">
        <v>1510</v>
      </c>
      <c r="D466" t="s">
        <v>12</v>
      </c>
      <c r="E466" t="s">
        <v>1511</v>
      </c>
      <c r="F466" t="s">
        <v>14</v>
      </c>
      <c r="G466" s="1">
        <v>150000</v>
      </c>
      <c r="H466" t="s">
        <v>85</v>
      </c>
      <c r="I466" t="s">
        <v>1512</v>
      </c>
      <c r="J466" t="s">
        <v>1513</v>
      </c>
    </row>
    <row r="467" spans="1:10">
      <c r="A467">
        <v>122122</v>
      </c>
      <c r="B467" t="s">
        <v>446</v>
      </c>
      <c r="C467" t="s">
        <v>1514</v>
      </c>
      <c r="D467" t="s">
        <v>124</v>
      </c>
      <c r="E467" t="s">
        <v>1515</v>
      </c>
      <c r="F467" t="s">
        <v>14</v>
      </c>
      <c r="G467" s="1">
        <v>149833.45000000001</v>
      </c>
      <c r="H467" t="s">
        <v>126</v>
      </c>
      <c r="I467" t="s">
        <v>156</v>
      </c>
      <c r="J467" t="s">
        <v>180</v>
      </c>
    </row>
    <row r="468" spans="1:10">
      <c r="A468">
        <v>130027</v>
      </c>
      <c r="B468" t="s">
        <v>446</v>
      </c>
      <c r="C468" t="s">
        <v>1516</v>
      </c>
      <c r="D468" t="s">
        <v>12</v>
      </c>
      <c r="E468" t="s">
        <v>1517</v>
      </c>
      <c r="F468" t="s">
        <v>14</v>
      </c>
      <c r="G468" s="1">
        <v>149511.29999999999</v>
      </c>
      <c r="H468" t="s">
        <v>85</v>
      </c>
      <c r="I468" t="s">
        <v>1518</v>
      </c>
      <c r="J468" t="s">
        <v>1519</v>
      </c>
    </row>
    <row r="469" spans="1:10">
      <c r="A469">
        <v>125322</v>
      </c>
      <c r="B469" t="s">
        <v>446</v>
      </c>
      <c r="C469" t="s">
        <v>1520</v>
      </c>
      <c r="D469" t="s">
        <v>12</v>
      </c>
      <c r="E469" t="s">
        <v>1521</v>
      </c>
      <c r="F469" t="s">
        <v>14</v>
      </c>
      <c r="G469" s="1">
        <v>147716.29</v>
      </c>
      <c r="H469" t="s">
        <v>95</v>
      </c>
      <c r="I469" t="s">
        <v>506</v>
      </c>
      <c r="J469" t="s">
        <v>1522</v>
      </c>
    </row>
    <row r="470" spans="1:10">
      <c r="A470">
        <v>119378</v>
      </c>
      <c r="B470" t="s">
        <v>446</v>
      </c>
      <c r="C470" t="s">
        <v>1523</v>
      </c>
      <c r="D470" t="s">
        <v>124</v>
      </c>
      <c r="E470" t="s">
        <v>1524</v>
      </c>
      <c r="F470" t="s">
        <v>14</v>
      </c>
      <c r="G470" s="1">
        <v>147684.43</v>
      </c>
      <c r="H470" t="s">
        <v>126</v>
      </c>
      <c r="I470" t="s">
        <v>156</v>
      </c>
      <c r="J470" t="s">
        <v>180</v>
      </c>
    </row>
    <row r="471" spans="1:10">
      <c r="A471">
        <v>101652</v>
      </c>
      <c r="B471" t="s">
        <v>446</v>
      </c>
      <c r="C471" t="s">
        <v>1525</v>
      </c>
      <c r="D471" t="s">
        <v>12</v>
      </c>
      <c r="E471" t="s">
        <v>1526</v>
      </c>
      <c r="F471" t="s">
        <v>14</v>
      </c>
      <c r="G471" s="1">
        <v>147000</v>
      </c>
      <c r="H471" t="s">
        <v>15</v>
      </c>
      <c r="I471" t="s">
        <v>1527</v>
      </c>
      <c r="J471" t="s">
        <v>1528</v>
      </c>
    </row>
    <row r="472" spans="1:10">
      <c r="A472">
        <v>131615</v>
      </c>
      <c r="B472" t="s">
        <v>446</v>
      </c>
      <c r="C472" t="s">
        <v>1529</v>
      </c>
      <c r="D472" t="s">
        <v>12</v>
      </c>
      <c r="E472" t="s">
        <v>1530</v>
      </c>
      <c r="F472" t="s">
        <v>14</v>
      </c>
      <c r="G472" s="1">
        <v>145978.94</v>
      </c>
      <c r="H472" t="s">
        <v>21</v>
      </c>
      <c r="I472" t="s">
        <v>1531</v>
      </c>
      <c r="J472" t="s">
        <v>1532</v>
      </c>
    </row>
    <row r="473" spans="1:10">
      <c r="A473">
        <v>132033</v>
      </c>
      <c r="B473" t="s">
        <v>446</v>
      </c>
      <c r="C473" t="s">
        <v>1533</v>
      </c>
      <c r="D473" t="s">
        <v>12</v>
      </c>
      <c r="E473" t="s">
        <v>1534</v>
      </c>
      <c r="F473" t="s">
        <v>14</v>
      </c>
      <c r="G473" s="1">
        <v>145435.22</v>
      </c>
      <c r="H473" t="s">
        <v>85</v>
      </c>
      <c r="I473" t="s">
        <v>1535</v>
      </c>
      <c r="J473" t="s">
        <v>1536</v>
      </c>
    </row>
    <row r="474" spans="1:10">
      <c r="A474" t="s">
        <v>1537</v>
      </c>
      <c r="B474" t="s">
        <v>446</v>
      </c>
      <c r="C474" t="s">
        <v>1538</v>
      </c>
      <c r="D474" t="s">
        <v>12</v>
      </c>
      <c r="E474" t="s">
        <v>470</v>
      </c>
      <c r="F474" t="s">
        <v>168</v>
      </c>
      <c r="G474" s="1">
        <v>145237.28</v>
      </c>
      <c r="H474" t="s">
        <v>72</v>
      </c>
      <c r="I474" t="s">
        <v>73</v>
      </c>
      <c r="J474" t="s">
        <v>1539</v>
      </c>
    </row>
    <row r="475" spans="1:10">
      <c r="A475">
        <v>116154</v>
      </c>
      <c r="B475" t="s">
        <v>446</v>
      </c>
      <c r="C475" t="s">
        <v>1540</v>
      </c>
      <c r="D475" t="s">
        <v>124</v>
      </c>
      <c r="E475" t="s">
        <v>1541</v>
      </c>
      <c r="F475" t="s">
        <v>14</v>
      </c>
      <c r="G475" s="1">
        <v>145168.75</v>
      </c>
      <c r="H475" t="s">
        <v>126</v>
      </c>
      <c r="I475" t="s">
        <v>156</v>
      </c>
      <c r="J475" t="s">
        <v>1542</v>
      </c>
    </row>
    <row r="476" spans="1:10">
      <c r="A476">
        <v>107338</v>
      </c>
      <c r="B476" t="s">
        <v>446</v>
      </c>
      <c r="C476" t="s">
        <v>1543</v>
      </c>
      <c r="D476" t="s">
        <v>12</v>
      </c>
      <c r="E476" t="s">
        <v>1544</v>
      </c>
      <c r="F476" t="s">
        <v>14</v>
      </c>
      <c r="G476" s="1">
        <v>144975.94</v>
      </c>
      <c r="H476" t="s">
        <v>27</v>
      </c>
      <c r="I476" t="s">
        <v>1545</v>
      </c>
      <c r="J476" t="s">
        <v>1546</v>
      </c>
    </row>
    <row r="477" spans="1:10">
      <c r="A477">
        <v>106249</v>
      </c>
      <c r="B477" t="s">
        <v>446</v>
      </c>
      <c r="C477" t="s">
        <v>1547</v>
      </c>
      <c r="D477" t="s">
        <v>245</v>
      </c>
      <c r="E477" t="s">
        <v>1548</v>
      </c>
      <c r="F477" t="s">
        <v>14</v>
      </c>
      <c r="G477" s="1">
        <v>144100</v>
      </c>
      <c r="H477" t="s">
        <v>27</v>
      </c>
      <c r="I477" t="s">
        <v>107</v>
      </c>
      <c r="J477" t="s">
        <v>1549</v>
      </c>
    </row>
    <row r="478" spans="1:10">
      <c r="A478">
        <v>100029</v>
      </c>
      <c r="B478" t="s">
        <v>446</v>
      </c>
      <c r="C478" t="s">
        <v>1550</v>
      </c>
      <c r="D478" t="s">
        <v>12</v>
      </c>
      <c r="E478" t="s">
        <v>1551</v>
      </c>
      <c r="F478" t="s">
        <v>14</v>
      </c>
      <c r="G478" s="1">
        <v>143229.15</v>
      </c>
      <c r="H478" t="s">
        <v>777</v>
      </c>
      <c r="I478" t="s">
        <v>1552</v>
      </c>
      <c r="J478" t="s">
        <v>1553</v>
      </c>
    </row>
    <row r="479" spans="1:10">
      <c r="A479">
        <v>132238</v>
      </c>
      <c r="B479" t="s">
        <v>446</v>
      </c>
      <c r="C479" t="s">
        <v>1554</v>
      </c>
      <c r="D479" t="s">
        <v>12</v>
      </c>
      <c r="E479" t="s">
        <v>1555</v>
      </c>
      <c r="F479" t="s">
        <v>14</v>
      </c>
      <c r="G479" s="1">
        <v>142281.18</v>
      </c>
      <c r="H479" t="s">
        <v>72</v>
      </c>
      <c r="I479" t="s">
        <v>1556</v>
      </c>
      <c r="J479" t="s">
        <v>1557</v>
      </c>
    </row>
    <row r="480" spans="1:10">
      <c r="A480">
        <v>147006</v>
      </c>
      <c r="B480" t="s">
        <v>446</v>
      </c>
      <c r="C480" t="s">
        <v>1558</v>
      </c>
      <c r="D480" t="s">
        <v>12</v>
      </c>
      <c r="E480" t="s">
        <v>1559</v>
      </c>
      <c r="F480" t="s">
        <v>14</v>
      </c>
      <c r="G480" s="1">
        <v>140400</v>
      </c>
      <c r="H480" t="s">
        <v>85</v>
      </c>
      <c r="I480" t="s">
        <v>1560</v>
      </c>
      <c r="J480" t="s">
        <v>1561</v>
      </c>
    </row>
    <row r="481" spans="1:10">
      <c r="A481">
        <v>117665</v>
      </c>
      <c r="B481" t="s">
        <v>446</v>
      </c>
      <c r="C481" t="s">
        <v>1562</v>
      </c>
      <c r="D481" t="s">
        <v>12</v>
      </c>
      <c r="E481" t="s">
        <v>1563</v>
      </c>
      <c r="F481" t="s">
        <v>14</v>
      </c>
      <c r="G481" s="1">
        <v>140388.35</v>
      </c>
      <c r="H481" t="s">
        <v>36</v>
      </c>
      <c r="I481" t="s">
        <v>1564</v>
      </c>
      <c r="J481" t="s">
        <v>1565</v>
      </c>
    </row>
    <row r="482" spans="1:10">
      <c r="A482">
        <v>100146</v>
      </c>
      <c r="B482" t="s">
        <v>446</v>
      </c>
      <c r="C482" t="s">
        <v>1566</v>
      </c>
      <c r="D482" t="s">
        <v>12</v>
      </c>
      <c r="E482" t="s">
        <v>1567</v>
      </c>
      <c r="F482" t="s">
        <v>14</v>
      </c>
      <c r="G482" s="1">
        <v>139927.92000000001</v>
      </c>
      <c r="H482" t="s">
        <v>56</v>
      </c>
      <c r="I482" t="s">
        <v>1568</v>
      </c>
      <c r="J482" t="s">
        <v>1569</v>
      </c>
    </row>
    <row r="483" spans="1:10">
      <c r="A483">
        <v>129282</v>
      </c>
      <c r="B483" t="s">
        <v>446</v>
      </c>
      <c r="C483" t="s">
        <v>1570</v>
      </c>
      <c r="D483" t="s">
        <v>12</v>
      </c>
      <c r="E483" t="s">
        <v>1571</v>
      </c>
      <c r="F483" t="s">
        <v>14</v>
      </c>
      <c r="G483" s="1">
        <v>139500</v>
      </c>
      <c r="H483" t="s">
        <v>85</v>
      </c>
      <c r="I483" t="s">
        <v>1572</v>
      </c>
      <c r="J483" t="s">
        <v>1573</v>
      </c>
    </row>
    <row r="484" spans="1:10">
      <c r="A484">
        <v>151171</v>
      </c>
      <c r="B484" t="s">
        <v>446</v>
      </c>
      <c r="C484" t="s">
        <v>1574</v>
      </c>
      <c r="D484" t="s">
        <v>12</v>
      </c>
      <c r="E484" t="s">
        <v>1575</v>
      </c>
      <c r="F484" t="s">
        <v>14</v>
      </c>
      <c r="G484" s="1">
        <v>138979.09</v>
      </c>
      <c r="H484" t="s">
        <v>126</v>
      </c>
      <c r="I484" t="s">
        <v>156</v>
      </c>
      <c r="J484" t="s">
        <v>157</v>
      </c>
    </row>
    <row r="485" spans="1:10">
      <c r="A485">
        <v>131240</v>
      </c>
      <c r="B485" t="s">
        <v>446</v>
      </c>
      <c r="C485" t="s">
        <v>1576</v>
      </c>
      <c r="D485" t="s">
        <v>124</v>
      </c>
      <c r="E485" t="s">
        <v>1577</v>
      </c>
      <c r="F485" t="s">
        <v>14</v>
      </c>
      <c r="G485" s="1">
        <v>137378.18</v>
      </c>
      <c r="H485" t="s">
        <v>126</v>
      </c>
      <c r="I485" t="s">
        <v>156</v>
      </c>
      <c r="J485" t="s">
        <v>180</v>
      </c>
    </row>
    <row r="486" spans="1:10">
      <c r="A486">
        <v>144858</v>
      </c>
      <c r="B486" t="s">
        <v>446</v>
      </c>
      <c r="C486" t="s">
        <v>1578</v>
      </c>
      <c r="D486" t="s">
        <v>25</v>
      </c>
      <c r="E486" t="s">
        <v>1579</v>
      </c>
      <c r="F486" t="s">
        <v>14</v>
      </c>
      <c r="G486" s="1">
        <v>136322</v>
      </c>
      <c r="H486" t="s">
        <v>27</v>
      </c>
      <c r="I486" t="s">
        <v>107</v>
      </c>
      <c r="J486" t="s">
        <v>1580</v>
      </c>
    </row>
    <row r="487" spans="1:10">
      <c r="A487">
        <v>148043</v>
      </c>
      <c r="B487" t="s">
        <v>446</v>
      </c>
      <c r="C487" t="s">
        <v>1581</v>
      </c>
      <c r="D487" t="s">
        <v>12</v>
      </c>
      <c r="E487" t="s">
        <v>1582</v>
      </c>
      <c r="F487" t="s">
        <v>14</v>
      </c>
      <c r="G487" s="1">
        <v>136311.26</v>
      </c>
      <c r="H487" t="s">
        <v>1017</v>
      </c>
      <c r="I487" t="s">
        <v>1583</v>
      </c>
      <c r="J487" t="s">
        <v>1584</v>
      </c>
    </row>
    <row r="488" spans="1:10">
      <c r="A488">
        <v>149591</v>
      </c>
      <c r="B488" t="s">
        <v>446</v>
      </c>
      <c r="C488" t="s">
        <v>1585</v>
      </c>
      <c r="D488" t="s">
        <v>12</v>
      </c>
      <c r="E488" t="s">
        <v>1586</v>
      </c>
      <c r="F488" t="s">
        <v>14</v>
      </c>
      <c r="G488" s="1">
        <v>135172.13</v>
      </c>
      <c r="H488" t="s">
        <v>777</v>
      </c>
      <c r="I488" t="s">
        <v>778</v>
      </c>
      <c r="J488" t="s">
        <v>1587</v>
      </c>
    </row>
    <row r="489" spans="1:10">
      <c r="A489">
        <v>107580</v>
      </c>
      <c r="B489" t="s">
        <v>446</v>
      </c>
      <c r="C489" t="s">
        <v>1588</v>
      </c>
      <c r="D489" t="s">
        <v>124</v>
      </c>
      <c r="E489" t="s">
        <v>1589</v>
      </c>
      <c r="F489" t="s">
        <v>14</v>
      </c>
      <c r="G489" s="1">
        <v>134933.64000000001</v>
      </c>
      <c r="H489" t="s">
        <v>126</v>
      </c>
      <c r="I489" t="s">
        <v>156</v>
      </c>
      <c r="J489" t="s">
        <v>1590</v>
      </c>
    </row>
    <row r="490" spans="1:10">
      <c r="A490">
        <v>131489</v>
      </c>
      <c r="B490" t="s">
        <v>446</v>
      </c>
      <c r="C490" t="s">
        <v>1591</v>
      </c>
      <c r="D490" t="s">
        <v>124</v>
      </c>
      <c r="E490" t="s">
        <v>1592</v>
      </c>
      <c r="F490" t="s">
        <v>14</v>
      </c>
      <c r="G490" s="1">
        <v>132544.06</v>
      </c>
      <c r="H490" t="s">
        <v>126</v>
      </c>
      <c r="I490" t="s">
        <v>156</v>
      </c>
      <c r="J490" t="s">
        <v>1593</v>
      </c>
    </row>
    <row r="491" spans="1:10">
      <c r="A491">
        <v>142578</v>
      </c>
      <c r="B491" t="s">
        <v>446</v>
      </c>
      <c r="C491" t="s">
        <v>1594</v>
      </c>
      <c r="D491" t="s">
        <v>12</v>
      </c>
      <c r="E491" t="s">
        <v>1595</v>
      </c>
      <c r="F491" t="s">
        <v>14</v>
      </c>
      <c r="G491" s="1">
        <v>130189.03</v>
      </c>
      <c r="H491" t="s">
        <v>95</v>
      </c>
      <c r="I491" t="s">
        <v>1596</v>
      </c>
      <c r="J491" t="s">
        <v>1597</v>
      </c>
    </row>
    <row r="492" spans="1:10">
      <c r="A492">
        <v>114225</v>
      </c>
      <c r="B492" t="s">
        <v>446</v>
      </c>
      <c r="C492" t="s">
        <v>1598</v>
      </c>
      <c r="D492" t="s">
        <v>12</v>
      </c>
      <c r="E492" t="s">
        <v>1599</v>
      </c>
      <c r="F492" t="s">
        <v>14</v>
      </c>
      <c r="G492" s="1">
        <v>130036.77</v>
      </c>
      <c r="H492" t="s">
        <v>36</v>
      </c>
      <c r="I492" t="s">
        <v>1600</v>
      </c>
      <c r="J492" t="s">
        <v>1601</v>
      </c>
    </row>
    <row r="493" spans="1:10">
      <c r="A493">
        <v>149637</v>
      </c>
      <c r="B493" t="s">
        <v>446</v>
      </c>
      <c r="C493" t="s">
        <v>1602</v>
      </c>
      <c r="D493" t="s">
        <v>12</v>
      </c>
      <c r="E493" t="s">
        <v>1603</v>
      </c>
      <c r="F493" t="s">
        <v>14</v>
      </c>
      <c r="G493" s="1">
        <v>130000</v>
      </c>
      <c r="H493" t="s">
        <v>140</v>
      </c>
      <c r="I493" t="s">
        <v>1361</v>
      </c>
      <c r="J493" t="s">
        <v>1604</v>
      </c>
    </row>
    <row r="494" spans="1:10">
      <c r="A494">
        <v>151641</v>
      </c>
      <c r="B494" t="s">
        <v>446</v>
      </c>
      <c r="C494" t="s">
        <v>1605</v>
      </c>
      <c r="D494" t="s">
        <v>124</v>
      </c>
      <c r="E494" t="s">
        <v>1606</v>
      </c>
      <c r="F494" t="s">
        <v>168</v>
      </c>
      <c r="G494" s="1">
        <v>129929.54</v>
      </c>
      <c r="H494" t="s">
        <v>126</v>
      </c>
      <c r="I494" t="s">
        <v>156</v>
      </c>
      <c r="J494" t="s">
        <v>187</v>
      </c>
    </row>
    <row r="495" spans="1:10">
      <c r="A495">
        <v>129771</v>
      </c>
      <c r="B495" t="s">
        <v>446</v>
      </c>
      <c r="C495" t="s">
        <v>1607</v>
      </c>
      <c r="D495" t="s">
        <v>124</v>
      </c>
      <c r="E495" t="s">
        <v>1608</v>
      </c>
      <c r="F495" t="s">
        <v>14</v>
      </c>
      <c r="G495" s="1">
        <v>129883.86</v>
      </c>
      <c r="H495" t="s">
        <v>126</v>
      </c>
      <c r="I495" t="s">
        <v>156</v>
      </c>
      <c r="J495" t="s">
        <v>180</v>
      </c>
    </row>
    <row r="496" spans="1:10">
      <c r="A496">
        <v>150415</v>
      </c>
      <c r="B496" t="s">
        <v>446</v>
      </c>
      <c r="C496" t="s">
        <v>1609</v>
      </c>
      <c r="D496" t="s">
        <v>89</v>
      </c>
      <c r="E496" t="s">
        <v>1610</v>
      </c>
      <c r="F496" t="s">
        <v>14</v>
      </c>
      <c r="G496" s="1">
        <v>125891</v>
      </c>
      <c r="H496" t="s">
        <v>72</v>
      </c>
      <c r="I496" t="s">
        <v>359</v>
      </c>
      <c r="J496" t="s">
        <v>1611</v>
      </c>
    </row>
    <row r="497" spans="1:10">
      <c r="A497">
        <v>128153</v>
      </c>
      <c r="B497" t="s">
        <v>446</v>
      </c>
      <c r="C497" t="s">
        <v>1612</v>
      </c>
      <c r="D497" t="s">
        <v>124</v>
      </c>
      <c r="E497" t="s">
        <v>1613</v>
      </c>
      <c r="F497" t="s">
        <v>14</v>
      </c>
      <c r="G497" s="1">
        <v>125195.68</v>
      </c>
      <c r="H497" t="s">
        <v>126</v>
      </c>
      <c r="I497" t="s">
        <v>156</v>
      </c>
      <c r="J497" t="s">
        <v>180</v>
      </c>
    </row>
    <row r="498" spans="1:10">
      <c r="A498">
        <v>118226</v>
      </c>
      <c r="B498" t="s">
        <v>446</v>
      </c>
      <c r="C498" t="s">
        <v>1614</v>
      </c>
      <c r="D498" t="s">
        <v>124</v>
      </c>
      <c r="E498" t="s">
        <v>1615</v>
      </c>
      <c r="F498" t="s">
        <v>14</v>
      </c>
      <c r="G498" s="1">
        <v>124740.24</v>
      </c>
      <c r="H498" t="s">
        <v>126</v>
      </c>
      <c r="I498" t="s">
        <v>868</v>
      </c>
      <c r="J498" t="s">
        <v>1616</v>
      </c>
    </row>
    <row r="499" spans="1:10">
      <c r="A499">
        <v>116649</v>
      </c>
      <c r="B499" t="s">
        <v>446</v>
      </c>
      <c r="C499" t="s">
        <v>1617</v>
      </c>
      <c r="D499" t="s">
        <v>124</v>
      </c>
      <c r="E499" t="s">
        <v>1618</v>
      </c>
      <c r="F499" t="s">
        <v>14</v>
      </c>
      <c r="G499" s="1">
        <v>124550.26</v>
      </c>
      <c r="H499" t="s">
        <v>126</v>
      </c>
      <c r="I499" t="s">
        <v>156</v>
      </c>
      <c r="J499" t="s">
        <v>1619</v>
      </c>
    </row>
    <row r="500" spans="1:10">
      <c r="A500">
        <v>118517</v>
      </c>
      <c r="B500" t="s">
        <v>446</v>
      </c>
      <c r="C500" t="s">
        <v>1620</v>
      </c>
      <c r="D500" t="s">
        <v>124</v>
      </c>
      <c r="E500" t="s">
        <v>1621</v>
      </c>
      <c r="F500" t="s">
        <v>14</v>
      </c>
      <c r="G500" s="1">
        <v>123500</v>
      </c>
      <c r="H500" t="s">
        <v>126</v>
      </c>
      <c r="I500" t="s">
        <v>868</v>
      </c>
      <c r="J500" t="s">
        <v>1622</v>
      </c>
    </row>
    <row r="501" spans="1:10">
      <c r="A501">
        <v>111629</v>
      </c>
      <c r="B501" t="s">
        <v>446</v>
      </c>
      <c r="C501" t="s">
        <v>1623</v>
      </c>
      <c r="D501" t="s">
        <v>12</v>
      </c>
      <c r="E501" t="s">
        <v>1624</v>
      </c>
      <c r="F501" t="s">
        <v>14</v>
      </c>
      <c r="G501" s="1">
        <v>123420.54</v>
      </c>
      <c r="H501" t="s">
        <v>85</v>
      </c>
      <c r="I501" t="s">
        <v>1625</v>
      </c>
      <c r="J501" t="s">
        <v>1626</v>
      </c>
    </row>
    <row r="502" spans="1:10">
      <c r="A502">
        <v>131111</v>
      </c>
      <c r="B502" t="s">
        <v>446</v>
      </c>
      <c r="C502" t="s">
        <v>1627</v>
      </c>
      <c r="D502" t="s">
        <v>12</v>
      </c>
      <c r="E502" t="s">
        <v>1628</v>
      </c>
      <c r="F502" t="s">
        <v>14</v>
      </c>
      <c r="G502" s="1">
        <v>120436.3</v>
      </c>
      <c r="H502" t="s">
        <v>85</v>
      </c>
      <c r="I502" t="s">
        <v>1629</v>
      </c>
      <c r="J502" t="s">
        <v>1630</v>
      </c>
    </row>
    <row r="503" spans="1:10">
      <c r="A503">
        <v>114406</v>
      </c>
      <c r="B503" t="s">
        <v>446</v>
      </c>
      <c r="C503" t="s">
        <v>1631</v>
      </c>
      <c r="D503" t="s">
        <v>124</v>
      </c>
      <c r="E503" t="s">
        <v>1632</v>
      </c>
      <c r="F503" t="s">
        <v>14</v>
      </c>
      <c r="G503" s="1">
        <v>120393</v>
      </c>
      <c r="H503" t="s">
        <v>126</v>
      </c>
      <c r="I503" t="s">
        <v>156</v>
      </c>
      <c r="J503" t="s">
        <v>180</v>
      </c>
    </row>
    <row r="504" spans="1:10">
      <c r="A504">
        <v>148010</v>
      </c>
      <c r="B504" t="s">
        <v>446</v>
      </c>
      <c r="C504" t="s">
        <v>1633</v>
      </c>
      <c r="D504" t="s">
        <v>12</v>
      </c>
      <c r="E504" t="s">
        <v>1634</v>
      </c>
      <c r="F504" t="s">
        <v>14</v>
      </c>
      <c r="G504" s="1">
        <v>120000</v>
      </c>
      <c r="H504" t="s">
        <v>85</v>
      </c>
      <c r="I504" t="s">
        <v>1635</v>
      </c>
      <c r="J504" t="s">
        <v>1636</v>
      </c>
    </row>
    <row r="505" spans="1:10">
      <c r="A505">
        <v>125034</v>
      </c>
      <c r="B505" t="s">
        <v>446</v>
      </c>
      <c r="C505" t="s">
        <v>1637</v>
      </c>
      <c r="D505" t="s">
        <v>124</v>
      </c>
      <c r="E505" t="s">
        <v>1638</v>
      </c>
      <c r="F505" t="s">
        <v>14</v>
      </c>
      <c r="G505" s="1">
        <v>119526</v>
      </c>
      <c r="H505" t="s">
        <v>126</v>
      </c>
      <c r="I505" t="s">
        <v>156</v>
      </c>
      <c r="J505" t="s">
        <v>180</v>
      </c>
    </row>
    <row r="506" spans="1:10">
      <c r="A506">
        <v>149544</v>
      </c>
      <c r="B506" t="s">
        <v>446</v>
      </c>
      <c r="C506" t="s">
        <v>1639</v>
      </c>
      <c r="D506" t="s">
        <v>12</v>
      </c>
      <c r="E506" t="s">
        <v>1640</v>
      </c>
      <c r="F506" t="s">
        <v>14</v>
      </c>
      <c r="G506" s="1">
        <v>119125</v>
      </c>
      <c r="H506" t="s">
        <v>1124</v>
      </c>
      <c r="I506" t="s">
        <v>1641</v>
      </c>
      <c r="J506" t="s">
        <v>1642</v>
      </c>
    </row>
    <row r="507" spans="1:10">
      <c r="A507">
        <v>145005</v>
      </c>
      <c r="B507" t="s">
        <v>446</v>
      </c>
      <c r="C507" t="s">
        <v>1643</v>
      </c>
      <c r="D507" t="s">
        <v>12</v>
      </c>
      <c r="E507" t="s">
        <v>1644</v>
      </c>
      <c r="F507" t="s">
        <v>14</v>
      </c>
      <c r="G507" s="1">
        <v>118255.23</v>
      </c>
      <c r="H507" t="s">
        <v>36</v>
      </c>
      <c r="I507" t="s">
        <v>1645</v>
      </c>
      <c r="J507" t="s">
        <v>1646</v>
      </c>
    </row>
    <row r="508" spans="1:10">
      <c r="A508">
        <v>141064</v>
      </c>
      <c r="B508" t="s">
        <v>446</v>
      </c>
      <c r="C508" t="s">
        <v>1647</v>
      </c>
      <c r="D508" t="s">
        <v>12</v>
      </c>
      <c r="E508" t="s">
        <v>1648</v>
      </c>
      <c r="F508" t="s">
        <v>14</v>
      </c>
      <c r="G508" s="1">
        <v>118015.47</v>
      </c>
      <c r="H508" t="s">
        <v>232</v>
      </c>
      <c r="I508" t="s">
        <v>233</v>
      </c>
      <c r="J508" t="s">
        <v>1649</v>
      </c>
    </row>
    <row r="509" spans="1:10">
      <c r="A509">
        <v>101609</v>
      </c>
      <c r="B509" t="s">
        <v>446</v>
      </c>
      <c r="C509" t="s">
        <v>1650</v>
      </c>
      <c r="D509" t="s">
        <v>12</v>
      </c>
      <c r="E509" t="s">
        <v>1651</v>
      </c>
      <c r="F509" t="s">
        <v>14</v>
      </c>
      <c r="G509" s="1">
        <v>118000</v>
      </c>
      <c r="H509" t="s">
        <v>15</v>
      </c>
      <c r="I509" t="s">
        <v>1652</v>
      </c>
      <c r="J509" t="s">
        <v>1653</v>
      </c>
    </row>
    <row r="510" spans="1:10">
      <c r="A510">
        <v>131817</v>
      </c>
      <c r="B510" t="s">
        <v>446</v>
      </c>
      <c r="C510" t="s">
        <v>1654</v>
      </c>
      <c r="D510" t="s">
        <v>12</v>
      </c>
      <c r="E510" t="s">
        <v>1655</v>
      </c>
      <c r="F510" t="s">
        <v>14</v>
      </c>
      <c r="G510" s="1">
        <v>117590.28</v>
      </c>
      <c r="H510" t="s">
        <v>437</v>
      </c>
      <c r="I510" t="s">
        <v>1656</v>
      </c>
      <c r="J510" t="s">
        <v>1657</v>
      </c>
    </row>
    <row r="511" spans="1:10">
      <c r="A511">
        <v>150290</v>
      </c>
      <c r="B511" t="s">
        <v>446</v>
      </c>
      <c r="C511" t="s">
        <v>1658</v>
      </c>
      <c r="D511" t="s">
        <v>12</v>
      </c>
      <c r="E511" t="s">
        <v>1659</v>
      </c>
      <c r="F511" t="s">
        <v>14</v>
      </c>
      <c r="G511" s="1">
        <v>117214.07</v>
      </c>
      <c r="H511" t="s">
        <v>36</v>
      </c>
      <c r="I511" t="s">
        <v>1660</v>
      </c>
      <c r="J511" t="s">
        <v>1661</v>
      </c>
    </row>
    <row r="512" spans="1:10">
      <c r="A512">
        <v>115699</v>
      </c>
      <c r="B512" t="s">
        <v>446</v>
      </c>
      <c r="C512" t="s">
        <v>1662</v>
      </c>
      <c r="D512" t="s">
        <v>12</v>
      </c>
      <c r="E512" t="s">
        <v>1663</v>
      </c>
      <c r="F512" t="s">
        <v>14</v>
      </c>
      <c r="G512" s="1">
        <v>116892.04</v>
      </c>
      <c r="H512" t="s">
        <v>232</v>
      </c>
      <c r="I512" t="s">
        <v>1664</v>
      </c>
      <c r="J512" t="s">
        <v>1665</v>
      </c>
    </row>
    <row r="513" spans="1:10">
      <c r="A513">
        <v>143860</v>
      </c>
      <c r="B513" t="s">
        <v>446</v>
      </c>
      <c r="C513" t="s">
        <v>1666</v>
      </c>
      <c r="D513" t="s">
        <v>12</v>
      </c>
      <c r="E513" t="s">
        <v>1667</v>
      </c>
      <c r="F513" t="s">
        <v>14</v>
      </c>
      <c r="G513" s="1">
        <v>115525.31</v>
      </c>
      <c r="H513" t="s">
        <v>140</v>
      </c>
      <c r="I513" t="s">
        <v>1668</v>
      </c>
      <c r="J513" t="s">
        <v>1669</v>
      </c>
    </row>
    <row r="514" spans="1:10">
      <c r="A514">
        <v>110022</v>
      </c>
      <c r="B514" t="s">
        <v>446</v>
      </c>
      <c r="C514" t="s">
        <v>1670</v>
      </c>
      <c r="D514" t="s">
        <v>25</v>
      </c>
      <c r="E514" t="s">
        <v>1671</v>
      </c>
      <c r="F514" t="s">
        <v>14</v>
      </c>
      <c r="G514" s="1">
        <v>115131.96</v>
      </c>
      <c r="H514" t="s">
        <v>27</v>
      </c>
      <c r="I514" t="s">
        <v>1672</v>
      </c>
      <c r="J514" t="s">
        <v>1673</v>
      </c>
    </row>
    <row r="515" spans="1:10">
      <c r="A515">
        <v>114673</v>
      </c>
      <c r="B515" t="s">
        <v>446</v>
      </c>
      <c r="C515" t="s">
        <v>1674</v>
      </c>
      <c r="D515" t="s">
        <v>12</v>
      </c>
      <c r="E515" t="s">
        <v>1675</v>
      </c>
      <c r="F515" t="s">
        <v>14</v>
      </c>
      <c r="G515" s="1">
        <v>110112.74</v>
      </c>
      <c r="H515" t="s">
        <v>232</v>
      </c>
      <c r="I515" t="s">
        <v>1676</v>
      </c>
      <c r="J515" t="s">
        <v>1677</v>
      </c>
    </row>
    <row r="516" spans="1:10">
      <c r="A516">
        <v>143035</v>
      </c>
      <c r="B516" t="s">
        <v>446</v>
      </c>
      <c r="C516" t="s">
        <v>1678</v>
      </c>
      <c r="D516" t="s">
        <v>124</v>
      </c>
      <c r="E516" t="s">
        <v>1679</v>
      </c>
      <c r="F516" t="s">
        <v>14</v>
      </c>
      <c r="G516" s="1">
        <v>109341.62</v>
      </c>
      <c r="H516" t="s">
        <v>504</v>
      </c>
      <c r="I516" t="s">
        <v>1680</v>
      </c>
      <c r="J516" t="s">
        <v>1681</v>
      </c>
    </row>
    <row r="517" spans="1:10">
      <c r="A517">
        <v>149432</v>
      </c>
      <c r="B517" t="s">
        <v>446</v>
      </c>
      <c r="C517" t="s">
        <v>1682</v>
      </c>
      <c r="D517" t="s">
        <v>331</v>
      </c>
      <c r="E517" t="s">
        <v>1683</v>
      </c>
      <c r="F517" t="s">
        <v>14</v>
      </c>
      <c r="G517" s="1">
        <v>107713.54</v>
      </c>
      <c r="H517" t="s">
        <v>333</v>
      </c>
      <c r="I517" t="s">
        <v>1684</v>
      </c>
      <c r="J517" t="s">
        <v>1685</v>
      </c>
    </row>
    <row r="518" spans="1:10">
      <c r="A518">
        <v>127755</v>
      </c>
      <c r="B518" t="s">
        <v>446</v>
      </c>
      <c r="C518" t="s">
        <v>1686</v>
      </c>
      <c r="D518" t="s">
        <v>12</v>
      </c>
      <c r="E518" t="s">
        <v>1687</v>
      </c>
      <c r="F518" t="s">
        <v>14</v>
      </c>
      <c r="G518" s="1">
        <v>106789.46</v>
      </c>
      <c r="H518" t="s">
        <v>72</v>
      </c>
      <c r="I518" t="s">
        <v>1688</v>
      </c>
      <c r="J518" t="s">
        <v>1689</v>
      </c>
    </row>
    <row r="519" spans="1:10">
      <c r="A519">
        <v>148430</v>
      </c>
      <c r="B519" t="s">
        <v>446</v>
      </c>
      <c r="C519" t="s">
        <v>1690</v>
      </c>
      <c r="D519" t="s">
        <v>12</v>
      </c>
      <c r="E519" t="s">
        <v>1691</v>
      </c>
      <c r="F519" t="s">
        <v>14</v>
      </c>
      <c r="G519" s="1">
        <v>106211.9</v>
      </c>
      <c r="H519" t="s">
        <v>140</v>
      </c>
      <c r="I519" t="s">
        <v>1692</v>
      </c>
      <c r="J519" t="s">
        <v>1693</v>
      </c>
    </row>
    <row r="520" spans="1:10">
      <c r="A520">
        <v>144551</v>
      </c>
      <c r="B520" t="s">
        <v>446</v>
      </c>
      <c r="C520" t="s">
        <v>1694</v>
      </c>
      <c r="D520" t="s">
        <v>25</v>
      </c>
      <c r="E520" t="s">
        <v>1695</v>
      </c>
      <c r="F520" t="s">
        <v>14</v>
      </c>
      <c r="G520" s="1">
        <v>106050</v>
      </c>
      <c r="H520" t="s">
        <v>27</v>
      </c>
      <c r="I520" t="s">
        <v>1696</v>
      </c>
      <c r="J520" t="s">
        <v>1697</v>
      </c>
    </row>
    <row r="521" spans="1:10">
      <c r="A521">
        <v>101964</v>
      </c>
      <c r="B521" t="s">
        <v>446</v>
      </c>
      <c r="C521" t="s">
        <v>1698</v>
      </c>
      <c r="D521" t="s">
        <v>12</v>
      </c>
      <c r="E521" t="s">
        <v>1699</v>
      </c>
      <c r="F521" t="s">
        <v>14</v>
      </c>
      <c r="G521" s="1">
        <v>103739.01</v>
      </c>
      <c r="H521" t="s">
        <v>36</v>
      </c>
      <c r="I521" t="s">
        <v>1700</v>
      </c>
      <c r="J521" t="s">
        <v>1701</v>
      </c>
    </row>
    <row r="522" spans="1:10">
      <c r="A522">
        <v>131073</v>
      </c>
      <c r="B522" t="s">
        <v>446</v>
      </c>
      <c r="C522" t="s">
        <v>1702</v>
      </c>
      <c r="D522" t="s">
        <v>12</v>
      </c>
      <c r="E522" t="s">
        <v>1703</v>
      </c>
      <c r="F522" t="s">
        <v>14</v>
      </c>
      <c r="G522" s="1">
        <v>103659.96</v>
      </c>
      <c r="H522" t="s">
        <v>140</v>
      </c>
      <c r="I522" t="s">
        <v>1704</v>
      </c>
      <c r="J522" t="s">
        <v>1705</v>
      </c>
    </row>
    <row r="523" spans="1:10">
      <c r="A523">
        <v>147596</v>
      </c>
      <c r="B523" t="s">
        <v>446</v>
      </c>
      <c r="C523" t="s">
        <v>1706</v>
      </c>
      <c r="D523" t="s">
        <v>12</v>
      </c>
      <c r="E523" t="s">
        <v>1707</v>
      </c>
      <c r="F523" t="s">
        <v>14</v>
      </c>
      <c r="G523" s="1">
        <v>102687.35</v>
      </c>
      <c r="H523" t="s">
        <v>56</v>
      </c>
      <c r="I523" t="s">
        <v>1708</v>
      </c>
      <c r="J523" t="s">
        <v>1709</v>
      </c>
    </row>
    <row r="524" spans="1:10">
      <c r="A524">
        <v>143604</v>
      </c>
      <c r="B524" t="s">
        <v>446</v>
      </c>
      <c r="C524" t="s">
        <v>1710</v>
      </c>
      <c r="D524" t="s">
        <v>124</v>
      </c>
      <c r="E524" t="s">
        <v>1711</v>
      </c>
      <c r="F524" t="s">
        <v>14</v>
      </c>
      <c r="G524" s="1">
        <v>102349.92</v>
      </c>
      <c r="H524" t="s">
        <v>126</v>
      </c>
      <c r="I524" t="s">
        <v>156</v>
      </c>
      <c r="J524" t="s">
        <v>180</v>
      </c>
    </row>
    <row r="525" spans="1:10">
      <c r="A525">
        <v>128146</v>
      </c>
      <c r="B525" t="s">
        <v>446</v>
      </c>
      <c r="C525" t="s">
        <v>1712</v>
      </c>
      <c r="D525" t="s">
        <v>12</v>
      </c>
      <c r="E525" t="s">
        <v>1713</v>
      </c>
      <c r="F525" t="s">
        <v>14</v>
      </c>
      <c r="G525" s="1">
        <v>102160</v>
      </c>
      <c r="H525" t="s">
        <v>140</v>
      </c>
      <c r="I525" t="s">
        <v>505</v>
      </c>
      <c r="J525" t="s">
        <v>506</v>
      </c>
    </row>
    <row r="526" spans="1:10">
      <c r="A526">
        <v>151789</v>
      </c>
      <c r="B526" t="s">
        <v>446</v>
      </c>
      <c r="C526" t="s">
        <v>1714</v>
      </c>
      <c r="D526" t="s">
        <v>12</v>
      </c>
      <c r="E526" t="s">
        <v>1715</v>
      </c>
      <c r="F526" t="s">
        <v>14</v>
      </c>
      <c r="G526" s="1">
        <v>101562.67</v>
      </c>
      <c r="H526" t="s">
        <v>21</v>
      </c>
      <c r="I526" t="s">
        <v>1716</v>
      </c>
      <c r="J526" t="s">
        <v>1717</v>
      </c>
    </row>
    <row r="527" spans="1:10">
      <c r="A527">
        <v>147339</v>
      </c>
      <c r="B527" t="s">
        <v>446</v>
      </c>
      <c r="C527" t="s">
        <v>1718</v>
      </c>
      <c r="D527" t="s">
        <v>12</v>
      </c>
      <c r="E527" t="s">
        <v>1719</v>
      </c>
      <c r="F527" t="s">
        <v>14</v>
      </c>
      <c r="G527" s="1">
        <v>101091.3</v>
      </c>
      <c r="H527" t="s">
        <v>72</v>
      </c>
      <c r="I527" t="s">
        <v>577</v>
      </c>
      <c r="J527" t="s">
        <v>1720</v>
      </c>
    </row>
    <row r="528" spans="1:10">
      <c r="A528">
        <v>142112</v>
      </c>
      <c r="B528" t="s">
        <v>446</v>
      </c>
      <c r="C528" t="s">
        <v>1721</v>
      </c>
      <c r="D528" t="s">
        <v>12</v>
      </c>
      <c r="E528" t="s">
        <v>1722</v>
      </c>
      <c r="F528" t="s">
        <v>14</v>
      </c>
      <c r="G528" s="1">
        <v>100976.59</v>
      </c>
      <c r="H528" t="s">
        <v>36</v>
      </c>
      <c r="I528" t="s">
        <v>964</v>
      </c>
      <c r="J528" t="s">
        <v>1723</v>
      </c>
    </row>
    <row r="529" spans="1:10">
      <c r="A529">
        <v>144814</v>
      </c>
      <c r="B529" t="s">
        <v>446</v>
      </c>
      <c r="C529" t="s">
        <v>1724</v>
      </c>
      <c r="D529" t="s">
        <v>12</v>
      </c>
      <c r="E529" t="s">
        <v>1725</v>
      </c>
      <c r="F529" t="s">
        <v>14</v>
      </c>
      <c r="G529" s="1">
        <v>100893</v>
      </c>
      <c r="H529" t="s">
        <v>36</v>
      </c>
      <c r="I529" t="s">
        <v>1726</v>
      </c>
      <c r="J529" t="s">
        <v>1727</v>
      </c>
    </row>
    <row r="530" spans="1:10">
      <c r="A530">
        <v>143188</v>
      </c>
      <c r="B530" t="s">
        <v>446</v>
      </c>
      <c r="C530" t="s">
        <v>1728</v>
      </c>
      <c r="D530" t="s">
        <v>12</v>
      </c>
      <c r="E530" t="s">
        <v>1729</v>
      </c>
      <c r="F530" t="s">
        <v>14</v>
      </c>
      <c r="G530" s="1">
        <v>100440</v>
      </c>
      <c r="H530" t="s">
        <v>85</v>
      </c>
      <c r="I530" t="s">
        <v>1730</v>
      </c>
      <c r="J530" t="s">
        <v>1731</v>
      </c>
    </row>
    <row r="531" spans="1:10">
      <c r="A531">
        <v>141141</v>
      </c>
      <c r="B531" t="s">
        <v>446</v>
      </c>
      <c r="C531" t="s">
        <v>1732</v>
      </c>
      <c r="D531" t="s">
        <v>124</v>
      </c>
      <c r="E531" t="s">
        <v>1733</v>
      </c>
      <c r="F531" t="s">
        <v>14</v>
      </c>
      <c r="G531" s="1">
        <v>99844.96</v>
      </c>
      <c r="H531" t="s">
        <v>126</v>
      </c>
      <c r="I531" t="s">
        <v>156</v>
      </c>
      <c r="J531" t="s">
        <v>180</v>
      </c>
    </row>
    <row r="532" spans="1:10">
      <c r="A532">
        <v>102943</v>
      </c>
      <c r="B532" t="s">
        <v>446</v>
      </c>
      <c r="C532" t="s">
        <v>1734</v>
      </c>
      <c r="D532" t="s">
        <v>12</v>
      </c>
      <c r="E532" t="s">
        <v>1735</v>
      </c>
      <c r="F532" t="s">
        <v>14</v>
      </c>
      <c r="G532" s="1">
        <v>99545.919999999998</v>
      </c>
      <c r="H532" t="s">
        <v>56</v>
      </c>
      <c r="I532" t="s">
        <v>1736</v>
      </c>
      <c r="J532" t="s">
        <v>1737</v>
      </c>
    </row>
    <row r="533" spans="1:10">
      <c r="A533">
        <v>102136</v>
      </c>
      <c r="B533" t="s">
        <v>446</v>
      </c>
      <c r="C533" t="s">
        <v>1738</v>
      </c>
      <c r="D533" t="s">
        <v>12</v>
      </c>
      <c r="E533" t="s">
        <v>1739</v>
      </c>
      <c r="F533" t="s">
        <v>14</v>
      </c>
      <c r="G533" s="1">
        <v>99460</v>
      </c>
      <c r="H533" t="s">
        <v>95</v>
      </c>
      <c r="I533" t="s">
        <v>1740</v>
      </c>
      <c r="J533" t="s">
        <v>1741</v>
      </c>
    </row>
    <row r="534" spans="1:10">
      <c r="A534">
        <v>151286</v>
      </c>
      <c r="B534" t="s">
        <v>446</v>
      </c>
      <c r="C534" t="s">
        <v>1742</v>
      </c>
      <c r="D534" t="s">
        <v>12</v>
      </c>
      <c r="E534" t="s">
        <v>1743</v>
      </c>
      <c r="F534" t="s">
        <v>14</v>
      </c>
      <c r="G534" s="1">
        <v>98472.55</v>
      </c>
      <c r="H534" t="s">
        <v>27</v>
      </c>
      <c r="I534" t="s">
        <v>1744</v>
      </c>
      <c r="J534" t="s">
        <v>1745</v>
      </c>
    </row>
    <row r="535" spans="1:10">
      <c r="A535">
        <v>145504</v>
      </c>
      <c r="B535" t="s">
        <v>446</v>
      </c>
      <c r="C535" t="s">
        <v>1746</v>
      </c>
      <c r="D535" t="s">
        <v>12</v>
      </c>
      <c r="E535" t="s">
        <v>1747</v>
      </c>
      <c r="F535" t="s">
        <v>14</v>
      </c>
      <c r="G535" s="1">
        <v>98413.759999999995</v>
      </c>
      <c r="H535" t="s">
        <v>140</v>
      </c>
      <c r="I535" t="s">
        <v>1748</v>
      </c>
      <c r="J535" t="s">
        <v>1749</v>
      </c>
    </row>
    <row r="536" spans="1:10">
      <c r="A536">
        <v>151202</v>
      </c>
      <c r="B536" t="s">
        <v>446</v>
      </c>
      <c r="C536" t="s">
        <v>1750</v>
      </c>
      <c r="D536" t="s">
        <v>12</v>
      </c>
      <c r="E536" t="s">
        <v>1751</v>
      </c>
      <c r="F536" t="s">
        <v>14</v>
      </c>
      <c r="G536" s="1">
        <v>98405</v>
      </c>
      <c r="H536" t="s">
        <v>85</v>
      </c>
      <c r="I536" t="s">
        <v>1752</v>
      </c>
      <c r="J536" t="s">
        <v>1753</v>
      </c>
    </row>
    <row r="537" spans="1:10">
      <c r="A537">
        <v>128498</v>
      </c>
      <c r="B537" t="s">
        <v>446</v>
      </c>
      <c r="C537" t="s">
        <v>1754</v>
      </c>
      <c r="D537" t="s">
        <v>331</v>
      </c>
      <c r="E537" t="s">
        <v>1755</v>
      </c>
      <c r="F537" t="s">
        <v>14</v>
      </c>
      <c r="G537" s="1">
        <v>98264.99</v>
      </c>
      <c r="H537" t="s">
        <v>333</v>
      </c>
      <c r="I537" t="s">
        <v>1756</v>
      </c>
      <c r="J537" t="s">
        <v>1757</v>
      </c>
    </row>
    <row r="538" spans="1:10">
      <c r="A538">
        <v>150674</v>
      </c>
      <c r="B538" t="s">
        <v>446</v>
      </c>
      <c r="C538" t="s">
        <v>1758</v>
      </c>
      <c r="D538" t="s">
        <v>12</v>
      </c>
      <c r="E538" t="s">
        <v>1759</v>
      </c>
      <c r="F538" t="s">
        <v>14</v>
      </c>
      <c r="G538" s="1">
        <v>97595</v>
      </c>
      <c r="H538" t="s">
        <v>36</v>
      </c>
      <c r="I538" t="s">
        <v>690</v>
      </c>
      <c r="J538" t="s">
        <v>1760</v>
      </c>
    </row>
    <row r="539" spans="1:10">
      <c r="A539">
        <v>140730</v>
      </c>
      <c r="B539" t="s">
        <v>446</v>
      </c>
      <c r="C539" t="s">
        <v>1761</v>
      </c>
      <c r="D539" t="s">
        <v>12</v>
      </c>
      <c r="E539" t="s">
        <v>1762</v>
      </c>
      <c r="F539" t="s">
        <v>14</v>
      </c>
      <c r="G539" s="1">
        <v>97566.3</v>
      </c>
      <c r="H539" t="s">
        <v>232</v>
      </c>
      <c r="I539" t="s">
        <v>1763</v>
      </c>
      <c r="J539" t="s">
        <v>1764</v>
      </c>
    </row>
    <row r="540" spans="1:10">
      <c r="A540">
        <v>148031</v>
      </c>
      <c r="B540" t="s">
        <v>446</v>
      </c>
      <c r="C540" t="s">
        <v>1765</v>
      </c>
      <c r="D540" t="s">
        <v>12</v>
      </c>
      <c r="E540" t="s">
        <v>1766</v>
      </c>
      <c r="F540" t="s">
        <v>14</v>
      </c>
      <c r="G540" s="1">
        <v>97500</v>
      </c>
      <c r="H540" t="s">
        <v>95</v>
      </c>
      <c r="I540" t="s">
        <v>1272</v>
      </c>
      <c r="J540" t="s">
        <v>1767</v>
      </c>
    </row>
    <row r="541" spans="1:10">
      <c r="A541">
        <v>130446</v>
      </c>
      <c r="B541" t="s">
        <v>446</v>
      </c>
      <c r="C541" t="s">
        <v>1768</v>
      </c>
      <c r="D541" t="s">
        <v>12</v>
      </c>
      <c r="E541" t="s">
        <v>1769</v>
      </c>
      <c r="F541" t="s">
        <v>14</v>
      </c>
      <c r="G541" s="1">
        <v>97485.65</v>
      </c>
      <c r="H541" t="s">
        <v>232</v>
      </c>
      <c r="I541" t="s">
        <v>1770</v>
      </c>
      <c r="J541" t="s">
        <v>1771</v>
      </c>
    </row>
    <row r="542" spans="1:10">
      <c r="A542">
        <v>145190</v>
      </c>
      <c r="B542" t="s">
        <v>446</v>
      </c>
      <c r="C542" t="s">
        <v>1772</v>
      </c>
      <c r="D542" t="s">
        <v>12</v>
      </c>
      <c r="E542" t="s">
        <v>1773</v>
      </c>
      <c r="F542" t="s">
        <v>14</v>
      </c>
      <c r="G542" s="1">
        <v>93310.5</v>
      </c>
      <c r="H542" t="s">
        <v>36</v>
      </c>
      <c r="I542" t="s">
        <v>1774</v>
      </c>
      <c r="J542" t="s">
        <v>1775</v>
      </c>
    </row>
    <row r="543" spans="1:10">
      <c r="A543">
        <v>116648</v>
      </c>
      <c r="B543" t="s">
        <v>446</v>
      </c>
      <c r="C543" t="s">
        <v>1776</v>
      </c>
      <c r="D543" t="s">
        <v>124</v>
      </c>
      <c r="E543" t="s">
        <v>1618</v>
      </c>
      <c r="F543" t="s">
        <v>14</v>
      </c>
      <c r="G543" s="1">
        <v>93171.63</v>
      </c>
      <c r="H543" t="s">
        <v>126</v>
      </c>
      <c r="I543" t="s">
        <v>156</v>
      </c>
      <c r="J543" t="s">
        <v>1619</v>
      </c>
    </row>
    <row r="544" spans="1:10">
      <c r="A544">
        <v>112856</v>
      </c>
      <c r="B544" t="s">
        <v>446</v>
      </c>
      <c r="C544" t="s">
        <v>1777</v>
      </c>
      <c r="D544" t="s">
        <v>12</v>
      </c>
      <c r="E544" t="s">
        <v>1778</v>
      </c>
      <c r="F544" t="s">
        <v>14</v>
      </c>
      <c r="G544" s="1">
        <v>92974.12</v>
      </c>
      <c r="H544" t="s">
        <v>437</v>
      </c>
      <c r="I544" t="s">
        <v>1779</v>
      </c>
      <c r="J544" t="s">
        <v>1780</v>
      </c>
    </row>
    <row r="545" spans="1:10">
      <c r="A545">
        <v>113438</v>
      </c>
      <c r="B545" t="s">
        <v>446</v>
      </c>
      <c r="C545" t="s">
        <v>1781</v>
      </c>
      <c r="D545" t="s">
        <v>124</v>
      </c>
      <c r="E545" t="s">
        <v>1782</v>
      </c>
      <c r="F545" t="s">
        <v>14</v>
      </c>
      <c r="G545" s="1">
        <v>92625.95</v>
      </c>
      <c r="H545" t="s">
        <v>504</v>
      </c>
      <c r="I545" t="s">
        <v>1783</v>
      </c>
      <c r="J545" t="s">
        <v>1784</v>
      </c>
    </row>
    <row r="546" spans="1:10">
      <c r="A546">
        <v>150813</v>
      </c>
      <c r="B546" t="s">
        <v>446</v>
      </c>
      <c r="C546" t="s">
        <v>1785</v>
      </c>
      <c r="D546" t="s">
        <v>124</v>
      </c>
      <c r="E546" t="s">
        <v>1786</v>
      </c>
      <c r="F546" t="s">
        <v>14</v>
      </c>
      <c r="G546" s="1">
        <v>92250</v>
      </c>
      <c r="H546" t="s">
        <v>126</v>
      </c>
      <c r="I546" t="s">
        <v>156</v>
      </c>
      <c r="J546" t="s">
        <v>180</v>
      </c>
    </row>
    <row r="547" spans="1:10">
      <c r="A547">
        <v>142906</v>
      </c>
      <c r="B547" t="s">
        <v>446</v>
      </c>
      <c r="C547" t="s">
        <v>1787</v>
      </c>
      <c r="D547" t="s">
        <v>124</v>
      </c>
      <c r="E547" t="s">
        <v>1788</v>
      </c>
      <c r="F547" t="s">
        <v>14</v>
      </c>
      <c r="G547" s="1">
        <v>90202.23</v>
      </c>
      <c r="H547" t="s">
        <v>126</v>
      </c>
      <c r="I547" t="s">
        <v>156</v>
      </c>
      <c r="J547" t="s">
        <v>1789</v>
      </c>
    </row>
    <row r="548" spans="1:10">
      <c r="A548">
        <v>148944</v>
      </c>
      <c r="B548" t="s">
        <v>446</v>
      </c>
      <c r="C548" t="s">
        <v>1790</v>
      </c>
      <c r="D548" t="s">
        <v>124</v>
      </c>
      <c r="E548" t="s">
        <v>1791</v>
      </c>
      <c r="F548" t="s">
        <v>14</v>
      </c>
      <c r="G548" s="1">
        <v>90000</v>
      </c>
      <c r="H548" t="s">
        <v>126</v>
      </c>
      <c r="I548" t="s">
        <v>156</v>
      </c>
      <c r="J548" t="s">
        <v>180</v>
      </c>
    </row>
    <row r="549" spans="1:10">
      <c r="A549">
        <v>121927</v>
      </c>
      <c r="B549" t="s">
        <v>446</v>
      </c>
      <c r="C549" t="s">
        <v>1792</v>
      </c>
      <c r="D549" t="s">
        <v>12</v>
      </c>
      <c r="E549" t="s">
        <v>1793</v>
      </c>
      <c r="F549" t="s">
        <v>14</v>
      </c>
      <c r="G549" s="1">
        <v>90000</v>
      </c>
      <c r="H549" t="s">
        <v>85</v>
      </c>
      <c r="I549" t="s">
        <v>1794</v>
      </c>
      <c r="J549" t="s">
        <v>1795</v>
      </c>
    </row>
    <row r="550" spans="1:10">
      <c r="A550">
        <v>127623</v>
      </c>
      <c r="B550" t="s">
        <v>446</v>
      </c>
      <c r="C550" t="s">
        <v>1796</v>
      </c>
      <c r="D550" t="s">
        <v>12</v>
      </c>
      <c r="E550" t="s">
        <v>1797</v>
      </c>
      <c r="F550" t="s">
        <v>14</v>
      </c>
      <c r="G550" s="1">
        <v>88954.98</v>
      </c>
      <c r="H550" t="s">
        <v>85</v>
      </c>
      <c r="I550" t="s">
        <v>1798</v>
      </c>
      <c r="J550" t="s">
        <v>1799</v>
      </c>
    </row>
    <row r="551" spans="1:10">
      <c r="A551">
        <v>131830</v>
      </c>
      <c r="B551" t="s">
        <v>446</v>
      </c>
      <c r="C551" t="s">
        <v>1800</v>
      </c>
      <c r="D551" t="s">
        <v>12</v>
      </c>
      <c r="E551" t="s">
        <v>1801</v>
      </c>
      <c r="F551" t="s">
        <v>14</v>
      </c>
      <c r="G551" s="1">
        <v>88521.23</v>
      </c>
      <c r="H551" t="s">
        <v>36</v>
      </c>
      <c r="I551" t="s">
        <v>690</v>
      </c>
      <c r="J551" t="s">
        <v>1802</v>
      </c>
    </row>
    <row r="552" spans="1:10">
      <c r="A552">
        <v>151331</v>
      </c>
      <c r="B552" t="s">
        <v>446</v>
      </c>
      <c r="C552" t="s">
        <v>1803</v>
      </c>
      <c r="D552" t="s">
        <v>12</v>
      </c>
      <c r="E552" t="s">
        <v>1804</v>
      </c>
      <c r="F552" t="s">
        <v>14</v>
      </c>
      <c r="G552" s="1">
        <v>88495</v>
      </c>
      <c r="H552" t="s">
        <v>1017</v>
      </c>
      <c r="I552" t="s">
        <v>1494</v>
      </c>
      <c r="J552" t="s">
        <v>1805</v>
      </c>
    </row>
    <row r="553" spans="1:10">
      <c r="A553">
        <v>131270</v>
      </c>
      <c r="B553" t="s">
        <v>446</v>
      </c>
      <c r="C553" t="s">
        <v>1806</v>
      </c>
      <c r="D553" t="s">
        <v>12</v>
      </c>
      <c r="E553" t="s">
        <v>1807</v>
      </c>
      <c r="F553" t="s">
        <v>14</v>
      </c>
      <c r="G553" s="1">
        <v>87892.28</v>
      </c>
      <c r="H553" t="s">
        <v>553</v>
      </c>
      <c r="I553" t="s">
        <v>1808</v>
      </c>
      <c r="J553" t="s">
        <v>1809</v>
      </c>
    </row>
    <row r="554" spans="1:10">
      <c r="A554">
        <v>108071</v>
      </c>
      <c r="B554" t="s">
        <v>446</v>
      </c>
      <c r="C554" t="s">
        <v>1810</v>
      </c>
      <c r="D554" t="s">
        <v>12</v>
      </c>
      <c r="E554" t="s">
        <v>1811</v>
      </c>
      <c r="F554" t="s">
        <v>14</v>
      </c>
      <c r="G554" s="1">
        <v>86849.33</v>
      </c>
      <c r="H554" t="s">
        <v>232</v>
      </c>
      <c r="I554" t="s">
        <v>1812</v>
      </c>
      <c r="J554" t="s">
        <v>1813</v>
      </c>
    </row>
    <row r="555" spans="1:10">
      <c r="A555" t="s">
        <v>1814</v>
      </c>
      <c r="B555" t="s">
        <v>446</v>
      </c>
      <c r="C555" t="s">
        <v>1815</v>
      </c>
      <c r="D555" t="s">
        <v>12</v>
      </c>
      <c r="E555" t="s">
        <v>1816</v>
      </c>
      <c r="F555" t="s">
        <v>168</v>
      </c>
      <c r="G555" s="1">
        <v>86842.98</v>
      </c>
      <c r="H555" t="s">
        <v>232</v>
      </c>
      <c r="I555" t="s">
        <v>233</v>
      </c>
      <c r="J555" t="s">
        <v>1817</v>
      </c>
    </row>
    <row r="556" spans="1:10">
      <c r="A556">
        <v>150726</v>
      </c>
      <c r="B556" t="s">
        <v>446</v>
      </c>
      <c r="C556" t="s">
        <v>1818</v>
      </c>
      <c r="D556" t="s">
        <v>12</v>
      </c>
      <c r="E556" t="s">
        <v>1819</v>
      </c>
      <c r="F556" t="s">
        <v>14</v>
      </c>
      <c r="G556" s="1">
        <v>86805</v>
      </c>
      <c r="H556" t="s">
        <v>36</v>
      </c>
      <c r="I556" t="s">
        <v>1820</v>
      </c>
      <c r="J556" t="s">
        <v>1821</v>
      </c>
    </row>
    <row r="557" spans="1:10">
      <c r="A557">
        <v>152248</v>
      </c>
      <c r="B557" t="s">
        <v>446</v>
      </c>
      <c r="C557" t="s">
        <v>1822</v>
      </c>
      <c r="D557" t="s">
        <v>124</v>
      </c>
      <c r="E557" t="s">
        <v>1823</v>
      </c>
      <c r="F557" t="s">
        <v>14</v>
      </c>
      <c r="G557" s="1">
        <v>86342.18</v>
      </c>
      <c r="H557" t="s">
        <v>126</v>
      </c>
      <c r="I557" t="s">
        <v>156</v>
      </c>
      <c r="J557" t="s">
        <v>157</v>
      </c>
    </row>
    <row r="558" spans="1:10">
      <c r="A558">
        <v>150103</v>
      </c>
      <c r="B558" t="s">
        <v>446</v>
      </c>
      <c r="C558" t="s">
        <v>1824</v>
      </c>
      <c r="D558" t="s">
        <v>12</v>
      </c>
      <c r="E558" t="s">
        <v>1825</v>
      </c>
      <c r="F558" t="s">
        <v>14</v>
      </c>
      <c r="G558" s="1">
        <v>85885.29</v>
      </c>
      <c r="H558" t="s">
        <v>848</v>
      </c>
      <c r="I558" t="s">
        <v>156</v>
      </c>
      <c r="J558" t="s">
        <v>180</v>
      </c>
    </row>
    <row r="559" spans="1:10">
      <c r="A559">
        <v>108809</v>
      </c>
      <c r="B559" t="s">
        <v>446</v>
      </c>
      <c r="C559" t="s">
        <v>1826</v>
      </c>
      <c r="D559" t="s">
        <v>12</v>
      </c>
      <c r="E559" t="s">
        <v>1827</v>
      </c>
      <c r="F559" t="s">
        <v>14</v>
      </c>
      <c r="G559" s="1">
        <v>85610.57</v>
      </c>
      <c r="H559" t="s">
        <v>126</v>
      </c>
      <c r="I559" t="s">
        <v>156</v>
      </c>
      <c r="J559" t="s">
        <v>180</v>
      </c>
    </row>
    <row r="560" spans="1:10">
      <c r="A560">
        <v>100095</v>
      </c>
      <c r="B560" t="s">
        <v>446</v>
      </c>
      <c r="C560" t="s">
        <v>1828</v>
      </c>
      <c r="D560" t="s">
        <v>12</v>
      </c>
      <c r="E560" t="s">
        <v>689</v>
      </c>
      <c r="F560" t="s">
        <v>14</v>
      </c>
      <c r="G560" s="1">
        <v>85415.81</v>
      </c>
      <c r="H560" t="s">
        <v>36</v>
      </c>
      <c r="I560" t="s">
        <v>1829</v>
      </c>
      <c r="J560" t="s">
        <v>1830</v>
      </c>
    </row>
    <row r="561" spans="1:10">
      <c r="A561">
        <v>101749</v>
      </c>
      <c r="B561" t="s">
        <v>446</v>
      </c>
      <c r="C561" t="s">
        <v>1831</v>
      </c>
      <c r="D561" t="s">
        <v>12</v>
      </c>
      <c r="E561" t="s">
        <v>1832</v>
      </c>
      <c r="F561" t="s">
        <v>14</v>
      </c>
      <c r="G561" s="1">
        <v>85266.31</v>
      </c>
      <c r="H561" t="s">
        <v>36</v>
      </c>
      <c r="I561" t="s">
        <v>1833</v>
      </c>
      <c r="J561" t="s">
        <v>1834</v>
      </c>
    </row>
    <row r="562" spans="1:10">
      <c r="A562">
        <v>120439</v>
      </c>
      <c r="B562" t="s">
        <v>446</v>
      </c>
      <c r="C562" t="s">
        <v>1835</v>
      </c>
      <c r="D562" t="s">
        <v>12</v>
      </c>
      <c r="E562" t="s">
        <v>1836</v>
      </c>
      <c r="F562" t="s">
        <v>14</v>
      </c>
      <c r="G562" s="1">
        <v>85024.72</v>
      </c>
      <c r="H562" t="s">
        <v>437</v>
      </c>
      <c r="I562" t="s">
        <v>1837</v>
      </c>
      <c r="J562" t="s">
        <v>1838</v>
      </c>
    </row>
    <row r="563" spans="1:10">
      <c r="A563">
        <v>148007</v>
      </c>
      <c r="B563" t="s">
        <v>446</v>
      </c>
      <c r="C563" t="s">
        <v>1839</v>
      </c>
      <c r="D563" t="s">
        <v>331</v>
      </c>
      <c r="E563" t="s">
        <v>1840</v>
      </c>
      <c r="F563" t="s">
        <v>14</v>
      </c>
      <c r="G563" s="1">
        <v>84053.5</v>
      </c>
      <c r="H563" t="s">
        <v>333</v>
      </c>
      <c r="I563" t="s">
        <v>1841</v>
      </c>
      <c r="J563" t="s">
        <v>1842</v>
      </c>
    </row>
    <row r="564" spans="1:10">
      <c r="A564">
        <v>128959</v>
      </c>
      <c r="B564" t="s">
        <v>446</v>
      </c>
      <c r="C564" t="s">
        <v>1843</v>
      </c>
      <c r="D564" t="s">
        <v>12</v>
      </c>
      <c r="E564" t="s">
        <v>1844</v>
      </c>
      <c r="F564" t="s">
        <v>14</v>
      </c>
      <c r="G564" s="1">
        <v>84000</v>
      </c>
      <c r="H564" t="s">
        <v>85</v>
      </c>
      <c r="I564" t="s">
        <v>1845</v>
      </c>
      <c r="J564" t="s">
        <v>1846</v>
      </c>
    </row>
    <row r="565" spans="1:10">
      <c r="A565">
        <v>129171</v>
      </c>
      <c r="B565" t="s">
        <v>446</v>
      </c>
      <c r="C565" t="s">
        <v>1847</v>
      </c>
      <c r="D565" t="s">
        <v>12</v>
      </c>
      <c r="E565" t="s">
        <v>1848</v>
      </c>
      <c r="F565" t="s">
        <v>14</v>
      </c>
      <c r="G565" s="1">
        <v>83575</v>
      </c>
      <c r="H565" t="s">
        <v>140</v>
      </c>
      <c r="I565" t="s">
        <v>505</v>
      </c>
      <c r="J565" t="s">
        <v>506</v>
      </c>
    </row>
    <row r="566" spans="1:10">
      <c r="A566">
        <v>150402</v>
      </c>
      <c r="B566" t="s">
        <v>446</v>
      </c>
      <c r="C566" t="s">
        <v>1849</v>
      </c>
      <c r="D566" t="s">
        <v>12</v>
      </c>
      <c r="E566" t="s">
        <v>1850</v>
      </c>
      <c r="F566" t="s">
        <v>14</v>
      </c>
      <c r="G566" s="1">
        <v>83318.19</v>
      </c>
      <c r="H566" t="s">
        <v>140</v>
      </c>
      <c r="I566" t="s">
        <v>1851</v>
      </c>
      <c r="J566" t="s">
        <v>1852</v>
      </c>
    </row>
    <row r="567" spans="1:10">
      <c r="A567">
        <v>120938</v>
      </c>
      <c r="B567" t="s">
        <v>446</v>
      </c>
      <c r="C567" t="s">
        <v>1853</v>
      </c>
      <c r="D567" t="s">
        <v>12</v>
      </c>
      <c r="E567" t="s">
        <v>1854</v>
      </c>
      <c r="F567" t="s">
        <v>14</v>
      </c>
      <c r="G567" s="1">
        <v>82507.16</v>
      </c>
      <c r="H567" t="s">
        <v>27</v>
      </c>
      <c r="I567" t="s">
        <v>1855</v>
      </c>
      <c r="J567" t="s">
        <v>1856</v>
      </c>
    </row>
    <row r="568" spans="1:10">
      <c r="A568">
        <v>151110</v>
      </c>
      <c r="B568" t="s">
        <v>446</v>
      </c>
      <c r="C568" t="s">
        <v>1857</v>
      </c>
      <c r="D568" t="s">
        <v>12</v>
      </c>
      <c r="E568" t="s">
        <v>1858</v>
      </c>
      <c r="F568" t="s">
        <v>14</v>
      </c>
      <c r="G568" s="1">
        <v>81656</v>
      </c>
      <c r="H568" t="s">
        <v>140</v>
      </c>
      <c r="I568" t="s">
        <v>1859</v>
      </c>
      <c r="J568" t="s">
        <v>1860</v>
      </c>
    </row>
    <row r="569" spans="1:10">
      <c r="A569">
        <v>148279</v>
      </c>
      <c r="B569" t="s">
        <v>446</v>
      </c>
      <c r="C569" t="s">
        <v>1861</v>
      </c>
      <c r="D569" t="s">
        <v>25</v>
      </c>
      <c r="E569" t="s">
        <v>1862</v>
      </c>
      <c r="F569" t="s">
        <v>14</v>
      </c>
      <c r="G569" s="1">
        <v>81475</v>
      </c>
      <c r="H569" t="s">
        <v>36</v>
      </c>
      <c r="I569" t="s">
        <v>41</v>
      </c>
      <c r="J569" t="s">
        <v>1863</v>
      </c>
    </row>
    <row r="570" spans="1:10">
      <c r="A570">
        <v>132482</v>
      </c>
      <c r="B570" t="s">
        <v>446</v>
      </c>
      <c r="C570" t="s">
        <v>1864</v>
      </c>
      <c r="D570" t="s">
        <v>124</v>
      </c>
      <c r="E570" t="s">
        <v>1865</v>
      </c>
      <c r="F570" t="s">
        <v>14</v>
      </c>
      <c r="G570" s="1">
        <v>80921.919999999998</v>
      </c>
      <c r="H570" t="s">
        <v>126</v>
      </c>
      <c r="I570" t="s">
        <v>156</v>
      </c>
      <c r="J570" t="s">
        <v>180</v>
      </c>
    </row>
    <row r="571" spans="1:10">
      <c r="A571">
        <v>100755</v>
      </c>
      <c r="B571" t="s">
        <v>446</v>
      </c>
      <c r="C571" t="s">
        <v>1866</v>
      </c>
      <c r="D571" t="s">
        <v>12</v>
      </c>
      <c r="E571" t="s">
        <v>1867</v>
      </c>
      <c r="F571" t="s">
        <v>14</v>
      </c>
      <c r="G571" s="1">
        <v>80388</v>
      </c>
      <c r="H571" t="s">
        <v>437</v>
      </c>
      <c r="I571" t="s">
        <v>1868</v>
      </c>
      <c r="J571" t="s">
        <v>1869</v>
      </c>
    </row>
    <row r="572" spans="1:10">
      <c r="A572">
        <v>119443</v>
      </c>
      <c r="B572" t="s">
        <v>446</v>
      </c>
      <c r="C572" t="s">
        <v>1870</v>
      </c>
      <c r="D572" t="s">
        <v>124</v>
      </c>
      <c r="E572" t="s">
        <v>1871</v>
      </c>
      <c r="F572" t="s">
        <v>14</v>
      </c>
      <c r="G572" s="1">
        <v>80211.350000000006</v>
      </c>
      <c r="H572" t="s">
        <v>126</v>
      </c>
      <c r="I572" t="s">
        <v>156</v>
      </c>
      <c r="J572" t="s">
        <v>180</v>
      </c>
    </row>
    <row r="573" spans="1:10">
      <c r="A573">
        <v>146181</v>
      </c>
      <c r="B573" t="s">
        <v>446</v>
      </c>
      <c r="C573" t="s">
        <v>1872</v>
      </c>
      <c r="D573" t="s">
        <v>12</v>
      </c>
      <c r="E573" t="s">
        <v>1873</v>
      </c>
      <c r="F573" t="s">
        <v>14</v>
      </c>
      <c r="G573" s="1">
        <v>80000</v>
      </c>
      <c r="H573" t="s">
        <v>85</v>
      </c>
      <c r="I573" t="s">
        <v>1874</v>
      </c>
      <c r="J573" t="s">
        <v>1875</v>
      </c>
    </row>
    <row r="574" spans="1:10">
      <c r="A574">
        <v>148590</v>
      </c>
      <c r="B574" t="s">
        <v>446</v>
      </c>
      <c r="C574" t="s">
        <v>1876</v>
      </c>
      <c r="D574" t="s">
        <v>12</v>
      </c>
      <c r="E574" t="s">
        <v>1877</v>
      </c>
      <c r="F574" t="s">
        <v>14</v>
      </c>
      <c r="G574" s="1">
        <v>79489.37</v>
      </c>
      <c r="H574" t="s">
        <v>499</v>
      </c>
      <c r="I574" t="s">
        <v>1878</v>
      </c>
      <c r="J574" t="s">
        <v>1879</v>
      </c>
    </row>
    <row r="575" spans="1:10">
      <c r="A575">
        <v>113252</v>
      </c>
      <c r="B575" t="s">
        <v>446</v>
      </c>
      <c r="C575" t="s">
        <v>1880</v>
      </c>
      <c r="D575" t="s">
        <v>124</v>
      </c>
      <c r="E575" t="s">
        <v>1881</v>
      </c>
      <c r="F575" t="s">
        <v>14</v>
      </c>
      <c r="G575" s="1">
        <v>78989.58</v>
      </c>
      <c r="H575" t="s">
        <v>126</v>
      </c>
      <c r="I575" t="s">
        <v>156</v>
      </c>
      <c r="J575" t="s">
        <v>157</v>
      </c>
    </row>
    <row r="576" spans="1:10">
      <c r="A576">
        <v>142800</v>
      </c>
      <c r="B576" t="s">
        <v>446</v>
      </c>
      <c r="C576" t="s">
        <v>1882</v>
      </c>
      <c r="D576" t="s">
        <v>124</v>
      </c>
      <c r="E576" t="s">
        <v>1883</v>
      </c>
      <c r="F576" t="s">
        <v>14</v>
      </c>
      <c r="G576" s="1">
        <v>78936</v>
      </c>
      <c r="H576" t="s">
        <v>126</v>
      </c>
      <c r="I576" t="s">
        <v>156</v>
      </c>
      <c r="J576" t="s">
        <v>180</v>
      </c>
    </row>
    <row r="577" spans="1:10">
      <c r="A577">
        <v>144433</v>
      </c>
      <c r="B577" t="s">
        <v>446</v>
      </c>
      <c r="C577" t="s">
        <v>1884</v>
      </c>
      <c r="D577" t="s">
        <v>12</v>
      </c>
      <c r="E577" t="s">
        <v>1885</v>
      </c>
      <c r="F577" t="s">
        <v>14</v>
      </c>
      <c r="G577" s="1">
        <v>77952.72</v>
      </c>
      <c r="H577" t="s">
        <v>232</v>
      </c>
      <c r="I577" t="s">
        <v>1886</v>
      </c>
      <c r="J577" t="s">
        <v>1887</v>
      </c>
    </row>
    <row r="578" spans="1:10">
      <c r="A578">
        <v>130824</v>
      </c>
      <c r="B578" t="s">
        <v>446</v>
      </c>
      <c r="C578" t="s">
        <v>1888</v>
      </c>
      <c r="D578" t="s">
        <v>12</v>
      </c>
      <c r="E578" t="s">
        <v>1889</v>
      </c>
      <c r="F578" t="s">
        <v>14</v>
      </c>
      <c r="G578" s="1">
        <v>76700</v>
      </c>
      <c r="H578" t="s">
        <v>140</v>
      </c>
      <c r="I578" t="s">
        <v>1890</v>
      </c>
      <c r="J578" t="s">
        <v>1596</v>
      </c>
    </row>
    <row r="579" spans="1:10">
      <c r="A579">
        <v>150124</v>
      </c>
      <c r="B579" t="s">
        <v>446</v>
      </c>
      <c r="C579" t="s">
        <v>1891</v>
      </c>
      <c r="D579" t="s">
        <v>89</v>
      </c>
      <c r="E579" t="s">
        <v>1892</v>
      </c>
      <c r="F579" t="s">
        <v>14</v>
      </c>
      <c r="G579" s="1">
        <v>76651</v>
      </c>
      <c r="H579" t="s">
        <v>437</v>
      </c>
      <c r="I579" t="s">
        <v>1893</v>
      </c>
      <c r="J579" t="s">
        <v>1894</v>
      </c>
    </row>
    <row r="580" spans="1:10">
      <c r="A580">
        <v>147474</v>
      </c>
      <c r="B580" t="s">
        <v>446</v>
      </c>
      <c r="C580" t="s">
        <v>1895</v>
      </c>
      <c r="D580" t="s">
        <v>124</v>
      </c>
      <c r="E580" t="s">
        <v>1896</v>
      </c>
      <c r="F580" t="s">
        <v>168</v>
      </c>
      <c r="G580" s="1">
        <v>76230</v>
      </c>
      <c r="H580" t="s">
        <v>1263</v>
      </c>
      <c r="I580" t="s">
        <v>1897</v>
      </c>
      <c r="J580" t="s">
        <v>1898</v>
      </c>
    </row>
    <row r="581" spans="1:10">
      <c r="A581">
        <v>147390</v>
      </c>
      <c r="B581" t="s">
        <v>446</v>
      </c>
      <c r="C581" t="s">
        <v>1899</v>
      </c>
      <c r="D581" t="s">
        <v>12</v>
      </c>
      <c r="E581" t="s">
        <v>1900</v>
      </c>
      <c r="F581" t="s">
        <v>14</v>
      </c>
      <c r="G581" s="1">
        <v>76194</v>
      </c>
      <c r="H581" t="s">
        <v>15</v>
      </c>
      <c r="I581" t="s">
        <v>32</v>
      </c>
      <c r="J581" t="s">
        <v>1901</v>
      </c>
    </row>
    <row r="582" spans="1:10">
      <c r="A582">
        <v>145658</v>
      </c>
      <c r="B582" t="s">
        <v>446</v>
      </c>
      <c r="C582" t="s">
        <v>1902</v>
      </c>
      <c r="D582" t="s">
        <v>124</v>
      </c>
      <c r="E582" t="s">
        <v>1903</v>
      </c>
      <c r="F582" t="s">
        <v>168</v>
      </c>
      <c r="G582" s="1">
        <v>76087.740000000005</v>
      </c>
      <c r="H582" t="s">
        <v>126</v>
      </c>
      <c r="I582" t="s">
        <v>156</v>
      </c>
      <c r="J582" t="s">
        <v>180</v>
      </c>
    </row>
    <row r="583" spans="1:10">
      <c r="A583">
        <v>145911</v>
      </c>
      <c r="B583" t="s">
        <v>446</v>
      </c>
      <c r="C583" t="s">
        <v>1904</v>
      </c>
      <c r="D583" t="s">
        <v>12</v>
      </c>
      <c r="E583" t="s">
        <v>1905</v>
      </c>
      <c r="F583" t="s">
        <v>14</v>
      </c>
      <c r="G583" s="1">
        <v>75616.179999999993</v>
      </c>
      <c r="H583" t="s">
        <v>36</v>
      </c>
      <c r="I583" t="s">
        <v>1906</v>
      </c>
      <c r="J583" t="s">
        <v>1907</v>
      </c>
    </row>
    <row r="584" spans="1:10">
      <c r="A584">
        <v>132174</v>
      </c>
      <c r="B584" t="s">
        <v>446</v>
      </c>
      <c r="C584" t="s">
        <v>1908</v>
      </c>
      <c r="D584" t="s">
        <v>12</v>
      </c>
      <c r="E584" t="s">
        <v>1909</v>
      </c>
      <c r="F584" t="s">
        <v>14</v>
      </c>
      <c r="G584" s="1">
        <v>74892.5</v>
      </c>
      <c r="H584" t="s">
        <v>21</v>
      </c>
      <c r="I584" t="s">
        <v>1910</v>
      </c>
      <c r="J584" t="s">
        <v>1911</v>
      </c>
    </row>
    <row r="585" spans="1:10">
      <c r="A585">
        <v>150495</v>
      </c>
      <c r="B585" t="s">
        <v>446</v>
      </c>
      <c r="C585" t="s">
        <v>1912</v>
      </c>
      <c r="D585" t="s">
        <v>25</v>
      </c>
      <c r="E585" t="s">
        <v>1913</v>
      </c>
      <c r="F585" t="s">
        <v>14</v>
      </c>
      <c r="G585" s="1">
        <v>72697</v>
      </c>
      <c r="H585" t="s">
        <v>27</v>
      </c>
      <c r="I585" t="s">
        <v>107</v>
      </c>
      <c r="J585" t="s">
        <v>1914</v>
      </c>
    </row>
    <row r="586" spans="1:10">
      <c r="A586">
        <v>129619</v>
      </c>
      <c r="B586" t="s">
        <v>446</v>
      </c>
      <c r="C586" t="s">
        <v>1915</v>
      </c>
      <c r="D586" t="s">
        <v>12</v>
      </c>
      <c r="E586" t="s">
        <v>1916</v>
      </c>
      <c r="F586" t="s">
        <v>14</v>
      </c>
      <c r="G586" s="1">
        <v>70892.73</v>
      </c>
      <c r="H586" t="s">
        <v>1917</v>
      </c>
      <c r="I586" t="s">
        <v>1918</v>
      </c>
      <c r="J586" t="s">
        <v>1919</v>
      </c>
    </row>
    <row r="587" spans="1:10">
      <c r="A587">
        <v>128339</v>
      </c>
      <c r="B587" t="s">
        <v>446</v>
      </c>
      <c r="C587" t="s">
        <v>1920</v>
      </c>
      <c r="D587" t="s">
        <v>12</v>
      </c>
      <c r="E587" t="s">
        <v>1921</v>
      </c>
      <c r="F587" t="s">
        <v>14</v>
      </c>
      <c r="G587" s="1">
        <v>70192.5</v>
      </c>
      <c r="H587" t="s">
        <v>56</v>
      </c>
      <c r="I587" t="s">
        <v>1922</v>
      </c>
      <c r="J587" t="s">
        <v>1923</v>
      </c>
    </row>
    <row r="588" spans="1:10">
      <c r="A588">
        <v>128601</v>
      </c>
      <c r="B588" t="s">
        <v>446</v>
      </c>
      <c r="C588" t="s">
        <v>1924</v>
      </c>
      <c r="D588" t="s">
        <v>12</v>
      </c>
      <c r="E588" t="s">
        <v>1925</v>
      </c>
      <c r="F588" t="s">
        <v>14</v>
      </c>
      <c r="G588" s="1">
        <v>69790.36</v>
      </c>
      <c r="H588" t="s">
        <v>15</v>
      </c>
      <c r="I588" t="s">
        <v>1926</v>
      </c>
      <c r="J588" t="s">
        <v>1927</v>
      </c>
    </row>
    <row r="589" spans="1:10">
      <c r="A589">
        <v>104633</v>
      </c>
      <c r="B589" t="s">
        <v>446</v>
      </c>
      <c r="C589" t="s">
        <v>1928</v>
      </c>
      <c r="D589" t="s">
        <v>25</v>
      </c>
      <c r="E589" t="s">
        <v>1929</v>
      </c>
      <c r="F589" t="s">
        <v>14</v>
      </c>
      <c r="G589" s="1">
        <v>69721</v>
      </c>
      <c r="H589" t="s">
        <v>36</v>
      </c>
      <c r="I589" t="s">
        <v>41</v>
      </c>
      <c r="J589" t="s">
        <v>1930</v>
      </c>
    </row>
    <row r="590" spans="1:10">
      <c r="A590">
        <v>152734</v>
      </c>
      <c r="B590" t="s">
        <v>446</v>
      </c>
      <c r="C590" t="s">
        <v>1931</v>
      </c>
      <c r="D590" t="s">
        <v>124</v>
      </c>
      <c r="E590" t="s">
        <v>1932</v>
      </c>
      <c r="F590" t="s">
        <v>14</v>
      </c>
      <c r="G590" s="1">
        <v>69289.919999999998</v>
      </c>
      <c r="H590" t="s">
        <v>126</v>
      </c>
      <c r="I590" t="s">
        <v>156</v>
      </c>
      <c r="J590" t="s">
        <v>180</v>
      </c>
    </row>
    <row r="591" spans="1:10">
      <c r="A591">
        <v>142948</v>
      </c>
      <c r="B591" t="s">
        <v>446</v>
      </c>
      <c r="C591" t="s">
        <v>1933</v>
      </c>
      <c r="D591" t="s">
        <v>12</v>
      </c>
      <c r="E591" t="s">
        <v>1934</v>
      </c>
      <c r="F591" t="s">
        <v>14</v>
      </c>
      <c r="G591" s="1">
        <v>68934.12</v>
      </c>
      <c r="H591" t="s">
        <v>848</v>
      </c>
      <c r="I591" t="s">
        <v>156</v>
      </c>
      <c r="J591" t="s">
        <v>180</v>
      </c>
    </row>
    <row r="592" spans="1:10">
      <c r="A592">
        <v>146617</v>
      </c>
      <c r="B592" t="s">
        <v>446</v>
      </c>
      <c r="C592" t="s">
        <v>1935</v>
      </c>
      <c r="D592" t="s">
        <v>12</v>
      </c>
      <c r="E592" t="s">
        <v>1936</v>
      </c>
      <c r="F592" t="s">
        <v>14</v>
      </c>
      <c r="G592" s="1">
        <v>68789.919999999998</v>
      </c>
      <c r="H592" t="s">
        <v>85</v>
      </c>
      <c r="I592" t="s">
        <v>1937</v>
      </c>
      <c r="J592" t="s">
        <v>1938</v>
      </c>
    </row>
    <row r="593" spans="1:10">
      <c r="A593">
        <v>123089</v>
      </c>
      <c r="B593" t="s">
        <v>446</v>
      </c>
      <c r="C593" t="s">
        <v>1939</v>
      </c>
      <c r="D593" t="s">
        <v>124</v>
      </c>
      <c r="E593" t="s">
        <v>1940</v>
      </c>
      <c r="F593" t="s">
        <v>14</v>
      </c>
      <c r="G593" s="1">
        <v>68540.240000000005</v>
      </c>
      <c r="H593" t="s">
        <v>126</v>
      </c>
      <c r="I593" t="s">
        <v>156</v>
      </c>
      <c r="J593" t="s">
        <v>180</v>
      </c>
    </row>
    <row r="594" spans="1:10">
      <c r="A594">
        <v>141270</v>
      </c>
      <c r="B594" t="s">
        <v>446</v>
      </c>
      <c r="C594" t="s">
        <v>1941</v>
      </c>
      <c r="D594" t="s">
        <v>12</v>
      </c>
      <c r="E594" t="s">
        <v>1942</v>
      </c>
      <c r="F594" t="s">
        <v>14</v>
      </c>
      <c r="G594" s="1">
        <v>68266</v>
      </c>
      <c r="H594" t="s">
        <v>1017</v>
      </c>
      <c r="I594" t="s">
        <v>1943</v>
      </c>
      <c r="J594" t="s">
        <v>1944</v>
      </c>
    </row>
    <row r="595" spans="1:10">
      <c r="A595">
        <v>148375</v>
      </c>
      <c r="B595" t="s">
        <v>446</v>
      </c>
      <c r="C595" t="s">
        <v>1945</v>
      </c>
      <c r="D595" t="s">
        <v>12</v>
      </c>
      <c r="E595" t="s">
        <v>1946</v>
      </c>
      <c r="F595" t="s">
        <v>14</v>
      </c>
      <c r="G595" s="1">
        <v>67842.14</v>
      </c>
      <c r="H595" t="s">
        <v>85</v>
      </c>
      <c r="I595" t="s">
        <v>1947</v>
      </c>
      <c r="J595" t="s">
        <v>1948</v>
      </c>
    </row>
    <row r="596" spans="1:10">
      <c r="A596">
        <v>148212</v>
      </c>
      <c r="B596" t="s">
        <v>446</v>
      </c>
      <c r="C596" t="s">
        <v>1949</v>
      </c>
      <c r="D596" t="s">
        <v>12</v>
      </c>
      <c r="E596" t="s">
        <v>1950</v>
      </c>
      <c r="F596" t="s">
        <v>14</v>
      </c>
      <c r="G596" s="1">
        <v>66928.63</v>
      </c>
      <c r="H596" t="s">
        <v>437</v>
      </c>
      <c r="I596" t="s">
        <v>1951</v>
      </c>
      <c r="J596" t="s">
        <v>1952</v>
      </c>
    </row>
    <row r="597" spans="1:10">
      <c r="A597">
        <v>125645</v>
      </c>
      <c r="B597" t="s">
        <v>446</v>
      </c>
      <c r="C597" t="s">
        <v>1953</v>
      </c>
      <c r="D597" t="s">
        <v>12</v>
      </c>
      <c r="E597" t="s">
        <v>1954</v>
      </c>
      <c r="F597" t="s">
        <v>14</v>
      </c>
      <c r="G597" s="1">
        <v>66872</v>
      </c>
      <c r="H597" t="s">
        <v>514</v>
      </c>
      <c r="I597" t="s">
        <v>1955</v>
      </c>
      <c r="J597" t="s">
        <v>1956</v>
      </c>
    </row>
    <row r="598" spans="1:10">
      <c r="A598">
        <v>127377</v>
      </c>
      <c r="B598" t="s">
        <v>446</v>
      </c>
      <c r="C598" t="s">
        <v>1957</v>
      </c>
      <c r="D598" t="s">
        <v>12</v>
      </c>
      <c r="E598" t="s">
        <v>1958</v>
      </c>
      <c r="F598" t="s">
        <v>14</v>
      </c>
      <c r="G598" s="1">
        <v>66573.440000000002</v>
      </c>
      <c r="H598" t="s">
        <v>36</v>
      </c>
      <c r="I598" t="s">
        <v>1959</v>
      </c>
      <c r="J598" t="s">
        <v>1960</v>
      </c>
    </row>
    <row r="599" spans="1:10">
      <c r="A599">
        <v>145370</v>
      </c>
      <c r="B599" t="s">
        <v>446</v>
      </c>
      <c r="C599" t="s">
        <v>1961</v>
      </c>
      <c r="D599" t="s">
        <v>12</v>
      </c>
      <c r="E599" t="s">
        <v>1962</v>
      </c>
      <c r="F599" t="s">
        <v>14</v>
      </c>
      <c r="G599" s="1">
        <v>66417.47</v>
      </c>
      <c r="H599" t="s">
        <v>85</v>
      </c>
      <c r="I599" t="s">
        <v>1963</v>
      </c>
      <c r="J599" t="s">
        <v>1964</v>
      </c>
    </row>
    <row r="600" spans="1:10">
      <c r="A600">
        <v>104291</v>
      </c>
      <c r="B600" t="s">
        <v>446</v>
      </c>
      <c r="C600" t="s">
        <v>1965</v>
      </c>
      <c r="D600" t="s">
        <v>12</v>
      </c>
      <c r="E600" t="s">
        <v>1966</v>
      </c>
      <c r="F600" t="s">
        <v>14</v>
      </c>
      <c r="G600" s="1">
        <v>66282.45</v>
      </c>
      <c r="H600" t="s">
        <v>56</v>
      </c>
      <c r="I600" t="s">
        <v>1967</v>
      </c>
      <c r="J600" t="s">
        <v>1968</v>
      </c>
    </row>
    <row r="601" spans="1:10">
      <c r="A601">
        <v>127172</v>
      </c>
      <c r="B601" t="s">
        <v>446</v>
      </c>
      <c r="C601" t="s">
        <v>1969</v>
      </c>
      <c r="D601" t="s">
        <v>512</v>
      </c>
      <c r="E601" t="s">
        <v>1970</v>
      </c>
      <c r="F601" t="s">
        <v>14</v>
      </c>
      <c r="G601" s="1">
        <v>66052.83</v>
      </c>
      <c r="H601" t="s">
        <v>553</v>
      </c>
      <c r="I601" t="s">
        <v>1971</v>
      </c>
      <c r="J601" t="s">
        <v>1972</v>
      </c>
    </row>
    <row r="602" spans="1:10">
      <c r="A602">
        <v>147709</v>
      </c>
      <c r="B602" t="s">
        <v>446</v>
      </c>
      <c r="C602" t="s">
        <v>1973</v>
      </c>
      <c r="D602" t="s">
        <v>124</v>
      </c>
      <c r="E602" t="s">
        <v>1974</v>
      </c>
      <c r="F602" t="s">
        <v>14</v>
      </c>
      <c r="G602" s="1">
        <v>66000</v>
      </c>
      <c r="H602" t="s">
        <v>126</v>
      </c>
      <c r="I602" t="s">
        <v>156</v>
      </c>
      <c r="J602" t="s">
        <v>180</v>
      </c>
    </row>
    <row r="603" spans="1:10">
      <c r="A603">
        <v>151082</v>
      </c>
      <c r="B603" t="s">
        <v>446</v>
      </c>
      <c r="C603" t="s">
        <v>1975</v>
      </c>
      <c r="D603" t="s">
        <v>12</v>
      </c>
      <c r="E603" t="s">
        <v>1976</v>
      </c>
      <c r="F603" t="s">
        <v>14</v>
      </c>
      <c r="G603" s="1">
        <v>65934</v>
      </c>
      <c r="H603" t="s">
        <v>85</v>
      </c>
      <c r="I603" t="s">
        <v>1977</v>
      </c>
      <c r="J603" t="s">
        <v>1978</v>
      </c>
    </row>
    <row r="604" spans="1:10">
      <c r="A604">
        <v>111528</v>
      </c>
      <c r="B604" t="s">
        <v>446</v>
      </c>
      <c r="C604" t="s">
        <v>1979</v>
      </c>
      <c r="D604" t="s">
        <v>12</v>
      </c>
      <c r="E604" t="s">
        <v>1980</v>
      </c>
      <c r="F604" t="s">
        <v>14</v>
      </c>
      <c r="G604" s="1">
        <v>65607.89</v>
      </c>
      <c r="H604" t="s">
        <v>232</v>
      </c>
      <c r="I604" t="s">
        <v>1981</v>
      </c>
      <c r="J604" t="s">
        <v>1982</v>
      </c>
    </row>
    <row r="605" spans="1:10">
      <c r="A605">
        <v>121882</v>
      </c>
      <c r="B605" t="s">
        <v>446</v>
      </c>
      <c r="C605" t="s">
        <v>1983</v>
      </c>
      <c r="D605" t="s">
        <v>12</v>
      </c>
      <c r="E605" t="s">
        <v>1984</v>
      </c>
      <c r="F605" t="s">
        <v>14</v>
      </c>
      <c r="G605" s="1">
        <v>65552.47</v>
      </c>
      <c r="H605" t="s">
        <v>140</v>
      </c>
      <c r="I605" t="s">
        <v>505</v>
      </c>
      <c r="J605" t="s">
        <v>506</v>
      </c>
    </row>
    <row r="606" spans="1:10">
      <c r="A606">
        <v>113993</v>
      </c>
      <c r="B606" t="s">
        <v>446</v>
      </c>
      <c r="C606" t="s">
        <v>1985</v>
      </c>
      <c r="D606" t="s">
        <v>1986</v>
      </c>
      <c r="E606" t="s">
        <v>1987</v>
      </c>
      <c r="F606" t="s">
        <v>14</v>
      </c>
      <c r="G606" s="1">
        <v>64893.73</v>
      </c>
      <c r="H606" t="s">
        <v>126</v>
      </c>
      <c r="I606" t="s">
        <v>471</v>
      </c>
      <c r="J606" t="s">
        <v>472</v>
      </c>
    </row>
    <row r="607" spans="1:10">
      <c r="A607">
        <v>145149</v>
      </c>
      <c r="B607" t="s">
        <v>446</v>
      </c>
      <c r="C607" t="s">
        <v>1988</v>
      </c>
      <c r="D607" t="s">
        <v>245</v>
      </c>
      <c r="E607" t="s">
        <v>1989</v>
      </c>
      <c r="F607" t="s">
        <v>14</v>
      </c>
      <c r="G607" s="1">
        <v>64841</v>
      </c>
      <c r="H607" t="s">
        <v>27</v>
      </c>
      <c r="I607" t="s">
        <v>247</v>
      </c>
      <c r="J607" t="s">
        <v>1990</v>
      </c>
    </row>
    <row r="608" spans="1:10">
      <c r="A608">
        <v>121723</v>
      </c>
      <c r="B608" t="s">
        <v>446</v>
      </c>
      <c r="C608" t="s">
        <v>1991</v>
      </c>
      <c r="D608" t="s">
        <v>12</v>
      </c>
      <c r="E608" t="s">
        <v>1992</v>
      </c>
      <c r="F608" t="s">
        <v>14</v>
      </c>
      <c r="G608" s="1">
        <v>64802.49</v>
      </c>
      <c r="H608" t="s">
        <v>140</v>
      </c>
      <c r="I608" t="s">
        <v>1993</v>
      </c>
      <c r="J608" t="s">
        <v>1994</v>
      </c>
    </row>
    <row r="609" spans="1:10">
      <c r="A609">
        <v>118425</v>
      </c>
      <c r="B609" t="s">
        <v>446</v>
      </c>
      <c r="C609" t="s">
        <v>1995</v>
      </c>
      <c r="D609" t="s">
        <v>12</v>
      </c>
      <c r="E609" t="s">
        <v>1996</v>
      </c>
      <c r="F609" t="s">
        <v>14</v>
      </c>
      <c r="G609" s="1">
        <v>64800</v>
      </c>
      <c r="H609" t="s">
        <v>85</v>
      </c>
      <c r="I609" t="s">
        <v>1997</v>
      </c>
      <c r="J609" t="s">
        <v>1998</v>
      </c>
    </row>
    <row r="610" spans="1:10">
      <c r="A610">
        <v>110227</v>
      </c>
      <c r="B610" t="s">
        <v>446</v>
      </c>
      <c r="C610" t="s">
        <v>1999</v>
      </c>
      <c r="D610" t="s">
        <v>12</v>
      </c>
      <c r="E610" t="s">
        <v>2000</v>
      </c>
      <c r="F610" t="s">
        <v>14</v>
      </c>
      <c r="G610" s="1">
        <v>64380.4</v>
      </c>
      <c r="H610" t="s">
        <v>85</v>
      </c>
      <c r="I610" t="s">
        <v>2001</v>
      </c>
      <c r="J610" t="s">
        <v>2002</v>
      </c>
    </row>
    <row r="611" spans="1:10">
      <c r="A611">
        <v>107947</v>
      </c>
      <c r="B611" t="s">
        <v>446</v>
      </c>
      <c r="C611" t="s">
        <v>2003</v>
      </c>
      <c r="D611" t="s">
        <v>12</v>
      </c>
      <c r="E611" t="s">
        <v>2004</v>
      </c>
      <c r="F611" t="s">
        <v>14</v>
      </c>
      <c r="G611" s="1">
        <v>64357.19</v>
      </c>
      <c r="H611" t="s">
        <v>36</v>
      </c>
      <c r="I611" t="s">
        <v>2005</v>
      </c>
      <c r="J611" t="s">
        <v>2006</v>
      </c>
    </row>
    <row r="612" spans="1:10">
      <c r="A612">
        <v>103800</v>
      </c>
      <c r="B612" t="s">
        <v>446</v>
      </c>
      <c r="C612" t="s">
        <v>2007</v>
      </c>
      <c r="D612" t="s">
        <v>331</v>
      </c>
      <c r="E612" t="s">
        <v>2008</v>
      </c>
      <c r="F612" t="s">
        <v>14</v>
      </c>
      <c r="G612" s="1">
        <v>63999.47</v>
      </c>
      <c r="H612" t="s">
        <v>333</v>
      </c>
      <c r="I612" t="s">
        <v>2009</v>
      </c>
      <c r="J612" t="s">
        <v>2010</v>
      </c>
    </row>
    <row r="613" spans="1:10">
      <c r="A613">
        <v>100414</v>
      </c>
      <c r="B613" t="s">
        <v>446</v>
      </c>
      <c r="C613" t="s">
        <v>2011</v>
      </c>
      <c r="D613" t="s">
        <v>12</v>
      </c>
      <c r="E613" t="s">
        <v>2012</v>
      </c>
      <c r="F613" t="s">
        <v>168</v>
      </c>
      <c r="G613" s="1">
        <v>63960.32</v>
      </c>
      <c r="H613" t="s">
        <v>56</v>
      </c>
      <c r="I613" t="s">
        <v>2013</v>
      </c>
      <c r="J613" t="s">
        <v>2014</v>
      </c>
    </row>
    <row r="614" spans="1:10">
      <c r="A614">
        <v>108228</v>
      </c>
      <c r="B614" t="s">
        <v>446</v>
      </c>
      <c r="C614" t="s">
        <v>2015</v>
      </c>
      <c r="D614" t="s">
        <v>12</v>
      </c>
      <c r="E614" t="s">
        <v>2016</v>
      </c>
      <c r="F614" t="s">
        <v>14</v>
      </c>
      <c r="G614" s="1">
        <v>63789.56</v>
      </c>
      <c r="H614" t="s">
        <v>425</v>
      </c>
      <c r="I614" t="s">
        <v>2017</v>
      </c>
      <c r="J614" t="s">
        <v>2018</v>
      </c>
    </row>
    <row r="615" spans="1:10">
      <c r="A615">
        <v>147481</v>
      </c>
      <c r="B615" t="s">
        <v>446</v>
      </c>
      <c r="C615" t="s">
        <v>2019</v>
      </c>
      <c r="D615" t="s">
        <v>12</v>
      </c>
      <c r="E615" t="s">
        <v>2020</v>
      </c>
      <c r="F615" t="s">
        <v>14</v>
      </c>
      <c r="G615" s="1">
        <v>63000</v>
      </c>
      <c r="H615" t="s">
        <v>777</v>
      </c>
      <c r="I615" t="s">
        <v>2021</v>
      </c>
      <c r="J615" t="s">
        <v>2022</v>
      </c>
    </row>
    <row r="616" spans="1:10">
      <c r="A616">
        <v>144406</v>
      </c>
      <c r="B616" t="s">
        <v>446</v>
      </c>
      <c r="C616" t="s">
        <v>2023</v>
      </c>
      <c r="D616" t="s">
        <v>12</v>
      </c>
      <c r="E616" t="s">
        <v>2024</v>
      </c>
      <c r="F616" t="s">
        <v>14</v>
      </c>
      <c r="G616" s="1">
        <v>62150</v>
      </c>
      <c r="H616" t="s">
        <v>437</v>
      </c>
      <c r="I616" t="s">
        <v>2025</v>
      </c>
      <c r="J616" t="s">
        <v>2026</v>
      </c>
    </row>
    <row r="617" spans="1:10">
      <c r="A617">
        <v>122512</v>
      </c>
      <c r="B617" t="s">
        <v>446</v>
      </c>
      <c r="C617" t="s">
        <v>2027</v>
      </c>
      <c r="D617" t="s">
        <v>512</v>
      </c>
      <c r="E617" t="s">
        <v>2028</v>
      </c>
      <c r="F617" t="s">
        <v>14</v>
      </c>
      <c r="G617" s="1">
        <v>61936.69</v>
      </c>
      <c r="H617" t="s">
        <v>553</v>
      </c>
      <c r="I617" t="s">
        <v>2029</v>
      </c>
      <c r="J617" t="s">
        <v>2030</v>
      </c>
    </row>
    <row r="618" spans="1:10">
      <c r="A618">
        <v>131220</v>
      </c>
      <c r="B618" t="s">
        <v>446</v>
      </c>
      <c r="C618" t="s">
        <v>2031</v>
      </c>
      <c r="D618" t="s">
        <v>12</v>
      </c>
      <c r="E618" t="s">
        <v>2032</v>
      </c>
      <c r="F618" t="s">
        <v>14</v>
      </c>
      <c r="G618" s="1">
        <v>61869.34</v>
      </c>
      <c r="H618" t="s">
        <v>1378</v>
      </c>
      <c r="I618" t="s">
        <v>2033</v>
      </c>
      <c r="J618" t="s">
        <v>2034</v>
      </c>
    </row>
    <row r="619" spans="1:10">
      <c r="A619">
        <v>147090</v>
      </c>
      <c r="B619" t="s">
        <v>446</v>
      </c>
      <c r="C619" t="s">
        <v>2035</v>
      </c>
      <c r="D619" t="s">
        <v>12</v>
      </c>
      <c r="E619" t="s">
        <v>2036</v>
      </c>
      <c r="F619" t="s">
        <v>14</v>
      </c>
      <c r="G619" s="1">
        <v>60550</v>
      </c>
      <c r="H619" t="s">
        <v>56</v>
      </c>
      <c r="I619" t="s">
        <v>2037</v>
      </c>
      <c r="J619" t="s">
        <v>2038</v>
      </c>
    </row>
    <row r="620" spans="1:10">
      <c r="A620">
        <v>102279</v>
      </c>
      <c r="B620" t="s">
        <v>446</v>
      </c>
      <c r="C620" t="s">
        <v>2039</v>
      </c>
      <c r="D620" t="s">
        <v>12</v>
      </c>
      <c r="E620" t="s">
        <v>2040</v>
      </c>
      <c r="F620" t="s">
        <v>14</v>
      </c>
      <c r="G620" s="1">
        <v>60000</v>
      </c>
      <c r="H620" t="s">
        <v>95</v>
      </c>
      <c r="I620" t="s">
        <v>2041</v>
      </c>
      <c r="J620" t="s">
        <v>2042</v>
      </c>
    </row>
    <row r="621" spans="1:10">
      <c r="A621" t="s">
        <v>2043</v>
      </c>
      <c r="B621" t="s">
        <v>446</v>
      </c>
      <c r="C621" t="s">
        <v>2044</v>
      </c>
      <c r="D621" t="s">
        <v>124</v>
      </c>
      <c r="E621" t="s">
        <v>2045</v>
      </c>
      <c r="F621" t="s">
        <v>168</v>
      </c>
      <c r="G621" s="1">
        <v>59434.44</v>
      </c>
      <c r="H621" t="s">
        <v>126</v>
      </c>
      <c r="I621" t="s">
        <v>156</v>
      </c>
      <c r="J621" t="s">
        <v>180</v>
      </c>
    </row>
    <row r="622" spans="1:10">
      <c r="A622">
        <v>131072</v>
      </c>
      <c r="B622" t="s">
        <v>446</v>
      </c>
      <c r="C622" t="s">
        <v>2046</v>
      </c>
      <c r="D622" t="s">
        <v>12</v>
      </c>
      <c r="E622" t="s">
        <v>2047</v>
      </c>
      <c r="F622" t="s">
        <v>14</v>
      </c>
      <c r="G622" s="1">
        <v>59281.279999999999</v>
      </c>
      <c r="H622" t="s">
        <v>437</v>
      </c>
      <c r="I622" t="s">
        <v>2048</v>
      </c>
      <c r="J622" t="s">
        <v>2049</v>
      </c>
    </row>
    <row r="623" spans="1:10">
      <c r="A623">
        <v>142108</v>
      </c>
      <c r="B623" t="s">
        <v>446</v>
      </c>
      <c r="C623" t="s">
        <v>2050</v>
      </c>
      <c r="D623" t="s">
        <v>124</v>
      </c>
      <c r="E623" t="s">
        <v>2051</v>
      </c>
      <c r="F623" t="s">
        <v>14</v>
      </c>
      <c r="G623" s="1">
        <v>59274.54</v>
      </c>
      <c r="H623" t="s">
        <v>126</v>
      </c>
      <c r="I623" t="s">
        <v>156</v>
      </c>
      <c r="J623" t="s">
        <v>187</v>
      </c>
    </row>
    <row r="624" spans="1:10">
      <c r="A624">
        <v>102814</v>
      </c>
      <c r="B624" t="s">
        <v>446</v>
      </c>
      <c r="C624" t="s">
        <v>2052</v>
      </c>
      <c r="D624" t="s">
        <v>12</v>
      </c>
      <c r="E624" t="s">
        <v>2053</v>
      </c>
      <c r="F624" t="s">
        <v>14</v>
      </c>
      <c r="G624" s="1">
        <v>58668.1</v>
      </c>
      <c r="H624" t="s">
        <v>777</v>
      </c>
      <c r="I624" t="s">
        <v>2054</v>
      </c>
      <c r="J624" t="s">
        <v>2055</v>
      </c>
    </row>
    <row r="625" spans="1:10">
      <c r="A625">
        <v>141854</v>
      </c>
      <c r="B625" t="s">
        <v>446</v>
      </c>
      <c r="C625" t="s">
        <v>2056</v>
      </c>
      <c r="D625" t="s">
        <v>124</v>
      </c>
      <c r="E625" t="s">
        <v>2057</v>
      </c>
      <c r="F625" t="s">
        <v>14</v>
      </c>
      <c r="G625" s="1">
        <v>57766.99</v>
      </c>
      <c r="H625" t="s">
        <v>126</v>
      </c>
      <c r="I625" t="s">
        <v>156</v>
      </c>
      <c r="J625" t="s">
        <v>2058</v>
      </c>
    </row>
    <row r="626" spans="1:10">
      <c r="A626">
        <v>102082</v>
      </c>
      <c r="B626" t="s">
        <v>446</v>
      </c>
      <c r="C626" t="s">
        <v>2059</v>
      </c>
      <c r="D626" t="s">
        <v>124</v>
      </c>
      <c r="E626" t="s">
        <v>2060</v>
      </c>
      <c r="F626" t="s">
        <v>14</v>
      </c>
      <c r="G626" s="1">
        <v>57625.84</v>
      </c>
      <c r="H626" t="s">
        <v>504</v>
      </c>
      <c r="I626" t="s">
        <v>1890</v>
      </c>
      <c r="J626" t="s">
        <v>1596</v>
      </c>
    </row>
    <row r="627" spans="1:10">
      <c r="A627">
        <v>151374</v>
      </c>
      <c r="B627" t="s">
        <v>446</v>
      </c>
      <c r="C627" t="s">
        <v>2061</v>
      </c>
      <c r="D627" t="s">
        <v>12</v>
      </c>
      <c r="E627" t="s">
        <v>2062</v>
      </c>
      <c r="F627" t="s">
        <v>14</v>
      </c>
      <c r="G627" s="1">
        <v>57475</v>
      </c>
      <c r="H627" t="s">
        <v>126</v>
      </c>
      <c r="I627" t="s">
        <v>471</v>
      </c>
      <c r="J627" t="s">
        <v>2063</v>
      </c>
    </row>
    <row r="628" spans="1:10">
      <c r="A628">
        <v>119106</v>
      </c>
      <c r="B628" t="s">
        <v>446</v>
      </c>
      <c r="C628" t="s">
        <v>2064</v>
      </c>
      <c r="D628" t="s">
        <v>12</v>
      </c>
      <c r="E628" t="s">
        <v>2065</v>
      </c>
      <c r="F628" t="s">
        <v>14</v>
      </c>
      <c r="G628" s="1">
        <v>57444.81</v>
      </c>
      <c r="H628" t="s">
        <v>95</v>
      </c>
      <c r="I628" t="s">
        <v>506</v>
      </c>
      <c r="J628" t="s">
        <v>1522</v>
      </c>
    </row>
    <row r="629" spans="1:10">
      <c r="A629">
        <v>148218</v>
      </c>
      <c r="B629" t="s">
        <v>446</v>
      </c>
      <c r="C629" t="s">
        <v>2066</v>
      </c>
      <c r="D629" t="s">
        <v>124</v>
      </c>
      <c r="E629" t="s">
        <v>2067</v>
      </c>
      <c r="F629" t="s">
        <v>14</v>
      </c>
      <c r="G629" s="1">
        <v>57000</v>
      </c>
      <c r="H629" t="s">
        <v>126</v>
      </c>
      <c r="I629" t="s">
        <v>156</v>
      </c>
      <c r="J629" t="s">
        <v>180</v>
      </c>
    </row>
    <row r="630" spans="1:10">
      <c r="A630">
        <v>116019</v>
      </c>
      <c r="B630" t="s">
        <v>446</v>
      </c>
      <c r="C630" t="s">
        <v>2068</v>
      </c>
      <c r="D630" t="s">
        <v>12</v>
      </c>
      <c r="E630" t="s">
        <v>2069</v>
      </c>
      <c r="F630" t="s">
        <v>14</v>
      </c>
      <c r="G630" s="1">
        <v>56022</v>
      </c>
      <c r="H630" t="s">
        <v>95</v>
      </c>
      <c r="I630" t="s">
        <v>2070</v>
      </c>
      <c r="J630" t="s">
        <v>2071</v>
      </c>
    </row>
    <row r="631" spans="1:10">
      <c r="A631">
        <v>118493</v>
      </c>
      <c r="B631" t="s">
        <v>446</v>
      </c>
      <c r="C631" t="s">
        <v>2072</v>
      </c>
      <c r="D631" t="s">
        <v>12</v>
      </c>
      <c r="E631" t="s">
        <v>2073</v>
      </c>
      <c r="F631" t="s">
        <v>14</v>
      </c>
      <c r="G631" s="1">
        <v>55064.69</v>
      </c>
      <c r="H631" t="s">
        <v>232</v>
      </c>
      <c r="I631" t="s">
        <v>233</v>
      </c>
      <c r="J631" t="s">
        <v>2074</v>
      </c>
    </row>
    <row r="632" spans="1:10">
      <c r="A632">
        <v>142378</v>
      </c>
      <c r="B632" t="s">
        <v>446</v>
      </c>
      <c r="C632" t="s">
        <v>2075</v>
      </c>
      <c r="D632" t="s">
        <v>12</v>
      </c>
      <c r="E632" t="s">
        <v>2076</v>
      </c>
      <c r="F632" t="s">
        <v>14</v>
      </c>
      <c r="G632" s="1">
        <v>54728.12</v>
      </c>
      <c r="H632" t="s">
        <v>848</v>
      </c>
      <c r="I632" t="s">
        <v>2077</v>
      </c>
      <c r="J632" t="s">
        <v>2078</v>
      </c>
    </row>
    <row r="633" spans="1:10">
      <c r="A633">
        <v>141946</v>
      </c>
      <c r="B633" t="s">
        <v>446</v>
      </c>
      <c r="C633" t="s">
        <v>2079</v>
      </c>
      <c r="D633" t="s">
        <v>124</v>
      </c>
      <c r="E633" t="s">
        <v>2080</v>
      </c>
      <c r="F633" t="s">
        <v>14</v>
      </c>
      <c r="G633" s="1">
        <v>53901.120000000003</v>
      </c>
      <c r="H633" t="s">
        <v>126</v>
      </c>
      <c r="I633" t="s">
        <v>156</v>
      </c>
      <c r="J633" t="s">
        <v>187</v>
      </c>
    </row>
    <row r="634" spans="1:10">
      <c r="A634">
        <v>143608</v>
      </c>
      <c r="B634" t="s">
        <v>446</v>
      </c>
      <c r="C634" t="s">
        <v>2081</v>
      </c>
      <c r="D634" t="s">
        <v>25</v>
      </c>
      <c r="E634" t="s">
        <v>2082</v>
      </c>
      <c r="F634" t="s">
        <v>14</v>
      </c>
      <c r="G634" s="1">
        <v>53797.55</v>
      </c>
      <c r="H634" t="s">
        <v>2083</v>
      </c>
      <c r="I634" t="s">
        <v>2084</v>
      </c>
      <c r="J634" t="s">
        <v>2085</v>
      </c>
    </row>
    <row r="635" spans="1:10">
      <c r="A635">
        <v>120602</v>
      </c>
      <c r="B635" t="s">
        <v>446</v>
      </c>
      <c r="C635" t="s">
        <v>2086</v>
      </c>
      <c r="D635" t="s">
        <v>12</v>
      </c>
      <c r="E635" t="s">
        <v>2087</v>
      </c>
      <c r="F635" t="s">
        <v>14</v>
      </c>
      <c r="G635" s="1">
        <v>53549.65</v>
      </c>
      <c r="H635" t="s">
        <v>1017</v>
      </c>
      <c r="I635" t="s">
        <v>2088</v>
      </c>
      <c r="J635" t="s">
        <v>2089</v>
      </c>
    </row>
    <row r="636" spans="1:10">
      <c r="A636">
        <v>130883</v>
      </c>
      <c r="B636" t="s">
        <v>446</v>
      </c>
      <c r="C636" t="s">
        <v>2090</v>
      </c>
      <c r="D636" t="s">
        <v>12</v>
      </c>
      <c r="E636" t="s">
        <v>2091</v>
      </c>
      <c r="F636" t="s">
        <v>14</v>
      </c>
      <c r="G636" s="1">
        <v>53465.35</v>
      </c>
      <c r="H636" t="s">
        <v>232</v>
      </c>
      <c r="I636" t="s">
        <v>233</v>
      </c>
      <c r="J636" t="s">
        <v>2092</v>
      </c>
    </row>
    <row r="637" spans="1:10">
      <c r="A637">
        <v>144439</v>
      </c>
      <c r="B637" t="s">
        <v>446</v>
      </c>
      <c r="C637" t="s">
        <v>2093</v>
      </c>
      <c r="D637" t="s">
        <v>12</v>
      </c>
      <c r="E637" t="s">
        <v>2094</v>
      </c>
      <c r="F637" t="s">
        <v>14</v>
      </c>
      <c r="G637" s="1">
        <v>53446.1</v>
      </c>
      <c r="H637" t="s">
        <v>36</v>
      </c>
      <c r="I637" t="s">
        <v>2095</v>
      </c>
      <c r="J637" t="s">
        <v>2096</v>
      </c>
    </row>
    <row r="638" spans="1:10">
      <c r="A638">
        <v>112737</v>
      </c>
      <c r="B638" t="s">
        <v>446</v>
      </c>
      <c r="C638" t="s">
        <v>2097</v>
      </c>
      <c r="D638" t="s">
        <v>2098</v>
      </c>
      <c r="E638" t="s">
        <v>2099</v>
      </c>
      <c r="F638" t="s">
        <v>14</v>
      </c>
      <c r="G638" s="1">
        <v>52857.82</v>
      </c>
      <c r="H638" t="s">
        <v>375</v>
      </c>
      <c r="I638" t="s">
        <v>2100</v>
      </c>
      <c r="J638" t="s">
        <v>2101</v>
      </c>
    </row>
    <row r="639" spans="1:10">
      <c r="A639">
        <v>102574</v>
      </c>
      <c r="B639" t="s">
        <v>446</v>
      </c>
      <c r="C639" t="s">
        <v>2102</v>
      </c>
      <c r="D639" t="s">
        <v>30</v>
      </c>
      <c r="E639" t="s">
        <v>2103</v>
      </c>
      <c r="F639" t="s">
        <v>14</v>
      </c>
      <c r="G639" s="1">
        <v>52846</v>
      </c>
      <c r="H639" t="s">
        <v>72</v>
      </c>
      <c r="I639" t="s">
        <v>2104</v>
      </c>
      <c r="J639" t="s">
        <v>2105</v>
      </c>
    </row>
    <row r="640" spans="1:10">
      <c r="A640">
        <v>101169</v>
      </c>
      <c r="B640" t="s">
        <v>446</v>
      </c>
      <c r="C640" t="s">
        <v>2106</v>
      </c>
      <c r="D640" t="s">
        <v>30</v>
      </c>
      <c r="E640" t="s">
        <v>2107</v>
      </c>
      <c r="F640" t="s">
        <v>14</v>
      </c>
      <c r="G640" s="1">
        <v>52300</v>
      </c>
      <c r="H640" t="s">
        <v>95</v>
      </c>
      <c r="I640" t="s">
        <v>1272</v>
      </c>
      <c r="J640" t="s">
        <v>2108</v>
      </c>
    </row>
    <row r="641" spans="1:10">
      <c r="A641">
        <v>110942</v>
      </c>
      <c r="B641" t="s">
        <v>446</v>
      </c>
      <c r="C641" t="s">
        <v>2109</v>
      </c>
      <c r="D641" t="s">
        <v>124</v>
      </c>
      <c r="E641" t="s">
        <v>2110</v>
      </c>
      <c r="F641" t="s">
        <v>14</v>
      </c>
      <c r="G641" s="1">
        <v>52012.7</v>
      </c>
      <c r="H641" t="s">
        <v>504</v>
      </c>
      <c r="I641" t="s">
        <v>2111</v>
      </c>
      <c r="J641" t="s">
        <v>2112</v>
      </c>
    </row>
    <row r="642" spans="1:10">
      <c r="A642">
        <v>103410</v>
      </c>
      <c r="B642" t="s">
        <v>446</v>
      </c>
      <c r="C642" t="s">
        <v>2113</v>
      </c>
      <c r="D642" t="s">
        <v>331</v>
      </c>
      <c r="E642" t="s">
        <v>2114</v>
      </c>
      <c r="F642" t="s">
        <v>14</v>
      </c>
      <c r="G642" s="1">
        <v>51893.29</v>
      </c>
      <c r="H642" t="s">
        <v>232</v>
      </c>
      <c r="I642" t="s">
        <v>233</v>
      </c>
      <c r="J642" t="s">
        <v>2115</v>
      </c>
    </row>
    <row r="643" spans="1:10">
      <c r="A643">
        <v>112753</v>
      </c>
      <c r="B643" t="s">
        <v>446</v>
      </c>
      <c r="C643" t="s">
        <v>2116</v>
      </c>
      <c r="D643" t="s">
        <v>89</v>
      </c>
      <c r="E643" t="s">
        <v>2117</v>
      </c>
      <c r="F643" t="s">
        <v>14</v>
      </c>
      <c r="G643" s="1">
        <v>51851.4</v>
      </c>
      <c r="H643" t="s">
        <v>72</v>
      </c>
      <c r="I643" t="s">
        <v>2118</v>
      </c>
      <c r="J643" t="s">
        <v>2119</v>
      </c>
    </row>
    <row r="644" spans="1:10">
      <c r="A644">
        <v>120487</v>
      </c>
      <c r="B644" t="s">
        <v>446</v>
      </c>
      <c r="C644" t="s">
        <v>2120</v>
      </c>
      <c r="D644" t="s">
        <v>12</v>
      </c>
      <c r="E644" t="s">
        <v>2121</v>
      </c>
      <c r="F644" t="s">
        <v>14</v>
      </c>
      <c r="G644" s="1">
        <v>51527</v>
      </c>
      <c r="H644" t="s">
        <v>72</v>
      </c>
      <c r="I644" t="s">
        <v>2122</v>
      </c>
      <c r="J644" t="s">
        <v>2123</v>
      </c>
    </row>
    <row r="645" spans="1:10">
      <c r="A645">
        <v>150679</v>
      </c>
      <c r="B645" t="s">
        <v>446</v>
      </c>
      <c r="C645" t="s">
        <v>2124</v>
      </c>
      <c r="D645" t="s">
        <v>25</v>
      </c>
      <c r="E645" t="s">
        <v>2125</v>
      </c>
      <c r="F645" t="s">
        <v>14</v>
      </c>
      <c r="G645" s="1">
        <v>50707</v>
      </c>
      <c r="H645" t="s">
        <v>27</v>
      </c>
      <c r="I645" t="s">
        <v>27</v>
      </c>
      <c r="J645" t="s">
        <v>2126</v>
      </c>
    </row>
    <row r="646" spans="1:10">
      <c r="A646">
        <v>128434</v>
      </c>
      <c r="B646" t="s">
        <v>446</v>
      </c>
      <c r="C646" t="s">
        <v>2127</v>
      </c>
      <c r="D646" t="s">
        <v>12</v>
      </c>
      <c r="E646" t="s">
        <v>2128</v>
      </c>
      <c r="F646" t="s">
        <v>14</v>
      </c>
      <c r="G646" s="1">
        <v>50260</v>
      </c>
      <c r="H646" t="s">
        <v>437</v>
      </c>
      <c r="I646" t="s">
        <v>1868</v>
      </c>
      <c r="J646" t="s">
        <v>2129</v>
      </c>
    </row>
    <row r="647" spans="1:10">
      <c r="A647">
        <v>151718</v>
      </c>
      <c r="B647" t="s">
        <v>446</v>
      </c>
      <c r="C647" t="s">
        <v>2130</v>
      </c>
      <c r="D647" t="s">
        <v>331</v>
      </c>
      <c r="E647" t="s">
        <v>2131</v>
      </c>
      <c r="F647" t="s">
        <v>14</v>
      </c>
      <c r="G647" s="1">
        <v>50250</v>
      </c>
      <c r="H647" t="s">
        <v>333</v>
      </c>
      <c r="I647" t="s">
        <v>333</v>
      </c>
      <c r="J647" t="s">
        <v>2132</v>
      </c>
    </row>
    <row r="648" spans="1:10">
      <c r="A648">
        <v>151795</v>
      </c>
      <c r="B648" t="s">
        <v>446</v>
      </c>
      <c r="C648" t="s">
        <v>2133</v>
      </c>
      <c r="D648" t="s">
        <v>12</v>
      </c>
      <c r="E648" t="s">
        <v>2134</v>
      </c>
      <c r="F648" t="s">
        <v>14</v>
      </c>
      <c r="G648" s="1">
        <v>50000</v>
      </c>
      <c r="H648" t="s">
        <v>333</v>
      </c>
      <c r="I648" t="s">
        <v>334</v>
      </c>
      <c r="J648" t="s">
        <v>2135</v>
      </c>
    </row>
    <row r="649" spans="1:10">
      <c r="A649">
        <v>127748</v>
      </c>
      <c r="B649" t="s">
        <v>446</v>
      </c>
      <c r="C649" t="s">
        <v>2136</v>
      </c>
      <c r="D649" t="s">
        <v>12</v>
      </c>
      <c r="E649" t="s">
        <v>2137</v>
      </c>
      <c r="F649" t="s">
        <v>14</v>
      </c>
      <c r="G649" s="1">
        <v>50000</v>
      </c>
      <c r="H649" t="s">
        <v>72</v>
      </c>
      <c r="I649" t="s">
        <v>359</v>
      </c>
      <c r="J649" t="s">
        <v>2138</v>
      </c>
    </row>
    <row r="650" spans="1:10">
      <c r="A650">
        <v>152518</v>
      </c>
      <c r="B650" t="s">
        <v>446</v>
      </c>
      <c r="C650" t="s">
        <v>2139</v>
      </c>
      <c r="D650" t="s">
        <v>12</v>
      </c>
      <c r="E650" t="s">
        <v>2140</v>
      </c>
      <c r="F650" t="s">
        <v>14</v>
      </c>
      <c r="G650" s="1">
        <v>50000</v>
      </c>
      <c r="H650" t="s">
        <v>333</v>
      </c>
      <c r="I650" t="s">
        <v>1756</v>
      </c>
      <c r="J650" t="s">
        <v>2141</v>
      </c>
    </row>
    <row r="651" spans="1:10">
      <c r="A651">
        <v>149215</v>
      </c>
      <c r="B651" t="s">
        <v>446</v>
      </c>
      <c r="C651" t="s">
        <v>2142</v>
      </c>
      <c r="D651" t="s">
        <v>12</v>
      </c>
      <c r="E651" t="s">
        <v>2143</v>
      </c>
      <c r="F651" t="s">
        <v>14</v>
      </c>
      <c r="G651" s="1">
        <v>50000</v>
      </c>
      <c r="H651" t="s">
        <v>36</v>
      </c>
      <c r="I651" t="s">
        <v>2144</v>
      </c>
      <c r="J651" t="s">
        <v>2145</v>
      </c>
    </row>
    <row r="652" spans="1:10">
      <c r="A652">
        <v>150046</v>
      </c>
      <c r="B652" t="s">
        <v>446</v>
      </c>
      <c r="C652" t="s">
        <v>2146</v>
      </c>
      <c r="D652" t="s">
        <v>12</v>
      </c>
      <c r="E652" t="s">
        <v>2147</v>
      </c>
      <c r="F652" t="s">
        <v>14</v>
      </c>
      <c r="G652" s="1">
        <v>49999.13</v>
      </c>
      <c r="H652" t="s">
        <v>85</v>
      </c>
      <c r="I652" t="s">
        <v>2148</v>
      </c>
      <c r="J652" t="s">
        <v>2149</v>
      </c>
    </row>
    <row r="653" spans="1:10">
      <c r="A653">
        <v>128368</v>
      </c>
      <c r="B653" t="s">
        <v>446</v>
      </c>
      <c r="C653" t="s">
        <v>2150</v>
      </c>
      <c r="D653" t="s">
        <v>12</v>
      </c>
      <c r="E653" t="s">
        <v>2151</v>
      </c>
      <c r="F653" t="s">
        <v>14</v>
      </c>
      <c r="G653" s="1">
        <v>49928.21</v>
      </c>
      <c r="H653" t="s">
        <v>777</v>
      </c>
      <c r="I653" t="s">
        <v>2152</v>
      </c>
      <c r="J653" t="s">
        <v>2153</v>
      </c>
    </row>
    <row r="654" spans="1:10">
      <c r="A654">
        <v>101492</v>
      </c>
      <c r="B654" t="s">
        <v>446</v>
      </c>
      <c r="C654" t="s">
        <v>2154</v>
      </c>
      <c r="D654" t="s">
        <v>12</v>
      </c>
      <c r="E654" t="s">
        <v>2155</v>
      </c>
      <c r="F654" t="s">
        <v>14</v>
      </c>
      <c r="G654" s="1">
        <v>49842.07</v>
      </c>
      <c r="H654" t="s">
        <v>140</v>
      </c>
      <c r="I654" t="s">
        <v>669</v>
      </c>
      <c r="J654" t="s">
        <v>2156</v>
      </c>
    </row>
    <row r="655" spans="1:10">
      <c r="A655">
        <v>125999</v>
      </c>
      <c r="B655" t="s">
        <v>446</v>
      </c>
      <c r="C655" t="s">
        <v>2157</v>
      </c>
      <c r="D655" t="s">
        <v>12</v>
      </c>
      <c r="E655" t="s">
        <v>2158</v>
      </c>
      <c r="F655" t="s">
        <v>14</v>
      </c>
      <c r="G655" s="1">
        <v>49693.64</v>
      </c>
      <c r="H655" t="s">
        <v>918</v>
      </c>
      <c r="I655" t="s">
        <v>2159</v>
      </c>
      <c r="J655" t="s">
        <v>2160</v>
      </c>
    </row>
    <row r="656" spans="1:10">
      <c r="A656">
        <v>150359</v>
      </c>
      <c r="B656" t="s">
        <v>446</v>
      </c>
      <c r="C656" t="s">
        <v>2161</v>
      </c>
      <c r="D656" t="s">
        <v>12</v>
      </c>
      <c r="E656" t="s">
        <v>2162</v>
      </c>
      <c r="F656" t="s">
        <v>14</v>
      </c>
      <c r="G656" s="1">
        <v>49365.84</v>
      </c>
      <c r="H656" t="s">
        <v>95</v>
      </c>
      <c r="I656" t="s">
        <v>1272</v>
      </c>
      <c r="J656" t="s">
        <v>2163</v>
      </c>
    </row>
    <row r="657" spans="1:10">
      <c r="A657">
        <v>148811</v>
      </c>
      <c r="B657" t="s">
        <v>446</v>
      </c>
      <c r="C657" t="s">
        <v>2164</v>
      </c>
      <c r="D657" t="s">
        <v>12</v>
      </c>
      <c r="E657" t="s">
        <v>2165</v>
      </c>
      <c r="F657" t="s">
        <v>14</v>
      </c>
      <c r="G657" s="1">
        <v>49350</v>
      </c>
      <c r="H657" t="s">
        <v>85</v>
      </c>
      <c r="I657" t="s">
        <v>1937</v>
      </c>
      <c r="J657" t="s">
        <v>2166</v>
      </c>
    </row>
    <row r="658" spans="1:10">
      <c r="A658">
        <v>143271</v>
      </c>
      <c r="B658" t="s">
        <v>446</v>
      </c>
      <c r="C658" t="s">
        <v>2167</v>
      </c>
      <c r="D658" t="s">
        <v>12</v>
      </c>
      <c r="E658" t="s">
        <v>2168</v>
      </c>
      <c r="F658" t="s">
        <v>14</v>
      </c>
      <c r="G658" s="1">
        <v>48896.14</v>
      </c>
      <c r="H658" t="s">
        <v>232</v>
      </c>
      <c r="I658" t="s">
        <v>233</v>
      </c>
      <c r="J658" t="s">
        <v>2169</v>
      </c>
    </row>
    <row r="659" spans="1:10">
      <c r="A659">
        <v>143320</v>
      </c>
      <c r="B659" t="s">
        <v>446</v>
      </c>
      <c r="C659" t="s">
        <v>2170</v>
      </c>
      <c r="D659" t="s">
        <v>12</v>
      </c>
      <c r="E659" t="s">
        <v>2171</v>
      </c>
      <c r="F659" t="s">
        <v>14</v>
      </c>
      <c r="G659" s="1">
        <v>48750</v>
      </c>
      <c r="H659" t="s">
        <v>126</v>
      </c>
      <c r="I659" t="s">
        <v>471</v>
      </c>
      <c r="J659" t="s">
        <v>2172</v>
      </c>
    </row>
    <row r="660" spans="1:10">
      <c r="A660">
        <v>149494</v>
      </c>
      <c r="B660" t="s">
        <v>446</v>
      </c>
      <c r="C660" t="s">
        <v>2173</v>
      </c>
      <c r="D660" t="s">
        <v>12</v>
      </c>
      <c r="E660" t="s">
        <v>2174</v>
      </c>
      <c r="F660" t="s">
        <v>14</v>
      </c>
      <c r="G660" s="1">
        <v>48750</v>
      </c>
      <c r="H660" t="s">
        <v>928</v>
      </c>
      <c r="I660" t="s">
        <v>929</v>
      </c>
      <c r="J660" t="s">
        <v>2175</v>
      </c>
    </row>
    <row r="661" spans="1:10">
      <c r="A661">
        <v>127622</v>
      </c>
      <c r="B661" t="s">
        <v>446</v>
      </c>
      <c r="C661" t="s">
        <v>2176</v>
      </c>
      <c r="D661" t="s">
        <v>12</v>
      </c>
      <c r="E661" t="s">
        <v>2177</v>
      </c>
      <c r="F661" t="s">
        <v>14</v>
      </c>
      <c r="G661" s="1">
        <v>48234.52</v>
      </c>
      <c r="H661" t="s">
        <v>72</v>
      </c>
      <c r="I661" t="s">
        <v>2178</v>
      </c>
      <c r="J661" t="s">
        <v>2179</v>
      </c>
    </row>
    <row r="662" spans="1:10">
      <c r="A662">
        <v>113820</v>
      </c>
      <c r="B662" t="s">
        <v>446</v>
      </c>
      <c r="C662" t="s">
        <v>2180</v>
      </c>
      <c r="D662" t="s">
        <v>12</v>
      </c>
      <c r="E662" t="s">
        <v>2181</v>
      </c>
      <c r="F662" t="s">
        <v>14</v>
      </c>
      <c r="G662" s="1">
        <v>48219.360000000001</v>
      </c>
      <c r="H662" t="s">
        <v>232</v>
      </c>
      <c r="I662" t="s">
        <v>2182</v>
      </c>
      <c r="J662" t="s">
        <v>2183</v>
      </c>
    </row>
    <row r="663" spans="1:10">
      <c r="A663">
        <v>112398</v>
      </c>
      <c r="B663" t="s">
        <v>446</v>
      </c>
      <c r="C663" t="s">
        <v>2184</v>
      </c>
      <c r="D663" t="s">
        <v>124</v>
      </c>
      <c r="E663" t="s">
        <v>2185</v>
      </c>
      <c r="F663" t="s">
        <v>14</v>
      </c>
      <c r="G663" s="1">
        <v>48000</v>
      </c>
      <c r="H663" t="s">
        <v>126</v>
      </c>
      <c r="I663" t="s">
        <v>156</v>
      </c>
      <c r="J663" t="s">
        <v>180</v>
      </c>
    </row>
    <row r="664" spans="1:10">
      <c r="A664">
        <v>147425</v>
      </c>
      <c r="B664" t="s">
        <v>446</v>
      </c>
      <c r="C664" t="s">
        <v>2186</v>
      </c>
      <c r="D664" t="s">
        <v>124</v>
      </c>
      <c r="E664" t="s">
        <v>2187</v>
      </c>
      <c r="F664" t="s">
        <v>14</v>
      </c>
      <c r="G664" s="1">
        <v>48000</v>
      </c>
      <c r="H664" t="s">
        <v>126</v>
      </c>
      <c r="I664" t="s">
        <v>156</v>
      </c>
      <c r="J664" t="s">
        <v>180</v>
      </c>
    </row>
    <row r="665" spans="1:10">
      <c r="A665">
        <v>107958</v>
      </c>
      <c r="B665" t="s">
        <v>446</v>
      </c>
      <c r="C665" t="s">
        <v>2188</v>
      </c>
      <c r="D665" t="s">
        <v>12</v>
      </c>
      <c r="E665" t="s">
        <v>2189</v>
      </c>
      <c r="F665" t="s">
        <v>14</v>
      </c>
      <c r="G665" s="1">
        <v>47511.42</v>
      </c>
      <c r="H665" t="s">
        <v>72</v>
      </c>
      <c r="I665" t="s">
        <v>2190</v>
      </c>
      <c r="J665" t="s">
        <v>2191</v>
      </c>
    </row>
    <row r="666" spans="1:10">
      <c r="A666">
        <v>145199</v>
      </c>
      <c r="B666" t="s">
        <v>446</v>
      </c>
      <c r="C666" t="s">
        <v>2192</v>
      </c>
      <c r="D666" t="s">
        <v>124</v>
      </c>
      <c r="E666" t="s">
        <v>2193</v>
      </c>
      <c r="F666" t="s">
        <v>14</v>
      </c>
      <c r="G666" s="1">
        <v>47448.959999999999</v>
      </c>
      <c r="H666" t="s">
        <v>126</v>
      </c>
      <c r="I666" t="s">
        <v>156</v>
      </c>
      <c r="J666" t="s">
        <v>180</v>
      </c>
    </row>
    <row r="667" spans="1:10">
      <c r="A667">
        <v>144607</v>
      </c>
      <c r="B667" t="s">
        <v>446</v>
      </c>
      <c r="C667" t="s">
        <v>2194</v>
      </c>
      <c r="D667" t="s">
        <v>12</v>
      </c>
      <c r="E667" t="s">
        <v>2195</v>
      </c>
      <c r="F667" t="s">
        <v>14</v>
      </c>
      <c r="G667" s="1">
        <v>47122.8</v>
      </c>
      <c r="H667" t="s">
        <v>56</v>
      </c>
      <c r="I667" t="s">
        <v>2196</v>
      </c>
      <c r="J667" t="s">
        <v>2197</v>
      </c>
    </row>
    <row r="668" spans="1:10">
      <c r="A668">
        <v>128551</v>
      </c>
      <c r="B668" t="s">
        <v>446</v>
      </c>
      <c r="C668" t="s">
        <v>2198</v>
      </c>
      <c r="D668" t="s">
        <v>12</v>
      </c>
      <c r="E668" t="s">
        <v>2199</v>
      </c>
      <c r="F668" t="s">
        <v>14</v>
      </c>
      <c r="G668" s="1">
        <v>46992</v>
      </c>
      <c r="H668" t="s">
        <v>21</v>
      </c>
      <c r="I668" t="s">
        <v>2200</v>
      </c>
      <c r="J668" t="s">
        <v>2201</v>
      </c>
    </row>
    <row r="669" spans="1:10">
      <c r="A669" t="s">
        <v>2202</v>
      </c>
      <c r="B669" t="s">
        <v>446</v>
      </c>
      <c r="C669" t="s">
        <v>2203</v>
      </c>
      <c r="D669" t="s">
        <v>12</v>
      </c>
      <c r="E669" t="s">
        <v>2204</v>
      </c>
      <c r="F669" t="s">
        <v>168</v>
      </c>
      <c r="G669" s="1">
        <v>46518.74</v>
      </c>
      <c r="H669" t="s">
        <v>232</v>
      </c>
      <c r="I669" t="s">
        <v>233</v>
      </c>
      <c r="J669" t="s">
        <v>2169</v>
      </c>
    </row>
    <row r="670" spans="1:10">
      <c r="A670">
        <v>150473</v>
      </c>
      <c r="B670" t="s">
        <v>446</v>
      </c>
      <c r="C670" t="s">
        <v>2205</v>
      </c>
      <c r="D670" t="s">
        <v>124</v>
      </c>
      <c r="E670" t="s">
        <v>2206</v>
      </c>
      <c r="F670" t="s">
        <v>14</v>
      </c>
      <c r="G670" s="1">
        <v>45500</v>
      </c>
      <c r="H670" t="s">
        <v>126</v>
      </c>
      <c r="I670" t="s">
        <v>156</v>
      </c>
      <c r="J670" t="s">
        <v>180</v>
      </c>
    </row>
    <row r="671" spans="1:10">
      <c r="A671">
        <v>147850</v>
      </c>
      <c r="B671" t="s">
        <v>446</v>
      </c>
      <c r="C671" t="s">
        <v>2207</v>
      </c>
      <c r="D671" t="s">
        <v>12</v>
      </c>
      <c r="E671" t="s">
        <v>2208</v>
      </c>
      <c r="F671" t="s">
        <v>14</v>
      </c>
      <c r="G671" s="1">
        <v>45242.96</v>
      </c>
      <c r="H671" t="s">
        <v>777</v>
      </c>
      <c r="I671" t="s">
        <v>2209</v>
      </c>
      <c r="J671" t="s">
        <v>2210</v>
      </c>
    </row>
    <row r="672" spans="1:10">
      <c r="A672">
        <v>148658</v>
      </c>
      <c r="B672" t="s">
        <v>446</v>
      </c>
      <c r="C672" t="s">
        <v>2211</v>
      </c>
      <c r="D672" t="s">
        <v>12</v>
      </c>
      <c r="E672" t="s">
        <v>2212</v>
      </c>
      <c r="F672" t="s">
        <v>14</v>
      </c>
      <c r="G672" s="1">
        <v>44987.25</v>
      </c>
      <c r="H672" t="s">
        <v>437</v>
      </c>
      <c r="I672" t="s">
        <v>1253</v>
      </c>
      <c r="J672" t="s">
        <v>1336</v>
      </c>
    </row>
    <row r="673" spans="1:10">
      <c r="A673">
        <v>100469</v>
      </c>
      <c r="B673" t="s">
        <v>446</v>
      </c>
      <c r="C673" t="s">
        <v>2213</v>
      </c>
      <c r="D673" t="s">
        <v>12</v>
      </c>
      <c r="E673" t="s">
        <v>2214</v>
      </c>
      <c r="F673" t="s">
        <v>14</v>
      </c>
      <c r="G673" s="1">
        <v>44958.45</v>
      </c>
      <c r="H673" t="s">
        <v>333</v>
      </c>
      <c r="I673" t="s">
        <v>334</v>
      </c>
      <c r="J673" t="s">
        <v>2215</v>
      </c>
    </row>
    <row r="674" spans="1:10">
      <c r="A674">
        <v>152202</v>
      </c>
      <c r="B674" t="s">
        <v>446</v>
      </c>
      <c r="C674" t="s">
        <v>2216</v>
      </c>
      <c r="D674" t="s">
        <v>124</v>
      </c>
      <c r="E674" t="s">
        <v>2217</v>
      </c>
      <c r="F674" t="s">
        <v>14</v>
      </c>
      <c r="G674" s="1">
        <v>44750.8</v>
      </c>
      <c r="H674" t="s">
        <v>126</v>
      </c>
      <c r="I674" t="s">
        <v>156</v>
      </c>
      <c r="J674" t="s">
        <v>187</v>
      </c>
    </row>
    <row r="675" spans="1:10">
      <c r="A675">
        <v>124764</v>
      </c>
      <c r="B675" t="s">
        <v>446</v>
      </c>
      <c r="C675" t="s">
        <v>2218</v>
      </c>
      <c r="D675" t="s">
        <v>25</v>
      </c>
      <c r="E675" t="s">
        <v>2219</v>
      </c>
      <c r="F675" t="s">
        <v>14</v>
      </c>
      <c r="G675" s="1">
        <v>44748</v>
      </c>
      <c r="H675" t="s">
        <v>27</v>
      </c>
      <c r="I675" t="s">
        <v>107</v>
      </c>
      <c r="J675" t="s">
        <v>2220</v>
      </c>
    </row>
    <row r="676" spans="1:10">
      <c r="A676">
        <v>150625</v>
      </c>
      <c r="B676" t="s">
        <v>446</v>
      </c>
      <c r="C676" t="s">
        <v>2221</v>
      </c>
      <c r="D676" t="s">
        <v>12</v>
      </c>
      <c r="E676" t="s">
        <v>2222</v>
      </c>
      <c r="F676" t="s">
        <v>14</v>
      </c>
      <c r="G676" s="1">
        <v>44591</v>
      </c>
      <c r="H676" t="s">
        <v>232</v>
      </c>
      <c r="I676" t="s">
        <v>2223</v>
      </c>
      <c r="J676" t="s">
        <v>2224</v>
      </c>
    </row>
    <row r="677" spans="1:10">
      <c r="A677">
        <v>130188</v>
      </c>
      <c r="B677" t="s">
        <v>446</v>
      </c>
      <c r="C677" t="s">
        <v>2225</v>
      </c>
      <c r="D677" t="s">
        <v>12</v>
      </c>
      <c r="E677" t="s">
        <v>2226</v>
      </c>
      <c r="F677" t="s">
        <v>14</v>
      </c>
      <c r="G677" s="1">
        <v>44379</v>
      </c>
      <c r="H677" t="s">
        <v>15</v>
      </c>
      <c r="I677" t="s">
        <v>2227</v>
      </c>
      <c r="J677" t="s">
        <v>2228</v>
      </c>
    </row>
    <row r="678" spans="1:10">
      <c r="A678">
        <v>146213</v>
      </c>
      <c r="B678" t="s">
        <v>446</v>
      </c>
      <c r="C678" t="s">
        <v>2229</v>
      </c>
      <c r="D678" t="s">
        <v>12</v>
      </c>
      <c r="E678" t="s">
        <v>2230</v>
      </c>
      <c r="F678" t="s">
        <v>14</v>
      </c>
      <c r="G678" s="1">
        <v>44320.49</v>
      </c>
      <c r="H678" t="s">
        <v>36</v>
      </c>
      <c r="I678" t="s">
        <v>690</v>
      </c>
      <c r="J678" t="s">
        <v>2231</v>
      </c>
    </row>
    <row r="679" spans="1:10">
      <c r="A679">
        <v>152315</v>
      </c>
      <c r="B679" t="s">
        <v>446</v>
      </c>
      <c r="C679" t="s">
        <v>2232</v>
      </c>
      <c r="D679" t="s">
        <v>12</v>
      </c>
      <c r="E679" t="s">
        <v>2233</v>
      </c>
      <c r="F679" t="s">
        <v>14</v>
      </c>
      <c r="G679" s="1">
        <v>44200</v>
      </c>
      <c r="H679" t="s">
        <v>140</v>
      </c>
      <c r="I679" t="s">
        <v>1890</v>
      </c>
      <c r="J679" t="s">
        <v>1596</v>
      </c>
    </row>
    <row r="680" spans="1:10">
      <c r="A680">
        <v>145838</v>
      </c>
      <c r="B680" t="s">
        <v>446</v>
      </c>
      <c r="C680" t="s">
        <v>2234</v>
      </c>
      <c r="D680" t="s">
        <v>12</v>
      </c>
      <c r="E680" t="s">
        <v>2235</v>
      </c>
      <c r="F680" t="s">
        <v>168</v>
      </c>
      <c r="G680" s="1">
        <v>43250.75</v>
      </c>
      <c r="H680" t="s">
        <v>85</v>
      </c>
      <c r="I680" t="s">
        <v>491</v>
      </c>
      <c r="J680" t="s">
        <v>2236</v>
      </c>
    </row>
    <row r="681" spans="1:10">
      <c r="A681">
        <v>142550</v>
      </c>
      <c r="B681" t="s">
        <v>446</v>
      </c>
      <c r="C681" t="s">
        <v>2237</v>
      </c>
      <c r="D681" t="s">
        <v>124</v>
      </c>
      <c r="E681" t="s">
        <v>2238</v>
      </c>
      <c r="F681" t="s">
        <v>14</v>
      </c>
      <c r="G681" s="1">
        <v>43198</v>
      </c>
      <c r="H681" t="s">
        <v>126</v>
      </c>
      <c r="I681" t="s">
        <v>156</v>
      </c>
      <c r="J681" t="s">
        <v>180</v>
      </c>
    </row>
    <row r="682" spans="1:10">
      <c r="A682">
        <v>101822</v>
      </c>
      <c r="B682" t="s">
        <v>446</v>
      </c>
      <c r="C682" t="s">
        <v>2239</v>
      </c>
      <c r="D682" t="s">
        <v>512</v>
      </c>
      <c r="E682" t="s">
        <v>2240</v>
      </c>
      <c r="F682" t="s">
        <v>14</v>
      </c>
      <c r="G682" s="1">
        <v>43176.75</v>
      </c>
      <c r="H682" t="s">
        <v>232</v>
      </c>
      <c r="I682" t="s">
        <v>2241</v>
      </c>
      <c r="J682" t="s">
        <v>2242</v>
      </c>
    </row>
    <row r="683" spans="1:10">
      <c r="A683">
        <v>116977</v>
      </c>
      <c r="B683" t="s">
        <v>446</v>
      </c>
      <c r="C683" t="s">
        <v>2243</v>
      </c>
      <c r="D683" t="s">
        <v>12</v>
      </c>
      <c r="E683" t="s">
        <v>2244</v>
      </c>
      <c r="F683" t="s">
        <v>14</v>
      </c>
      <c r="G683" s="1">
        <v>43055.72</v>
      </c>
      <c r="H683" t="s">
        <v>36</v>
      </c>
      <c r="I683" t="s">
        <v>690</v>
      </c>
      <c r="J683" t="s">
        <v>2245</v>
      </c>
    </row>
    <row r="684" spans="1:10">
      <c r="A684">
        <v>101390</v>
      </c>
      <c r="B684" t="s">
        <v>446</v>
      </c>
      <c r="C684" t="s">
        <v>2246</v>
      </c>
      <c r="D684" t="s">
        <v>12</v>
      </c>
      <c r="E684" t="s">
        <v>2247</v>
      </c>
      <c r="F684" t="s">
        <v>14</v>
      </c>
      <c r="G684" s="1">
        <v>43000</v>
      </c>
      <c r="H684" t="s">
        <v>95</v>
      </c>
      <c r="I684" t="s">
        <v>96</v>
      </c>
      <c r="J684" t="s">
        <v>2248</v>
      </c>
    </row>
    <row r="685" spans="1:10">
      <c r="A685">
        <v>110586</v>
      </c>
      <c r="B685" t="s">
        <v>446</v>
      </c>
      <c r="C685" t="s">
        <v>2249</v>
      </c>
      <c r="D685" t="s">
        <v>12</v>
      </c>
      <c r="E685" t="s">
        <v>2250</v>
      </c>
      <c r="F685" t="s">
        <v>14</v>
      </c>
      <c r="G685" s="1">
        <v>42955</v>
      </c>
      <c r="H685" t="s">
        <v>437</v>
      </c>
      <c r="I685" t="s">
        <v>1500</v>
      </c>
      <c r="J685" t="s">
        <v>1302</v>
      </c>
    </row>
    <row r="686" spans="1:10">
      <c r="A686">
        <v>144543</v>
      </c>
      <c r="B686" t="s">
        <v>446</v>
      </c>
      <c r="C686" t="s">
        <v>2251</v>
      </c>
      <c r="D686" t="s">
        <v>25</v>
      </c>
      <c r="E686" t="s">
        <v>2252</v>
      </c>
      <c r="F686" t="s">
        <v>14</v>
      </c>
      <c r="G686" s="1">
        <v>42797</v>
      </c>
      <c r="H686" t="s">
        <v>27</v>
      </c>
      <c r="I686" t="s">
        <v>27</v>
      </c>
      <c r="J686" t="s">
        <v>798</v>
      </c>
    </row>
    <row r="687" spans="1:10">
      <c r="A687">
        <v>147225</v>
      </c>
      <c r="B687" t="s">
        <v>446</v>
      </c>
      <c r="C687" t="s">
        <v>2253</v>
      </c>
      <c r="D687" t="s">
        <v>12</v>
      </c>
      <c r="E687" t="s">
        <v>2254</v>
      </c>
      <c r="F687" t="s">
        <v>14</v>
      </c>
      <c r="G687" s="1">
        <v>42731.83</v>
      </c>
      <c r="H687" t="s">
        <v>232</v>
      </c>
      <c r="I687" t="s">
        <v>233</v>
      </c>
      <c r="J687" t="s">
        <v>2255</v>
      </c>
    </row>
    <row r="688" spans="1:10">
      <c r="A688">
        <v>105338</v>
      </c>
      <c r="B688" t="s">
        <v>446</v>
      </c>
      <c r="C688" t="s">
        <v>2256</v>
      </c>
      <c r="D688" t="s">
        <v>124</v>
      </c>
      <c r="E688" t="s">
        <v>2257</v>
      </c>
      <c r="F688" t="s">
        <v>14</v>
      </c>
      <c r="G688" s="1">
        <v>42578.7</v>
      </c>
      <c r="H688" t="s">
        <v>126</v>
      </c>
      <c r="I688" t="s">
        <v>156</v>
      </c>
      <c r="J688" t="s">
        <v>180</v>
      </c>
    </row>
    <row r="689" spans="1:10">
      <c r="A689">
        <v>130029</v>
      </c>
      <c r="B689" t="s">
        <v>446</v>
      </c>
      <c r="C689" t="s">
        <v>2258</v>
      </c>
      <c r="D689" t="s">
        <v>12</v>
      </c>
      <c r="E689" t="s">
        <v>2259</v>
      </c>
      <c r="F689" t="s">
        <v>14</v>
      </c>
      <c r="G689" s="1">
        <v>42539.86</v>
      </c>
      <c r="H689" t="s">
        <v>777</v>
      </c>
      <c r="I689" t="s">
        <v>2260</v>
      </c>
      <c r="J689" t="s">
        <v>2261</v>
      </c>
    </row>
    <row r="690" spans="1:10">
      <c r="A690">
        <v>128653</v>
      </c>
      <c r="B690" t="s">
        <v>446</v>
      </c>
      <c r="C690" t="s">
        <v>2262</v>
      </c>
      <c r="D690" t="s">
        <v>12</v>
      </c>
      <c r="E690" t="s">
        <v>2263</v>
      </c>
      <c r="F690" t="s">
        <v>14</v>
      </c>
      <c r="G690" s="1">
        <v>42222.5</v>
      </c>
      <c r="H690" t="s">
        <v>85</v>
      </c>
      <c r="I690" t="s">
        <v>2264</v>
      </c>
      <c r="J690" t="s">
        <v>2265</v>
      </c>
    </row>
    <row r="691" spans="1:10">
      <c r="A691">
        <v>123800</v>
      </c>
      <c r="B691" t="s">
        <v>446</v>
      </c>
      <c r="C691" t="s">
        <v>2266</v>
      </c>
      <c r="D691" t="s">
        <v>12</v>
      </c>
      <c r="E691" t="s">
        <v>2267</v>
      </c>
      <c r="F691" t="s">
        <v>14</v>
      </c>
      <c r="G691" s="1">
        <v>42056.04</v>
      </c>
      <c r="H691" t="s">
        <v>56</v>
      </c>
      <c r="I691" t="s">
        <v>2268</v>
      </c>
      <c r="J691" t="s">
        <v>2269</v>
      </c>
    </row>
    <row r="692" spans="1:10">
      <c r="A692">
        <v>150388</v>
      </c>
      <c r="B692" t="s">
        <v>446</v>
      </c>
      <c r="C692" t="s">
        <v>2270</v>
      </c>
      <c r="D692" t="s">
        <v>124</v>
      </c>
      <c r="E692" t="s">
        <v>2271</v>
      </c>
      <c r="F692" t="s">
        <v>14</v>
      </c>
      <c r="G692" s="1">
        <v>42000</v>
      </c>
      <c r="H692" t="s">
        <v>126</v>
      </c>
      <c r="I692" t="s">
        <v>156</v>
      </c>
      <c r="J692" t="s">
        <v>180</v>
      </c>
    </row>
    <row r="693" spans="1:10">
      <c r="A693">
        <v>132379</v>
      </c>
      <c r="B693" t="s">
        <v>446</v>
      </c>
      <c r="C693" t="s">
        <v>2272</v>
      </c>
      <c r="D693" t="s">
        <v>12</v>
      </c>
      <c r="E693" t="s">
        <v>2273</v>
      </c>
      <c r="F693" t="s">
        <v>14</v>
      </c>
      <c r="G693" s="1">
        <v>42000</v>
      </c>
      <c r="H693" t="s">
        <v>777</v>
      </c>
      <c r="I693" t="s">
        <v>2274</v>
      </c>
      <c r="J693" t="s">
        <v>2275</v>
      </c>
    </row>
    <row r="694" spans="1:10">
      <c r="A694">
        <v>124225</v>
      </c>
      <c r="B694" t="s">
        <v>446</v>
      </c>
      <c r="C694" t="s">
        <v>2276</v>
      </c>
      <c r="D694" t="s">
        <v>12</v>
      </c>
      <c r="E694" t="s">
        <v>2277</v>
      </c>
      <c r="F694" t="s">
        <v>14</v>
      </c>
      <c r="G694" s="1">
        <v>41999.49</v>
      </c>
      <c r="H694" t="s">
        <v>140</v>
      </c>
      <c r="I694" t="s">
        <v>141</v>
      </c>
      <c r="J694" t="s">
        <v>2278</v>
      </c>
    </row>
    <row r="695" spans="1:10">
      <c r="A695">
        <v>124026</v>
      </c>
      <c r="B695" t="s">
        <v>446</v>
      </c>
      <c r="C695" t="s">
        <v>2279</v>
      </c>
      <c r="D695" t="s">
        <v>12</v>
      </c>
      <c r="E695" t="s">
        <v>2280</v>
      </c>
      <c r="F695" t="s">
        <v>14</v>
      </c>
      <c r="G695" s="1">
        <v>41676.410000000003</v>
      </c>
      <c r="H695" t="s">
        <v>140</v>
      </c>
      <c r="I695" t="s">
        <v>1704</v>
      </c>
      <c r="J695" t="s">
        <v>2281</v>
      </c>
    </row>
    <row r="696" spans="1:10">
      <c r="A696">
        <v>150019</v>
      </c>
      <c r="B696" t="s">
        <v>446</v>
      </c>
      <c r="C696" t="s">
        <v>2282</v>
      </c>
      <c r="D696" t="s">
        <v>331</v>
      </c>
      <c r="E696" t="s">
        <v>2283</v>
      </c>
      <c r="F696" t="s">
        <v>14</v>
      </c>
      <c r="G696" s="1">
        <v>41604</v>
      </c>
      <c r="H696" t="s">
        <v>333</v>
      </c>
      <c r="I696" t="s">
        <v>333</v>
      </c>
      <c r="J696" t="s">
        <v>2284</v>
      </c>
    </row>
    <row r="697" spans="1:10">
      <c r="A697">
        <v>151563</v>
      </c>
      <c r="B697" t="s">
        <v>446</v>
      </c>
      <c r="C697" t="s">
        <v>2285</v>
      </c>
      <c r="D697" t="s">
        <v>12</v>
      </c>
      <c r="E697" t="s">
        <v>2286</v>
      </c>
      <c r="F697" t="s">
        <v>14</v>
      </c>
      <c r="G697" s="1">
        <v>41475.089999999997</v>
      </c>
      <c r="H697" t="s">
        <v>333</v>
      </c>
      <c r="I697" t="s">
        <v>1756</v>
      </c>
      <c r="J697" t="s">
        <v>2287</v>
      </c>
    </row>
    <row r="698" spans="1:10">
      <c r="A698" t="s">
        <v>2288</v>
      </c>
      <c r="B698" t="s">
        <v>446</v>
      </c>
      <c r="C698" t="s">
        <v>2289</v>
      </c>
      <c r="D698" t="s">
        <v>12</v>
      </c>
      <c r="E698" t="s">
        <v>2290</v>
      </c>
      <c r="F698" t="s">
        <v>168</v>
      </c>
      <c r="G698" s="1">
        <v>41266.1</v>
      </c>
      <c r="H698" t="s">
        <v>15</v>
      </c>
      <c r="I698" t="s">
        <v>2291</v>
      </c>
      <c r="J698" t="s">
        <v>2292</v>
      </c>
    </row>
    <row r="699" spans="1:10">
      <c r="A699">
        <v>124830</v>
      </c>
      <c r="B699" t="s">
        <v>446</v>
      </c>
      <c r="C699" t="s">
        <v>2293</v>
      </c>
      <c r="D699" t="s">
        <v>12</v>
      </c>
      <c r="E699" t="s">
        <v>2294</v>
      </c>
      <c r="F699" t="s">
        <v>14</v>
      </c>
      <c r="G699" s="1">
        <v>40696.769999999997</v>
      </c>
      <c r="H699" t="s">
        <v>1378</v>
      </c>
      <c r="I699" t="s">
        <v>2295</v>
      </c>
      <c r="J699" t="s">
        <v>2296</v>
      </c>
    </row>
    <row r="700" spans="1:10">
      <c r="A700">
        <v>123453</v>
      </c>
      <c r="B700" t="s">
        <v>446</v>
      </c>
      <c r="C700" t="s">
        <v>2297</v>
      </c>
      <c r="D700" t="s">
        <v>12</v>
      </c>
      <c r="E700" t="s">
        <v>2298</v>
      </c>
      <c r="F700" t="s">
        <v>14</v>
      </c>
      <c r="G700" s="1">
        <v>40641.06</v>
      </c>
      <c r="H700" t="s">
        <v>36</v>
      </c>
      <c r="I700" t="s">
        <v>2299</v>
      </c>
      <c r="J700" t="s">
        <v>2300</v>
      </c>
    </row>
    <row r="701" spans="1:10">
      <c r="A701">
        <v>144773</v>
      </c>
      <c r="B701" t="s">
        <v>446</v>
      </c>
      <c r="C701" t="s">
        <v>2301</v>
      </c>
      <c r="D701" t="s">
        <v>12</v>
      </c>
      <c r="E701" t="s">
        <v>2302</v>
      </c>
      <c r="F701" t="s">
        <v>14</v>
      </c>
      <c r="G701" s="1">
        <v>40500</v>
      </c>
      <c r="H701" t="s">
        <v>56</v>
      </c>
      <c r="I701" t="s">
        <v>2303</v>
      </c>
      <c r="J701" t="s">
        <v>2304</v>
      </c>
    </row>
    <row r="702" spans="1:10">
      <c r="A702">
        <v>102302</v>
      </c>
      <c r="B702" t="s">
        <v>446</v>
      </c>
      <c r="C702" t="s">
        <v>2305</v>
      </c>
      <c r="D702" t="s">
        <v>12</v>
      </c>
      <c r="E702" t="s">
        <v>2306</v>
      </c>
      <c r="F702" t="s">
        <v>14</v>
      </c>
      <c r="G702" s="1">
        <v>40175</v>
      </c>
      <c r="H702" t="s">
        <v>777</v>
      </c>
      <c r="I702" t="s">
        <v>2307</v>
      </c>
      <c r="J702" t="s">
        <v>2308</v>
      </c>
    </row>
    <row r="703" spans="1:10">
      <c r="A703" t="s">
        <v>2309</v>
      </c>
      <c r="B703" t="s">
        <v>446</v>
      </c>
      <c r="C703" t="s">
        <v>2310</v>
      </c>
      <c r="D703" t="s">
        <v>12</v>
      </c>
      <c r="E703" t="s">
        <v>2311</v>
      </c>
      <c r="F703" t="s">
        <v>168</v>
      </c>
      <c r="G703" s="1">
        <v>39953.440000000002</v>
      </c>
      <c r="H703" t="s">
        <v>85</v>
      </c>
      <c r="I703" t="s">
        <v>2312</v>
      </c>
      <c r="J703" t="s">
        <v>2313</v>
      </c>
    </row>
    <row r="704" spans="1:10">
      <c r="A704">
        <v>116394</v>
      </c>
      <c r="B704" t="s">
        <v>446</v>
      </c>
      <c r="C704" t="s">
        <v>2314</v>
      </c>
      <c r="D704" t="s">
        <v>12</v>
      </c>
      <c r="E704" t="s">
        <v>2315</v>
      </c>
      <c r="F704" t="s">
        <v>14</v>
      </c>
      <c r="G704" s="1">
        <v>39947.06</v>
      </c>
      <c r="H704" t="s">
        <v>140</v>
      </c>
      <c r="I704" t="s">
        <v>2316</v>
      </c>
      <c r="J704" t="s">
        <v>2317</v>
      </c>
    </row>
    <row r="705" spans="1:10">
      <c r="A705">
        <v>150952</v>
      </c>
      <c r="B705" t="s">
        <v>446</v>
      </c>
      <c r="C705" t="s">
        <v>2318</v>
      </c>
      <c r="D705" t="s">
        <v>12</v>
      </c>
      <c r="E705" t="s">
        <v>2319</v>
      </c>
      <c r="F705" t="s">
        <v>14</v>
      </c>
      <c r="G705" s="1">
        <v>39890</v>
      </c>
      <c r="H705" t="s">
        <v>21</v>
      </c>
      <c r="I705" t="s">
        <v>2320</v>
      </c>
      <c r="J705" t="s">
        <v>2321</v>
      </c>
    </row>
    <row r="706" spans="1:10">
      <c r="A706">
        <v>121598</v>
      </c>
      <c r="B706" t="s">
        <v>446</v>
      </c>
      <c r="C706" t="s">
        <v>2322</v>
      </c>
      <c r="D706" t="s">
        <v>12</v>
      </c>
      <c r="E706" t="s">
        <v>2323</v>
      </c>
      <c r="F706" t="s">
        <v>14</v>
      </c>
      <c r="G706" s="1">
        <v>39840</v>
      </c>
      <c r="H706" t="s">
        <v>437</v>
      </c>
      <c r="I706" t="s">
        <v>2324</v>
      </c>
      <c r="J706" t="s">
        <v>2325</v>
      </c>
    </row>
    <row r="707" spans="1:10">
      <c r="A707">
        <v>142271</v>
      </c>
      <c r="B707" t="s">
        <v>446</v>
      </c>
      <c r="C707" t="s">
        <v>2326</v>
      </c>
      <c r="D707" t="s">
        <v>124</v>
      </c>
      <c r="E707" t="s">
        <v>2327</v>
      </c>
      <c r="F707" t="s">
        <v>14</v>
      </c>
      <c r="G707" s="1">
        <v>39703.11</v>
      </c>
      <c r="H707" t="s">
        <v>126</v>
      </c>
      <c r="I707" t="s">
        <v>156</v>
      </c>
      <c r="J707" t="s">
        <v>180</v>
      </c>
    </row>
    <row r="708" spans="1:10">
      <c r="A708">
        <v>113639</v>
      </c>
      <c r="B708" t="s">
        <v>446</v>
      </c>
      <c r="C708" t="s">
        <v>2328</v>
      </c>
      <c r="D708" t="s">
        <v>12</v>
      </c>
      <c r="E708" t="s">
        <v>2329</v>
      </c>
      <c r="F708" t="s">
        <v>14</v>
      </c>
      <c r="G708" s="1">
        <v>39528.160000000003</v>
      </c>
      <c r="H708" t="s">
        <v>36</v>
      </c>
      <c r="I708" t="s">
        <v>2330</v>
      </c>
      <c r="J708" t="s">
        <v>2331</v>
      </c>
    </row>
    <row r="709" spans="1:10">
      <c r="A709">
        <v>140073</v>
      </c>
      <c r="B709" t="s">
        <v>446</v>
      </c>
      <c r="C709" t="s">
        <v>2332</v>
      </c>
      <c r="D709" t="s">
        <v>12</v>
      </c>
      <c r="E709" t="s">
        <v>2333</v>
      </c>
      <c r="F709" t="s">
        <v>14</v>
      </c>
      <c r="G709" s="1">
        <v>39318.720000000001</v>
      </c>
      <c r="H709" t="s">
        <v>36</v>
      </c>
      <c r="I709" t="s">
        <v>2334</v>
      </c>
      <c r="J709" t="s">
        <v>2335</v>
      </c>
    </row>
    <row r="710" spans="1:10">
      <c r="A710">
        <v>150995</v>
      </c>
      <c r="B710" t="s">
        <v>446</v>
      </c>
      <c r="C710" t="s">
        <v>2336</v>
      </c>
      <c r="D710" t="s">
        <v>12</v>
      </c>
      <c r="E710" t="s">
        <v>2337</v>
      </c>
      <c r="F710" t="s">
        <v>14</v>
      </c>
      <c r="G710" s="1">
        <v>39300</v>
      </c>
      <c r="H710" t="s">
        <v>85</v>
      </c>
      <c r="I710" t="s">
        <v>2338</v>
      </c>
      <c r="J710" t="s">
        <v>2339</v>
      </c>
    </row>
    <row r="711" spans="1:10">
      <c r="A711">
        <v>128087</v>
      </c>
      <c r="B711" t="s">
        <v>446</v>
      </c>
      <c r="C711" t="s">
        <v>2340</v>
      </c>
      <c r="D711" t="s">
        <v>12</v>
      </c>
      <c r="E711" t="s">
        <v>2341</v>
      </c>
      <c r="F711" t="s">
        <v>14</v>
      </c>
      <c r="G711" s="1">
        <v>39269.089999999997</v>
      </c>
      <c r="H711" t="s">
        <v>36</v>
      </c>
      <c r="I711" t="s">
        <v>690</v>
      </c>
      <c r="J711" t="s">
        <v>2342</v>
      </c>
    </row>
    <row r="712" spans="1:10">
      <c r="A712">
        <v>148742</v>
      </c>
      <c r="B712" t="s">
        <v>446</v>
      </c>
      <c r="C712" t="s">
        <v>2343</v>
      </c>
      <c r="D712" t="s">
        <v>124</v>
      </c>
      <c r="E712" t="s">
        <v>2344</v>
      </c>
      <c r="F712" t="s">
        <v>14</v>
      </c>
      <c r="G712" s="1">
        <v>39064.519999999997</v>
      </c>
      <c r="H712" t="s">
        <v>126</v>
      </c>
      <c r="I712" t="s">
        <v>2345</v>
      </c>
      <c r="J712" t="s">
        <v>2346</v>
      </c>
    </row>
    <row r="713" spans="1:10">
      <c r="A713">
        <v>141443</v>
      </c>
      <c r="B713" t="s">
        <v>446</v>
      </c>
      <c r="C713" t="s">
        <v>2347</v>
      </c>
      <c r="D713" t="s">
        <v>12</v>
      </c>
      <c r="E713" t="s">
        <v>2348</v>
      </c>
      <c r="F713" t="s">
        <v>14</v>
      </c>
      <c r="G713" s="1">
        <v>38913.75</v>
      </c>
      <c r="H713" t="s">
        <v>95</v>
      </c>
      <c r="I713" t="s">
        <v>506</v>
      </c>
      <c r="J713" t="s">
        <v>1522</v>
      </c>
    </row>
    <row r="714" spans="1:10">
      <c r="A714">
        <v>104286</v>
      </c>
      <c r="B714" t="s">
        <v>446</v>
      </c>
      <c r="C714" t="s">
        <v>2349</v>
      </c>
      <c r="D714" t="s">
        <v>12</v>
      </c>
      <c r="E714" t="s">
        <v>2350</v>
      </c>
      <c r="F714" t="s">
        <v>14</v>
      </c>
      <c r="G714" s="1">
        <v>38631.26</v>
      </c>
      <c r="H714" t="s">
        <v>72</v>
      </c>
      <c r="I714" t="s">
        <v>2351</v>
      </c>
      <c r="J714" t="s">
        <v>2352</v>
      </c>
    </row>
    <row r="715" spans="1:10">
      <c r="A715">
        <v>141077</v>
      </c>
      <c r="B715" t="s">
        <v>446</v>
      </c>
      <c r="C715" t="s">
        <v>2353</v>
      </c>
      <c r="D715" t="s">
        <v>12</v>
      </c>
      <c r="E715" t="s">
        <v>2354</v>
      </c>
      <c r="F715" t="s">
        <v>14</v>
      </c>
      <c r="G715" s="1">
        <v>38623.43</v>
      </c>
      <c r="H715" t="s">
        <v>95</v>
      </c>
      <c r="I715" t="s">
        <v>2355</v>
      </c>
      <c r="J715" t="s">
        <v>2356</v>
      </c>
    </row>
    <row r="716" spans="1:10">
      <c r="A716">
        <v>123691</v>
      </c>
      <c r="B716" t="s">
        <v>446</v>
      </c>
      <c r="C716" t="s">
        <v>2357</v>
      </c>
      <c r="D716" t="s">
        <v>12</v>
      </c>
      <c r="E716" t="s">
        <v>2358</v>
      </c>
      <c r="F716" t="s">
        <v>14</v>
      </c>
      <c r="G716" s="1">
        <v>38071.39</v>
      </c>
      <c r="H716" t="s">
        <v>232</v>
      </c>
      <c r="I716" t="s">
        <v>233</v>
      </c>
      <c r="J716" t="s">
        <v>2359</v>
      </c>
    </row>
    <row r="717" spans="1:10">
      <c r="A717">
        <v>143800</v>
      </c>
      <c r="B717" t="s">
        <v>446</v>
      </c>
      <c r="C717" t="s">
        <v>2360</v>
      </c>
      <c r="D717" t="s">
        <v>124</v>
      </c>
      <c r="E717" t="s">
        <v>2361</v>
      </c>
      <c r="F717" t="s">
        <v>14</v>
      </c>
      <c r="G717" s="1">
        <v>37680</v>
      </c>
      <c r="H717" t="s">
        <v>126</v>
      </c>
      <c r="I717" t="s">
        <v>156</v>
      </c>
      <c r="J717" t="s">
        <v>180</v>
      </c>
    </row>
    <row r="718" spans="1:10">
      <c r="A718" t="s">
        <v>2362</v>
      </c>
      <c r="B718" t="s">
        <v>446</v>
      </c>
      <c r="C718" t="s">
        <v>2363</v>
      </c>
      <c r="D718" t="s">
        <v>12</v>
      </c>
      <c r="E718" t="s">
        <v>2364</v>
      </c>
      <c r="F718" t="s">
        <v>168</v>
      </c>
      <c r="G718" s="1">
        <v>37515.82</v>
      </c>
      <c r="H718" t="s">
        <v>36</v>
      </c>
      <c r="I718" t="s">
        <v>690</v>
      </c>
      <c r="J718" t="s">
        <v>2365</v>
      </c>
    </row>
    <row r="719" spans="1:10">
      <c r="A719">
        <v>102965</v>
      </c>
      <c r="B719" t="s">
        <v>446</v>
      </c>
      <c r="C719" t="s">
        <v>2366</v>
      </c>
      <c r="D719" t="s">
        <v>12</v>
      </c>
      <c r="E719" t="s">
        <v>2367</v>
      </c>
      <c r="F719" t="s">
        <v>14</v>
      </c>
      <c r="G719" s="1">
        <v>37512.980000000003</v>
      </c>
      <c r="H719" t="s">
        <v>56</v>
      </c>
      <c r="I719" t="s">
        <v>2368</v>
      </c>
      <c r="J719" t="s">
        <v>2369</v>
      </c>
    </row>
    <row r="720" spans="1:10">
      <c r="A720">
        <v>143369</v>
      </c>
      <c r="B720" t="s">
        <v>446</v>
      </c>
      <c r="C720" t="s">
        <v>2370</v>
      </c>
      <c r="D720" t="s">
        <v>12</v>
      </c>
      <c r="E720" t="s">
        <v>2371</v>
      </c>
      <c r="F720" t="s">
        <v>14</v>
      </c>
      <c r="G720" s="1">
        <v>37414.54</v>
      </c>
      <c r="H720" t="s">
        <v>85</v>
      </c>
      <c r="I720" t="s">
        <v>2372</v>
      </c>
      <c r="J720" t="s">
        <v>2373</v>
      </c>
    </row>
    <row r="721" spans="1:10">
      <c r="A721">
        <v>120247</v>
      </c>
      <c r="B721" t="s">
        <v>446</v>
      </c>
      <c r="C721" t="s">
        <v>2374</v>
      </c>
      <c r="D721" t="s">
        <v>331</v>
      </c>
      <c r="E721" t="s">
        <v>2375</v>
      </c>
      <c r="F721" t="s">
        <v>14</v>
      </c>
      <c r="G721" s="1">
        <v>37407.83</v>
      </c>
      <c r="H721" t="s">
        <v>333</v>
      </c>
      <c r="I721" t="s">
        <v>334</v>
      </c>
      <c r="J721" t="s">
        <v>2376</v>
      </c>
    </row>
    <row r="722" spans="1:10">
      <c r="A722">
        <v>122349</v>
      </c>
      <c r="B722" t="s">
        <v>446</v>
      </c>
      <c r="C722" t="s">
        <v>2377</v>
      </c>
      <c r="D722" t="s">
        <v>124</v>
      </c>
      <c r="E722" t="s">
        <v>2378</v>
      </c>
      <c r="F722" t="s">
        <v>14</v>
      </c>
      <c r="G722" s="1">
        <v>37200</v>
      </c>
      <c r="H722" t="s">
        <v>126</v>
      </c>
      <c r="I722" t="s">
        <v>156</v>
      </c>
      <c r="J722" t="s">
        <v>180</v>
      </c>
    </row>
    <row r="723" spans="1:10">
      <c r="A723">
        <v>104283</v>
      </c>
      <c r="B723" t="s">
        <v>446</v>
      </c>
      <c r="C723" t="s">
        <v>2379</v>
      </c>
      <c r="D723" t="s">
        <v>12</v>
      </c>
      <c r="E723" t="s">
        <v>2380</v>
      </c>
      <c r="F723" t="s">
        <v>14</v>
      </c>
      <c r="G723" s="1">
        <v>37141.050000000003</v>
      </c>
      <c r="H723" t="s">
        <v>85</v>
      </c>
      <c r="I723" t="s">
        <v>2381</v>
      </c>
      <c r="J723" t="s">
        <v>2382</v>
      </c>
    </row>
    <row r="724" spans="1:10">
      <c r="A724">
        <v>129900</v>
      </c>
      <c r="B724" t="s">
        <v>446</v>
      </c>
      <c r="C724" t="s">
        <v>2383</v>
      </c>
      <c r="D724" t="s">
        <v>12</v>
      </c>
      <c r="E724" t="s">
        <v>2384</v>
      </c>
      <c r="F724" t="s">
        <v>14</v>
      </c>
      <c r="G724" s="1">
        <v>36932.85</v>
      </c>
      <c r="H724" t="s">
        <v>27</v>
      </c>
      <c r="I724" t="s">
        <v>2385</v>
      </c>
      <c r="J724" t="s">
        <v>2386</v>
      </c>
    </row>
    <row r="725" spans="1:10">
      <c r="A725">
        <v>129089</v>
      </c>
      <c r="B725" t="s">
        <v>446</v>
      </c>
      <c r="C725" t="s">
        <v>2387</v>
      </c>
      <c r="D725" t="s">
        <v>12</v>
      </c>
      <c r="E725" t="s">
        <v>2388</v>
      </c>
      <c r="F725" t="s">
        <v>14</v>
      </c>
      <c r="G725" s="1">
        <v>36740.300000000003</v>
      </c>
      <c r="H725" t="s">
        <v>95</v>
      </c>
      <c r="I725" t="s">
        <v>1596</v>
      </c>
      <c r="J725" t="s">
        <v>2389</v>
      </c>
    </row>
    <row r="726" spans="1:10">
      <c r="A726">
        <v>127568</v>
      </c>
      <c r="B726" t="s">
        <v>446</v>
      </c>
      <c r="C726" t="s">
        <v>2390</v>
      </c>
      <c r="D726" t="s">
        <v>12</v>
      </c>
      <c r="E726" t="s">
        <v>2391</v>
      </c>
      <c r="F726" t="s">
        <v>14</v>
      </c>
      <c r="G726" s="1">
        <v>36692.9</v>
      </c>
      <c r="H726" t="s">
        <v>232</v>
      </c>
      <c r="I726" t="s">
        <v>233</v>
      </c>
      <c r="J726" t="s">
        <v>2392</v>
      </c>
    </row>
    <row r="727" spans="1:10">
      <c r="A727">
        <v>148659</v>
      </c>
      <c r="B727" t="s">
        <v>446</v>
      </c>
      <c r="C727" t="s">
        <v>2393</v>
      </c>
      <c r="D727" t="s">
        <v>124</v>
      </c>
      <c r="E727" t="s">
        <v>2394</v>
      </c>
      <c r="F727" t="s">
        <v>14</v>
      </c>
      <c r="G727" s="1">
        <v>36540</v>
      </c>
      <c r="H727" t="s">
        <v>126</v>
      </c>
      <c r="I727" t="s">
        <v>156</v>
      </c>
      <c r="J727" t="s">
        <v>180</v>
      </c>
    </row>
    <row r="728" spans="1:10">
      <c r="A728">
        <v>115301</v>
      </c>
      <c r="B728" t="s">
        <v>446</v>
      </c>
      <c r="C728" t="s">
        <v>2395</v>
      </c>
      <c r="D728" t="s">
        <v>12</v>
      </c>
      <c r="E728" t="s">
        <v>2396</v>
      </c>
      <c r="F728" t="s">
        <v>14</v>
      </c>
      <c r="G728" s="1">
        <v>36493.42</v>
      </c>
      <c r="H728" t="s">
        <v>85</v>
      </c>
      <c r="I728" t="s">
        <v>2397</v>
      </c>
      <c r="J728" t="s">
        <v>2398</v>
      </c>
    </row>
    <row r="729" spans="1:10">
      <c r="A729">
        <v>113315</v>
      </c>
      <c r="B729" t="s">
        <v>446</v>
      </c>
      <c r="C729" t="s">
        <v>2399</v>
      </c>
      <c r="D729" t="s">
        <v>12</v>
      </c>
      <c r="E729" t="s">
        <v>2400</v>
      </c>
      <c r="F729" t="s">
        <v>14</v>
      </c>
      <c r="G729" s="1">
        <v>36250</v>
      </c>
      <c r="H729" t="s">
        <v>140</v>
      </c>
      <c r="I729" t="s">
        <v>1748</v>
      </c>
      <c r="J729" t="s">
        <v>2401</v>
      </c>
    </row>
    <row r="730" spans="1:10">
      <c r="A730">
        <v>119737</v>
      </c>
      <c r="B730" t="s">
        <v>446</v>
      </c>
      <c r="C730" t="s">
        <v>2402</v>
      </c>
      <c r="D730" t="s">
        <v>12</v>
      </c>
      <c r="E730" t="s">
        <v>2403</v>
      </c>
      <c r="F730" t="s">
        <v>14</v>
      </c>
      <c r="G730" s="1">
        <v>36184.74</v>
      </c>
      <c r="H730" t="s">
        <v>56</v>
      </c>
      <c r="I730" t="s">
        <v>1736</v>
      </c>
      <c r="J730" t="s">
        <v>2404</v>
      </c>
    </row>
    <row r="731" spans="1:10">
      <c r="A731">
        <v>148487</v>
      </c>
      <c r="B731" t="s">
        <v>446</v>
      </c>
      <c r="C731" t="s">
        <v>2405</v>
      </c>
      <c r="D731" t="s">
        <v>124</v>
      </c>
      <c r="E731" t="s">
        <v>2406</v>
      </c>
      <c r="F731" t="s">
        <v>14</v>
      </c>
      <c r="G731" s="1">
        <v>36000</v>
      </c>
      <c r="H731" t="s">
        <v>126</v>
      </c>
      <c r="I731" t="s">
        <v>2407</v>
      </c>
    </row>
    <row r="732" spans="1:10">
      <c r="A732">
        <v>148271</v>
      </c>
      <c r="B732" t="s">
        <v>446</v>
      </c>
      <c r="C732" t="s">
        <v>2408</v>
      </c>
      <c r="D732" t="s">
        <v>124</v>
      </c>
      <c r="E732" t="s">
        <v>2409</v>
      </c>
      <c r="F732" t="s">
        <v>14</v>
      </c>
      <c r="G732" s="1">
        <v>36000</v>
      </c>
      <c r="H732" t="s">
        <v>126</v>
      </c>
      <c r="I732" t="s">
        <v>156</v>
      </c>
      <c r="J732" t="s">
        <v>180</v>
      </c>
    </row>
    <row r="733" spans="1:10">
      <c r="A733">
        <v>146083</v>
      </c>
      <c r="B733" t="s">
        <v>446</v>
      </c>
      <c r="C733" t="s">
        <v>2410</v>
      </c>
      <c r="D733" t="s">
        <v>124</v>
      </c>
      <c r="E733" t="s">
        <v>2411</v>
      </c>
      <c r="F733" t="s">
        <v>14</v>
      </c>
      <c r="G733" s="1">
        <v>36000</v>
      </c>
      <c r="H733" t="s">
        <v>126</v>
      </c>
      <c r="I733" t="s">
        <v>156</v>
      </c>
      <c r="J733" t="s">
        <v>180</v>
      </c>
    </row>
    <row r="734" spans="1:10">
      <c r="A734">
        <v>130348</v>
      </c>
      <c r="B734" t="s">
        <v>446</v>
      </c>
      <c r="C734" t="s">
        <v>2412</v>
      </c>
      <c r="D734" t="s">
        <v>124</v>
      </c>
      <c r="E734" t="s">
        <v>2413</v>
      </c>
      <c r="F734" t="s">
        <v>14</v>
      </c>
      <c r="G734" s="1">
        <v>36000</v>
      </c>
      <c r="H734" t="s">
        <v>126</v>
      </c>
      <c r="I734" t="s">
        <v>156</v>
      </c>
      <c r="J734" t="s">
        <v>180</v>
      </c>
    </row>
    <row r="735" spans="1:10">
      <c r="A735">
        <v>140138</v>
      </c>
      <c r="B735" t="s">
        <v>446</v>
      </c>
      <c r="C735" t="s">
        <v>2414</v>
      </c>
      <c r="D735" t="s">
        <v>124</v>
      </c>
      <c r="E735" t="s">
        <v>2415</v>
      </c>
      <c r="F735" t="s">
        <v>14</v>
      </c>
      <c r="G735" s="1">
        <v>36000</v>
      </c>
      <c r="H735" t="s">
        <v>126</v>
      </c>
      <c r="I735" t="s">
        <v>156</v>
      </c>
      <c r="J735" t="s">
        <v>187</v>
      </c>
    </row>
    <row r="736" spans="1:10">
      <c r="A736">
        <v>113494</v>
      </c>
      <c r="B736" t="s">
        <v>446</v>
      </c>
      <c r="C736" t="s">
        <v>2416</v>
      </c>
      <c r="D736" t="s">
        <v>12</v>
      </c>
      <c r="E736" t="s">
        <v>2417</v>
      </c>
      <c r="F736" t="s">
        <v>14</v>
      </c>
      <c r="G736" s="1">
        <v>35718.32</v>
      </c>
      <c r="H736" t="s">
        <v>777</v>
      </c>
      <c r="I736" t="s">
        <v>2418</v>
      </c>
      <c r="J736" t="s">
        <v>2419</v>
      </c>
    </row>
    <row r="737" spans="1:10">
      <c r="A737">
        <v>117102</v>
      </c>
      <c r="B737" t="s">
        <v>446</v>
      </c>
      <c r="C737" t="s">
        <v>2420</v>
      </c>
      <c r="D737" t="s">
        <v>12</v>
      </c>
      <c r="E737" t="s">
        <v>2421</v>
      </c>
      <c r="F737" t="s">
        <v>14</v>
      </c>
      <c r="G737" s="1">
        <v>35412.83</v>
      </c>
      <c r="H737" t="s">
        <v>1378</v>
      </c>
      <c r="I737" t="s">
        <v>1379</v>
      </c>
      <c r="J737" t="s">
        <v>2422</v>
      </c>
    </row>
    <row r="738" spans="1:10">
      <c r="A738">
        <v>147325</v>
      </c>
      <c r="B738" t="s">
        <v>446</v>
      </c>
      <c r="C738" t="s">
        <v>2423</v>
      </c>
      <c r="D738" t="s">
        <v>12</v>
      </c>
      <c r="E738" t="s">
        <v>2424</v>
      </c>
      <c r="F738" t="s">
        <v>14</v>
      </c>
      <c r="G738" s="1">
        <v>35068.92</v>
      </c>
      <c r="H738" t="s">
        <v>918</v>
      </c>
      <c r="I738" t="s">
        <v>919</v>
      </c>
      <c r="J738" t="s">
        <v>2425</v>
      </c>
    </row>
    <row r="739" spans="1:10">
      <c r="A739">
        <v>126383</v>
      </c>
      <c r="B739" t="s">
        <v>446</v>
      </c>
      <c r="C739" t="s">
        <v>2426</v>
      </c>
      <c r="D739" t="s">
        <v>12</v>
      </c>
      <c r="E739" t="s">
        <v>2427</v>
      </c>
      <c r="F739" t="s">
        <v>14</v>
      </c>
      <c r="G739" s="1">
        <v>35000</v>
      </c>
      <c r="H739" t="s">
        <v>437</v>
      </c>
      <c r="I739" t="s">
        <v>2428</v>
      </c>
      <c r="J739" t="s">
        <v>2429</v>
      </c>
    </row>
    <row r="740" spans="1:10">
      <c r="A740">
        <v>132523</v>
      </c>
      <c r="B740" t="s">
        <v>446</v>
      </c>
      <c r="C740" t="s">
        <v>2430</v>
      </c>
      <c r="D740" t="s">
        <v>12</v>
      </c>
      <c r="E740" t="s">
        <v>2431</v>
      </c>
      <c r="F740" t="s">
        <v>14</v>
      </c>
      <c r="G740" s="1">
        <v>34606.629999999997</v>
      </c>
      <c r="H740" t="s">
        <v>918</v>
      </c>
      <c r="I740" t="s">
        <v>919</v>
      </c>
      <c r="J740" t="s">
        <v>2432</v>
      </c>
    </row>
    <row r="741" spans="1:10">
      <c r="A741">
        <v>101884</v>
      </c>
      <c r="B741" t="s">
        <v>446</v>
      </c>
      <c r="C741" t="s">
        <v>2433</v>
      </c>
      <c r="D741" t="s">
        <v>12</v>
      </c>
      <c r="E741" t="s">
        <v>2434</v>
      </c>
      <c r="F741" t="s">
        <v>14</v>
      </c>
      <c r="G741" s="1">
        <v>34579.199999999997</v>
      </c>
      <c r="H741" t="s">
        <v>36</v>
      </c>
      <c r="I741" t="s">
        <v>2435</v>
      </c>
      <c r="J741" t="s">
        <v>2436</v>
      </c>
    </row>
    <row r="742" spans="1:10">
      <c r="A742">
        <v>148826</v>
      </c>
      <c r="B742" t="s">
        <v>446</v>
      </c>
      <c r="C742" t="s">
        <v>2437</v>
      </c>
      <c r="D742" t="s">
        <v>12</v>
      </c>
      <c r="E742" t="s">
        <v>2438</v>
      </c>
      <c r="F742" t="s">
        <v>14</v>
      </c>
      <c r="G742" s="1">
        <v>34578.32</v>
      </c>
      <c r="H742" t="s">
        <v>140</v>
      </c>
      <c r="I742" t="s">
        <v>1361</v>
      </c>
      <c r="J742" t="s">
        <v>2439</v>
      </c>
    </row>
    <row r="743" spans="1:10">
      <c r="A743">
        <v>128470</v>
      </c>
      <c r="B743" t="s">
        <v>446</v>
      </c>
      <c r="C743" t="s">
        <v>2440</v>
      </c>
      <c r="D743" t="s">
        <v>12</v>
      </c>
      <c r="E743" t="s">
        <v>2441</v>
      </c>
      <c r="F743" t="s">
        <v>14</v>
      </c>
      <c r="G743" s="1">
        <v>34517.5</v>
      </c>
      <c r="H743" t="s">
        <v>375</v>
      </c>
      <c r="I743" t="s">
        <v>2442</v>
      </c>
      <c r="J743" t="s">
        <v>2443</v>
      </c>
    </row>
    <row r="744" spans="1:10">
      <c r="A744">
        <v>145348</v>
      </c>
      <c r="B744" t="s">
        <v>446</v>
      </c>
      <c r="C744" t="s">
        <v>2444</v>
      </c>
      <c r="D744" t="s">
        <v>124</v>
      </c>
      <c r="E744" t="s">
        <v>2445</v>
      </c>
      <c r="F744" t="s">
        <v>14</v>
      </c>
      <c r="G744" s="1">
        <v>34500</v>
      </c>
      <c r="H744" t="s">
        <v>126</v>
      </c>
      <c r="I744" t="s">
        <v>156</v>
      </c>
      <c r="J744" t="s">
        <v>2446</v>
      </c>
    </row>
    <row r="745" spans="1:10">
      <c r="A745">
        <v>143603</v>
      </c>
      <c r="B745" t="s">
        <v>446</v>
      </c>
      <c r="C745" t="s">
        <v>2447</v>
      </c>
      <c r="D745" t="s">
        <v>12</v>
      </c>
      <c r="E745" t="s">
        <v>2448</v>
      </c>
      <c r="F745" t="s">
        <v>14</v>
      </c>
      <c r="G745" s="1">
        <v>34500</v>
      </c>
      <c r="H745" t="s">
        <v>848</v>
      </c>
      <c r="I745" t="s">
        <v>2449</v>
      </c>
      <c r="J745" t="s">
        <v>2450</v>
      </c>
    </row>
    <row r="746" spans="1:10">
      <c r="A746">
        <v>147292</v>
      </c>
      <c r="B746" t="s">
        <v>446</v>
      </c>
      <c r="C746" t="s">
        <v>2451</v>
      </c>
      <c r="D746" t="s">
        <v>12</v>
      </c>
      <c r="E746" t="s">
        <v>2452</v>
      </c>
      <c r="F746" t="s">
        <v>14</v>
      </c>
      <c r="G746" s="1">
        <v>34132.9</v>
      </c>
      <c r="H746" t="s">
        <v>56</v>
      </c>
      <c r="I746" t="s">
        <v>2453</v>
      </c>
      <c r="J746" t="s">
        <v>2454</v>
      </c>
    </row>
    <row r="747" spans="1:10">
      <c r="A747">
        <v>151225</v>
      </c>
      <c r="B747" t="s">
        <v>446</v>
      </c>
      <c r="C747" t="s">
        <v>2455</v>
      </c>
      <c r="D747" t="s">
        <v>12</v>
      </c>
      <c r="E747" t="s">
        <v>2456</v>
      </c>
      <c r="F747" t="s">
        <v>14</v>
      </c>
      <c r="G747" s="1">
        <v>33535.58</v>
      </c>
      <c r="H747" t="s">
        <v>36</v>
      </c>
      <c r="I747" t="s">
        <v>2457</v>
      </c>
      <c r="J747" t="s">
        <v>2458</v>
      </c>
    </row>
    <row r="748" spans="1:10">
      <c r="A748">
        <v>132591</v>
      </c>
      <c r="B748" t="s">
        <v>446</v>
      </c>
      <c r="C748" t="s">
        <v>2459</v>
      </c>
      <c r="D748" t="s">
        <v>12</v>
      </c>
      <c r="E748" t="s">
        <v>2460</v>
      </c>
      <c r="F748" t="s">
        <v>14</v>
      </c>
      <c r="G748" s="1">
        <v>33533.769999999997</v>
      </c>
      <c r="H748" t="s">
        <v>232</v>
      </c>
      <c r="I748" t="s">
        <v>2461</v>
      </c>
      <c r="J748" t="s">
        <v>2462</v>
      </c>
    </row>
    <row r="749" spans="1:10">
      <c r="A749">
        <v>108691</v>
      </c>
      <c r="B749" t="s">
        <v>446</v>
      </c>
      <c r="C749" t="s">
        <v>2463</v>
      </c>
      <c r="D749" t="s">
        <v>12</v>
      </c>
      <c r="E749" t="s">
        <v>2464</v>
      </c>
      <c r="F749" t="s">
        <v>14</v>
      </c>
      <c r="G749" s="1">
        <v>33230.959999999999</v>
      </c>
      <c r="H749" t="s">
        <v>56</v>
      </c>
      <c r="I749" t="s">
        <v>2465</v>
      </c>
      <c r="J749" t="s">
        <v>2466</v>
      </c>
    </row>
    <row r="750" spans="1:10">
      <c r="A750">
        <v>140127</v>
      </c>
      <c r="B750" t="s">
        <v>446</v>
      </c>
      <c r="C750" t="s">
        <v>2467</v>
      </c>
      <c r="D750" t="s">
        <v>12</v>
      </c>
      <c r="E750" t="s">
        <v>2468</v>
      </c>
      <c r="F750" t="s">
        <v>14</v>
      </c>
      <c r="G750" s="1">
        <v>32967.75</v>
      </c>
      <c r="H750" t="s">
        <v>56</v>
      </c>
      <c r="I750" t="s">
        <v>2469</v>
      </c>
      <c r="J750" t="s">
        <v>2470</v>
      </c>
    </row>
    <row r="751" spans="1:10">
      <c r="A751">
        <v>148964</v>
      </c>
      <c r="B751" t="s">
        <v>446</v>
      </c>
      <c r="C751" t="s">
        <v>2471</v>
      </c>
      <c r="D751" t="s">
        <v>12</v>
      </c>
      <c r="E751" t="s">
        <v>2472</v>
      </c>
      <c r="F751" t="s">
        <v>14</v>
      </c>
      <c r="G751" s="1">
        <v>32748.12</v>
      </c>
      <c r="H751" t="s">
        <v>36</v>
      </c>
      <c r="I751" t="s">
        <v>2473</v>
      </c>
      <c r="J751" t="s">
        <v>2474</v>
      </c>
    </row>
    <row r="752" spans="1:10">
      <c r="A752">
        <v>103502</v>
      </c>
      <c r="B752" t="s">
        <v>446</v>
      </c>
      <c r="C752" t="s">
        <v>2475</v>
      </c>
      <c r="D752" t="s">
        <v>12</v>
      </c>
      <c r="E752" t="s">
        <v>2476</v>
      </c>
      <c r="F752" t="s">
        <v>14</v>
      </c>
      <c r="G752" s="1">
        <v>32650.63</v>
      </c>
      <c r="H752" t="s">
        <v>232</v>
      </c>
      <c r="I752" t="s">
        <v>233</v>
      </c>
      <c r="J752" t="s">
        <v>2477</v>
      </c>
    </row>
    <row r="753" spans="1:10">
      <c r="A753">
        <v>144937</v>
      </c>
      <c r="B753" t="s">
        <v>446</v>
      </c>
      <c r="C753" t="s">
        <v>2478</v>
      </c>
      <c r="D753" t="s">
        <v>12</v>
      </c>
      <c r="E753" t="s">
        <v>2479</v>
      </c>
      <c r="F753" t="s">
        <v>14</v>
      </c>
      <c r="G753" s="1">
        <v>32400</v>
      </c>
      <c r="H753" t="s">
        <v>777</v>
      </c>
      <c r="I753" t="s">
        <v>2021</v>
      </c>
      <c r="J753" t="s">
        <v>2022</v>
      </c>
    </row>
    <row r="754" spans="1:10">
      <c r="A754">
        <v>119882</v>
      </c>
      <c r="B754" t="s">
        <v>446</v>
      </c>
      <c r="C754" t="s">
        <v>2480</v>
      </c>
      <c r="D754" t="s">
        <v>124</v>
      </c>
      <c r="E754" t="s">
        <v>2481</v>
      </c>
      <c r="F754" t="s">
        <v>14</v>
      </c>
      <c r="G754" s="1">
        <v>32379.200000000001</v>
      </c>
      <c r="H754" t="s">
        <v>126</v>
      </c>
      <c r="I754" t="s">
        <v>156</v>
      </c>
      <c r="J754" t="s">
        <v>180</v>
      </c>
    </row>
    <row r="755" spans="1:10">
      <c r="A755">
        <v>151204</v>
      </c>
      <c r="B755" t="s">
        <v>446</v>
      </c>
      <c r="C755" t="s">
        <v>2482</v>
      </c>
      <c r="D755" t="s">
        <v>12</v>
      </c>
      <c r="E755" t="s">
        <v>2483</v>
      </c>
      <c r="F755" t="s">
        <v>14</v>
      </c>
      <c r="G755" s="1">
        <v>32365.67</v>
      </c>
      <c r="H755" t="s">
        <v>140</v>
      </c>
      <c r="I755" t="s">
        <v>2484</v>
      </c>
      <c r="J755" t="s">
        <v>2485</v>
      </c>
    </row>
    <row r="756" spans="1:10">
      <c r="A756">
        <v>146774</v>
      </c>
      <c r="B756" t="s">
        <v>446</v>
      </c>
      <c r="C756" t="s">
        <v>2486</v>
      </c>
      <c r="D756" t="s">
        <v>124</v>
      </c>
      <c r="E756" t="s">
        <v>2487</v>
      </c>
      <c r="F756" t="s">
        <v>168</v>
      </c>
      <c r="G756" s="1">
        <v>32163.59</v>
      </c>
      <c r="H756" t="s">
        <v>1263</v>
      </c>
      <c r="I756" t="s">
        <v>1897</v>
      </c>
      <c r="J756" t="s">
        <v>2488</v>
      </c>
    </row>
    <row r="757" spans="1:10">
      <c r="A757">
        <v>107598</v>
      </c>
      <c r="B757" t="s">
        <v>446</v>
      </c>
      <c r="C757" t="s">
        <v>2489</v>
      </c>
      <c r="D757" t="s">
        <v>12</v>
      </c>
      <c r="E757" t="s">
        <v>2490</v>
      </c>
      <c r="F757" t="s">
        <v>14</v>
      </c>
      <c r="G757" s="1">
        <v>32112.080000000002</v>
      </c>
      <c r="H757" t="s">
        <v>36</v>
      </c>
      <c r="I757" t="s">
        <v>2491</v>
      </c>
      <c r="J757" t="s">
        <v>2492</v>
      </c>
    </row>
    <row r="758" spans="1:10">
      <c r="A758">
        <v>148356</v>
      </c>
      <c r="B758" t="s">
        <v>446</v>
      </c>
      <c r="C758" t="s">
        <v>2493</v>
      </c>
      <c r="D758" t="s">
        <v>12</v>
      </c>
      <c r="E758" t="s">
        <v>2494</v>
      </c>
      <c r="F758" t="s">
        <v>14</v>
      </c>
      <c r="G758" s="1">
        <v>32083.22</v>
      </c>
      <c r="H758" t="s">
        <v>72</v>
      </c>
      <c r="I758" t="s">
        <v>2495</v>
      </c>
      <c r="J758" t="s">
        <v>2496</v>
      </c>
    </row>
    <row r="759" spans="1:10">
      <c r="A759" t="s">
        <v>2497</v>
      </c>
      <c r="B759" t="s">
        <v>446</v>
      </c>
      <c r="C759" t="s">
        <v>2498</v>
      </c>
      <c r="D759" t="s">
        <v>12</v>
      </c>
      <c r="E759" t="s">
        <v>2499</v>
      </c>
      <c r="F759" t="s">
        <v>168</v>
      </c>
      <c r="G759" s="1">
        <v>32004.87</v>
      </c>
      <c r="H759" t="s">
        <v>333</v>
      </c>
      <c r="I759" t="s">
        <v>334</v>
      </c>
      <c r="J759" t="s">
        <v>2500</v>
      </c>
    </row>
    <row r="760" spans="1:10">
      <c r="A760">
        <v>144850</v>
      </c>
      <c r="B760" t="s">
        <v>446</v>
      </c>
      <c r="C760" t="s">
        <v>2501</v>
      </c>
      <c r="D760" t="s">
        <v>12</v>
      </c>
      <c r="E760" t="s">
        <v>2502</v>
      </c>
      <c r="F760" t="s">
        <v>14</v>
      </c>
      <c r="G760" s="1">
        <v>31917.46</v>
      </c>
      <c r="H760" t="s">
        <v>126</v>
      </c>
      <c r="I760" t="s">
        <v>2503</v>
      </c>
      <c r="J760" t="s">
        <v>2504</v>
      </c>
    </row>
    <row r="761" spans="1:10">
      <c r="A761">
        <v>130069</v>
      </c>
      <c r="B761" t="s">
        <v>446</v>
      </c>
      <c r="C761" t="s">
        <v>2505</v>
      </c>
      <c r="D761" t="s">
        <v>12</v>
      </c>
      <c r="E761" t="s">
        <v>2506</v>
      </c>
      <c r="F761" t="s">
        <v>14</v>
      </c>
      <c r="G761" s="1">
        <v>31798.799999999999</v>
      </c>
      <c r="H761" t="s">
        <v>85</v>
      </c>
      <c r="I761" t="s">
        <v>2507</v>
      </c>
      <c r="J761" t="s">
        <v>2508</v>
      </c>
    </row>
    <row r="762" spans="1:10">
      <c r="A762">
        <v>118487</v>
      </c>
      <c r="B762" t="s">
        <v>446</v>
      </c>
      <c r="C762" t="s">
        <v>2509</v>
      </c>
      <c r="D762" t="s">
        <v>12</v>
      </c>
      <c r="E762" t="s">
        <v>2510</v>
      </c>
      <c r="F762" t="s">
        <v>14</v>
      </c>
      <c r="G762" s="1">
        <v>31657</v>
      </c>
      <c r="H762" t="s">
        <v>499</v>
      </c>
      <c r="I762" t="s">
        <v>1878</v>
      </c>
      <c r="J762" t="s">
        <v>2511</v>
      </c>
    </row>
    <row r="763" spans="1:10">
      <c r="A763">
        <v>125600</v>
      </c>
      <c r="B763" t="s">
        <v>446</v>
      </c>
      <c r="C763" t="s">
        <v>2512</v>
      </c>
      <c r="D763" t="s">
        <v>12</v>
      </c>
      <c r="E763" t="s">
        <v>2513</v>
      </c>
      <c r="F763" t="s">
        <v>14</v>
      </c>
      <c r="G763" s="1">
        <v>31581.88</v>
      </c>
      <c r="H763" t="s">
        <v>1017</v>
      </c>
      <c r="I763" t="s">
        <v>2514</v>
      </c>
      <c r="J763" t="s">
        <v>2515</v>
      </c>
    </row>
    <row r="764" spans="1:10">
      <c r="A764">
        <v>118645</v>
      </c>
      <c r="B764" t="s">
        <v>446</v>
      </c>
      <c r="C764" t="s">
        <v>2516</v>
      </c>
      <c r="D764" t="s">
        <v>12</v>
      </c>
      <c r="E764" t="s">
        <v>2517</v>
      </c>
      <c r="F764" t="s">
        <v>14</v>
      </c>
      <c r="G764" s="1">
        <v>31502.99</v>
      </c>
      <c r="H764" t="s">
        <v>36</v>
      </c>
      <c r="I764" t="s">
        <v>2491</v>
      </c>
      <c r="J764" t="s">
        <v>2518</v>
      </c>
    </row>
    <row r="765" spans="1:10">
      <c r="A765">
        <v>107772</v>
      </c>
      <c r="B765" t="s">
        <v>446</v>
      </c>
      <c r="C765" t="s">
        <v>2519</v>
      </c>
      <c r="D765" t="s">
        <v>12</v>
      </c>
      <c r="E765" t="s">
        <v>2520</v>
      </c>
      <c r="F765" t="s">
        <v>14</v>
      </c>
      <c r="G765" s="1">
        <v>31492.639999999999</v>
      </c>
      <c r="H765" t="s">
        <v>553</v>
      </c>
      <c r="I765" t="s">
        <v>2521</v>
      </c>
      <c r="J765" t="s">
        <v>2522</v>
      </c>
    </row>
    <row r="766" spans="1:10">
      <c r="A766">
        <v>122186</v>
      </c>
      <c r="B766" t="s">
        <v>446</v>
      </c>
      <c r="C766" t="s">
        <v>2523</v>
      </c>
      <c r="D766" t="s">
        <v>512</v>
      </c>
      <c r="E766" t="s">
        <v>2524</v>
      </c>
      <c r="F766" t="s">
        <v>14</v>
      </c>
      <c r="G766" s="1">
        <v>31449.29</v>
      </c>
      <c r="H766" t="s">
        <v>553</v>
      </c>
      <c r="I766" t="s">
        <v>1971</v>
      </c>
      <c r="J766" t="s">
        <v>2525</v>
      </c>
    </row>
    <row r="767" spans="1:10">
      <c r="A767">
        <v>114169</v>
      </c>
      <c r="B767" t="s">
        <v>446</v>
      </c>
      <c r="C767" t="s">
        <v>2526</v>
      </c>
      <c r="D767" t="s">
        <v>12</v>
      </c>
      <c r="E767" t="s">
        <v>2527</v>
      </c>
      <c r="F767" t="s">
        <v>14</v>
      </c>
      <c r="G767" s="1">
        <v>31447.96</v>
      </c>
      <c r="H767" t="s">
        <v>36</v>
      </c>
      <c r="I767" t="s">
        <v>2435</v>
      </c>
      <c r="J767" t="s">
        <v>2528</v>
      </c>
    </row>
    <row r="768" spans="1:10">
      <c r="A768">
        <v>146773</v>
      </c>
      <c r="B768" t="s">
        <v>446</v>
      </c>
      <c r="C768" t="s">
        <v>2529</v>
      </c>
      <c r="D768" t="s">
        <v>124</v>
      </c>
      <c r="E768" t="s">
        <v>2530</v>
      </c>
      <c r="F768" t="s">
        <v>168</v>
      </c>
      <c r="G768" s="1">
        <v>31331.37</v>
      </c>
      <c r="H768" t="s">
        <v>1263</v>
      </c>
      <c r="I768" t="s">
        <v>1897</v>
      </c>
      <c r="J768" t="s">
        <v>2531</v>
      </c>
    </row>
    <row r="769" spans="1:10">
      <c r="A769">
        <v>116027</v>
      </c>
      <c r="B769" t="s">
        <v>446</v>
      </c>
      <c r="C769" t="s">
        <v>2532</v>
      </c>
      <c r="D769" t="s">
        <v>12</v>
      </c>
      <c r="E769" t="s">
        <v>2533</v>
      </c>
      <c r="F769" t="s">
        <v>14</v>
      </c>
      <c r="G769" s="1">
        <v>31160</v>
      </c>
      <c r="H769" t="s">
        <v>85</v>
      </c>
      <c r="I769" t="s">
        <v>2534</v>
      </c>
      <c r="J769" t="s">
        <v>2535</v>
      </c>
    </row>
    <row r="770" spans="1:10">
      <c r="A770">
        <v>106433</v>
      </c>
      <c r="B770" t="s">
        <v>446</v>
      </c>
      <c r="C770" t="s">
        <v>2536</v>
      </c>
      <c r="D770" t="s">
        <v>12</v>
      </c>
      <c r="E770" t="s">
        <v>2537</v>
      </c>
      <c r="F770" t="s">
        <v>14</v>
      </c>
      <c r="G770" s="1">
        <v>31138.92</v>
      </c>
      <c r="H770" t="s">
        <v>918</v>
      </c>
      <c r="I770" t="s">
        <v>2538</v>
      </c>
      <c r="J770" t="s">
        <v>2539</v>
      </c>
    </row>
    <row r="771" spans="1:10">
      <c r="A771">
        <v>111099</v>
      </c>
      <c r="B771" t="s">
        <v>446</v>
      </c>
      <c r="C771" t="s">
        <v>2540</v>
      </c>
      <c r="D771" t="s">
        <v>12</v>
      </c>
      <c r="E771" t="s">
        <v>2541</v>
      </c>
      <c r="F771" t="s">
        <v>14</v>
      </c>
      <c r="G771" s="1">
        <v>31100.51</v>
      </c>
      <c r="H771" t="s">
        <v>36</v>
      </c>
      <c r="I771" t="s">
        <v>2491</v>
      </c>
      <c r="J771" t="s">
        <v>2542</v>
      </c>
    </row>
    <row r="772" spans="1:10">
      <c r="A772">
        <v>147931</v>
      </c>
      <c r="B772" t="s">
        <v>446</v>
      </c>
      <c r="C772" t="s">
        <v>2543</v>
      </c>
      <c r="D772" t="s">
        <v>124</v>
      </c>
      <c r="E772" t="s">
        <v>2544</v>
      </c>
      <c r="F772" t="s">
        <v>14</v>
      </c>
      <c r="G772" s="1">
        <v>30900</v>
      </c>
      <c r="H772" t="s">
        <v>126</v>
      </c>
      <c r="I772" t="s">
        <v>156</v>
      </c>
      <c r="J772" t="s">
        <v>180</v>
      </c>
    </row>
    <row r="773" spans="1:10">
      <c r="A773">
        <v>148188</v>
      </c>
      <c r="B773" t="s">
        <v>446</v>
      </c>
      <c r="C773" t="s">
        <v>2545</v>
      </c>
      <c r="D773" t="s">
        <v>12</v>
      </c>
      <c r="E773" t="s">
        <v>2546</v>
      </c>
      <c r="F773" t="s">
        <v>14</v>
      </c>
      <c r="G773" s="1">
        <v>30900</v>
      </c>
      <c r="H773" t="s">
        <v>85</v>
      </c>
      <c r="I773" t="s">
        <v>2547</v>
      </c>
      <c r="J773" t="s">
        <v>2548</v>
      </c>
    </row>
    <row r="774" spans="1:10">
      <c r="A774">
        <v>150549</v>
      </c>
      <c r="B774" t="s">
        <v>446</v>
      </c>
      <c r="C774" t="s">
        <v>2549</v>
      </c>
      <c r="D774" t="s">
        <v>12</v>
      </c>
      <c r="E774" t="s">
        <v>2550</v>
      </c>
      <c r="F774" t="s">
        <v>14</v>
      </c>
      <c r="G774" s="1">
        <v>30800</v>
      </c>
      <c r="H774" t="s">
        <v>95</v>
      </c>
      <c r="I774" t="s">
        <v>506</v>
      </c>
      <c r="J774" t="s">
        <v>1522</v>
      </c>
    </row>
    <row r="775" spans="1:10">
      <c r="A775">
        <v>147131</v>
      </c>
      <c r="B775" t="s">
        <v>446</v>
      </c>
      <c r="C775" t="s">
        <v>2551</v>
      </c>
      <c r="D775" t="s">
        <v>124</v>
      </c>
      <c r="E775" t="s">
        <v>1786</v>
      </c>
      <c r="F775" t="s">
        <v>14</v>
      </c>
      <c r="G775" s="1">
        <v>30750</v>
      </c>
      <c r="H775" t="s">
        <v>126</v>
      </c>
      <c r="I775" t="s">
        <v>156</v>
      </c>
      <c r="J775" t="s">
        <v>180</v>
      </c>
    </row>
    <row r="776" spans="1:10">
      <c r="A776">
        <v>146432</v>
      </c>
      <c r="B776" t="s">
        <v>446</v>
      </c>
      <c r="C776" t="s">
        <v>2552</v>
      </c>
      <c r="D776" t="s">
        <v>12</v>
      </c>
      <c r="E776" t="s">
        <v>2553</v>
      </c>
      <c r="F776" t="s">
        <v>14</v>
      </c>
      <c r="G776" s="1">
        <v>30646.17</v>
      </c>
      <c r="H776" t="s">
        <v>36</v>
      </c>
      <c r="I776" t="s">
        <v>2554</v>
      </c>
      <c r="J776" t="s">
        <v>2555</v>
      </c>
    </row>
    <row r="777" spans="1:10">
      <c r="A777">
        <v>111574</v>
      </c>
      <c r="B777" t="s">
        <v>446</v>
      </c>
      <c r="C777" t="s">
        <v>2556</v>
      </c>
      <c r="D777" t="s">
        <v>12</v>
      </c>
      <c r="E777" t="s">
        <v>2557</v>
      </c>
      <c r="F777" t="s">
        <v>14</v>
      </c>
      <c r="G777" s="1">
        <v>30539.35</v>
      </c>
      <c r="H777" t="s">
        <v>1378</v>
      </c>
      <c r="I777" t="s">
        <v>1379</v>
      </c>
      <c r="J777" t="s">
        <v>1380</v>
      </c>
    </row>
    <row r="778" spans="1:10">
      <c r="A778">
        <v>130247</v>
      </c>
      <c r="B778" t="s">
        <v>446</v>
      </c>
      <c r="C778" t="s">
        <v>2558</v>
      </c>
      <c r="D778" t="s">
        <v>12</v>
      </c>
      <c r="E778" t="s">
        <v>2559</v>
      </c>
      <c r="F778" t="s">
        <v>14</v>
      </c>
      <c r="G778" s="1">
        <v>30500</v>
      </c>
      <c r="H778" t="s">
        <v>95</v>
      </c>
      <c r="I778" t="s">
        <v>1437</v>
      </c>
      <c r="J778" t="s">
        <v>2560</v>
      </c>
    </row>
    <row r="779" spans="1:10">
      <c r="A779">
        <v>114232</v>
      </c>
      <c r="B779" t="s">
        <v>446</v>
      </c>
      <c r="C779" t="s">
        <v>2561</v>
      </c>
      <c r="D779" t="s">
        <v>12</v>
      </c>
      <c r="E779" t="s">
        <v>2562</v>
      </c>
      <c r="F779" t="s">
        <v>14</v>
      </c>
      <c r="G779" s="1">
        <v>30233.53</v>
      </c>
      <c r="H779" t="s">
        <v>36</v>
      </c>
      <c r="I779" t="s">
        <v>2563</v>
      </c>
      <c r="J779" t="s">
        <v>2564</v>
      </c>
    </row>
    <row r="780" spans="1:10">
      <c r="A780">
        <v>130439</v>
      </c>
      <c r="B780" t="s">
        <v>446</v>
      </c>
      <c r="C780" t="s">
        <v>2565</v>
      </c>
      <c r="D780" t="s">
        <v>124</v>
      </c>
      <c r="E780" t="s">
        <v>2566</v>
      </c>
      <c r="F780" t="s">
        <v>14</v>
      </c>
      <c r="G780" s="1">
        <v>30000</v>
      </c>
      <c r="H780" t="s">
        <v>126</v>
      </c>
      <c r="I780" t="s">
        <v>156</v>
      </c>
      <c r="J780" t="s">
        <v>180</v>
      </c>
    </row>
    <row r="781" spans="1:10">
      <c r="A781">
        <v>149917</v>
      </c>
      <c r="B781" t="s">
        <v>446</v>
      </c>
      <c r="C781" t="s">
        <v>2567</v>
      </c>
      <c r="D781" t="s">
        <v>124</v>
      </c>
      <c r="E781" t="s">
        <v>2568</v>
      </c>
      <c r="F781" t="s">
        <v>14</v>
      </c>
      <c r="G781" s="1">
        <v>30000</v>
      </c>
      <c r="H781" t="s">
        <v>126</v>
      </c>
      <c r="I781" t="s">
        <v>2569</v>
      </c>
      <c r="J781" t="s">
        <v>2570</v>
      </c>
    </row>
    <row r="782" spans="1:10">
      <c r="A782">
        <v>144772</v>
      </c>
      <c r="B782" t="s">
        <v>446</v>
      </c>
      <c r="C782" t="s">
        <v>2571</v>
      </c>
      <c r="D782" t="s">
        <v>124</v>
      </c>
      <c r="E782" t="s">
        <v>2572</v>
      </c>
      <c r="F782" t="s">
        <v>14</v>
      </c>
      <c r="G782" s="1">
        <v>30000</v>
      </c>
      <c r="H782" t="s">
        <v>126</v>
      </c>
      <c r="I782" t="s">
        <v>156</v>
      </c>
      <c r="J782" t="s">
        <v>2573</v>
      </c>
    </row>
    <row r="783" spans="1:10">
      <c r="A783">
        <v>149037</v>
      </c>
      <c r="B783" t="s">
        <v>446</v>
      </c>
      <c r="C783" t="s">
        <v>2574</v>
      </c>
      <c r="D783" t="s">
        <v>124</v>
      </c>
      <c r="E783" t="s">
        <v>2575</v>
      </c>
      <c r="F783" t="s">
        <v>14</v>
      </c>
      <c r="G783" s="1">
        <v>30000</v>
      </c>
      <c r="H783" t="s">
        <v>126</v>
      </c>
      <c r="I783" t="s">
        <v>156</v>
      </c>
      <c r="J783" t="s">
        <v>180</v>
      </c>
    </row>
    <row r="784" spans="1:10">
      <c r="A784">
        <v>150819</v>
      </c>
      <c r="B784" t="s">
        <v>446</v>
      </c>
      <c r="C784" t="s">
        <v>2576</v>
      </c>
      <c r="D784" t="s">
        <v>12</v>
      </c>
      <c r="E784" t="s">
        <v>2577</v>
      </c>
      <c r="F784" t="s">
        <v>14</v>
      </c>
      <c r="G784" s="1">
        <v>30000</v>
      </c>
      <c r="H784" t="s">
        <v>333</v>
      </c>
      <c r="I784" t="s">
        <v>1756</v>
      </c>
      <c r="J784" t="s">
        <v>2578</v>
      </c>
    </row>
    <row r="785" spans="1:10">
      <c r="A785">
        <v>148163</v>
      </c>
      <c r="B785" t="s">
        <v>446</v>
      </c>
      <c r="C785" t="s">
        <v>2579</v>
      </c>
      <c r="D785" t="s">
        <v>124</v>
      </c>
      <c r="E785" t="s">
        <v>2580</v>
      </c>
      <c r="F785" t="s">
        <v>14</v>
      </c>
      <c r="G785" s="1">
        <v>30000</v>
      </c>
      <c r="H785" t="s">
        <v>514</v>
      </c>
      <c r="I785" t="s">
        <v>1159</v>
      </c>
      <c r="J785" t="s">
        <v>2581</v>
      </c>
    </row>
    <row r="786" spans="1:10">
      <c r="A786">
        <v>103910</v>
      </c>
      <c r="B786" t="s">
        <v>446</v>
      </c>
      <c r="C786" t="s">
        <v>2582</v>
      </c>
      <c r="D786" t="s">
        <v>12</v>
      </c>
      <c r="E786" t="s">
        <v>2583</v>
      </c>
      <c r="F786" t="s">
        <v>14</v>
      </c>
      <c r="G786" s="1">
        <v>29949.53</v>
      </c>
      <c r="H786" t="s">
        <v>27</v>
      </c>
      <c r="I786" t="s">
        <v>136</v>
      </c>
      <c r="J786" t="s">
        <v>2584</v>
      </c>
    </row>
    <row r="787" spans="1:10">
      <c r="A787">
        <v>151786</v>
      </c>
      <c r="B787" t="s">
        <v>446</v>
      </c>
      <c r="C787" t="s">
        <v>2585</v>
      </c>
      <c r="D787" t="s">
        <v>12</v>
      </c>
      <c r="E787" t="s">
        <v>2586</v>
      </c>
      <c r="F787" t="s">
        <v>14</v>
      </c>
      <c r="G787" s="1">
        <v>29500</v>
      </c>
      <c r="H787" t="s">
        <v>140</v>
      </c>
      <c r="I787" t="s">
        <v>1890</v>
      </c>
      <c r="J787" t="s">
        <v>1596</v>
      </c>
    </row>
    <row r="788" spans="1:10">
      <c r="A788">
        <v>114217</v>
      </c>
      <c r="B788" t="s">
        <v>446</v>
      </c>
      <c r="C788" t="s">
        <v>2587</v>
      </c>
      <c r="D788" t="s">
        <v>12</v>
      </c>
      <c r="E788" t="s">
        <v>2588</v>
      </c>
      <c r="F788" t="s">
        <v>14</v>
      </c>
      <c r="G788" s="1">
        <v>29096.27</v>
      </c>
      <c r="H788" t="s">
        <v>36</v>
      </c>
      <c r="I788" t="s">
        <v>2589</v>
      </c>
      <c r="J788" t="s">
        <v>2590</v>
      </c>
    </row>
    <row r="789" spans="1:10">
      <c r="A789">
        <v>140185</v>
      </c>
      <c r="B789" t="s">
        <v>446</v>
      </c>
      <c r="C789" t="s">
        <v>2591</v>
      </c>
      <c r="D789" t="s">
        <v>12</v>
      </c>
      <c r="E789" t="s">
        <v>2592</v>
      </c>
      <c r="F789" t="s">
        <v>14</v>
      </c>
      <c r="G789" s="1">
        <v>29000</v>
      </c>
      <c r="H789" t="s">
        <v>95</v>
      </c>
      <c r="I789" t="s">
        <v>506</v>
      </c>
      <c r="J789" t="s">
        <v>1522</v>
      </c>
    </row>
    <row r="790" spans="1:10">
      <c r="A790">
        <v>129136</v>
      </c>
      <c r="B790" t="s">
        <v>446</v>
      </c>
      <c r="C790" t="s">
        <v>2593</v>
      </c>
      <c r="D790" t="s">
        <v>12</v>
      </c>
      <c r="E790" t="s">
        <v>2594</v>
      </c>
      <c r="F790" t="s">
        <v>14</v>
      </c>
      <c r="G790" s="1">
        <v>28921.13</v>
      </c>
      <c r="H790" t="s">
        <v>553</v>
      </c>
      <c r="I790" t="s">
        <v>1971</v>
      </c>
      <c r="J790" t="s">
        <v>1972</v>
      </c>
    </row>
    <row r="791" spans="1:10">
      <c r="A791">
        <v>100952</v>
      </c>
      <c r="B791" t="s">
        <v>446</v>
      </c>
      <c r="C791" t="s">
        <v>2595</v>
      </c>
      <c r="D791" t="s">
        <v>12</v>
      </c>
      <c r="E791" t="s">
        <v>2596</v>
      </c>
      <c r="F791" t="s">
        <v>14</v>
      </c>
      <c r="G791" s="1">
        <v>28819.11</v>
      </c>
      <c r="H791" t="s">
        <v>56</v>
      </c>
      <c r="I791" t="s">
        <v>2597</v>
      </c>
      <c r="J791" t="s">
        <v>2598</v>
      </c>
    </row>
    <row r="792" spans="1:10">
      <c r="A792">
        <v>144854</v>
      </c>
      <c r="B792" t="s">
        <v>446</v>
      </c>
      <c r="C792" t="s">
        <v>2599</v>
      </c>
      <c r="D792" t="s">
        <v>12</v>
      </c>
      <c r="E792" t="s">
        <v>347</v>
      </c>
      <c r="F792" t="s">
        <v>14</v>
      </c>
      <c r="G792" s="1">
        <v>28658.99</v>
      </c>
      <c r="H792" t="s">
        <v>72</v>
      </c>
      <c r="I792" t="s">
        <v>348</v>
      </c>
      <c r="J792" t="s">
        <v>2600</v>
      </c>
    </row>
    <row r="793" spans="1:10">
      <c r="A793">
        <v>132368</v>
      </c>
      <c r="B793" t="s">
        <v>446</v>
      </c>
      <c r="C793" t="s">
        <v>2601</v>
      </c>
      <c r="D793" t="s">
        <v>12</v>
      </c>
      <c r="E793" t="s">
        <v>2602</v>
      </c>
      <c r="F793" t="s">
        <v>14</v>
      </c>
      <c r="G793" s="1">
        <v>28634.33</v>
      </c>
      <c r="H793" t="s">
        <v>27</v>
      </c>
      <c r="I793" t="s">
        <v>2603</v>
      </c>
      <c r="J793" t="s">
        <v>2604</v>
      </c>
    </row>
    <row r="794" spans="1:10">
      <c r="A794">
        <v>104275</v>
      </c>
      <c r="B794" t="s">
        <v>446</v>
      </c>
      <c r="C794" t="s">
        <v>2605</v>
      </c>
      <c r="D794" t="s">
        <v>12</v>
      </c>
      <c r="E794" t="s">
        <v>2606</v>
      </c>
      <c r="F794" t="s">
        <v>14</v>
      </c>
      <c r="G794" s="1">
        <v>28577.52</v>
      </c>
      <c r="H794" t="s">
        <v>1124</v>
      </c>
      <c r="I794" t="s">
        <v>2607</v>
      </c>
      <c r="J794" t="s">
        <v>2608</v>
      </c>
    </row>
    <row r="795" spans="1:10">
      <c r="A795">
        <v>118685</v>
      </c>
      <c r="B795" t="s">
        <v>446</v>
      </c>
      <c r="C795" t="s">
        <v>2609</v>
      </c>
      <c r="D795" t="s">
        <v>124</v>
      </c>
      <c r="E795" t="s">
        <v>2610</v>
      </c>
      <c r="F795" t="s">
        <v>14</v>
      </c>
      <c r="G795" s="1">
        <v>28566.15</v>
      </c>
      <c r="H795" t="s">
        <v>126</v>
      </c>
      <c r="I795" t="s">
        <v>2611</v>
      </c>
      <c r="J795" t="s">
        <v>2612</v>
      </c>
    </row>
    <row r="796" spans="1:10">
      <c r="A796">
        <v>150850</v>
      </c>
      <c r="B796" t="s">
        <v>446</v>
      </c>
      <c r="C796" t="s">
        <v>2613</v>
      </c>
      <c r="D796" t="s">
        <v>124</v>
      </c>
      <c r="E796" t="s">
        <v>2614</v>
      </c>
      <c r="F796" t="s">
        <v>14</v>
      </c>
      <c r="G796" s="1">
        <v>28500</v>
      </c>
      <c r="H796" t="s">
        <v>126</v>
      </c>
      <c r="I796" t="s">
        <v>156</v>
      </c>
      <c r="J796" t="s">
        <v>180</v>
      </c>
    </row>
    <row r="797" spans="1:10">
      <c r="A797">
        <v>140269</v>
      </c>
      <c r="B797" t="s">
        <v>446</v>
      </c>
      <c r="C797" t="s">
        <v>2615</v>
      </c>
      <c r="D797" t="s">
        <v>331</v>
      </c>
      <c r="E797" t="s">
        <v>2616</v>
      </c>
      <c r="F797" t="s">
        <v>14</v>
      </c>
      <c r="G797" s="1">
        <v>28206.9</v>
      </c>
      <c r="H797" t="s">
        <v>333</v>
      </c>
      <c r="I797" t="s">
        <v>1756</v>
      </c>
      <c r="J797" t="s">
        <v>2617</v>
      </c>
    </row>
    <row r="798" spans="1:10">
      <c r="A798">
        <v>130620</v>
      </c>
      <c r="B798" t="s">
        <v>446</v>
      </c>
      <c r="C798" t="s">
        <v>2618</v>
      </c>
      <c r="D798" t="s">
        <v>12</v>
      </c>
      <c r="E798" t="s">
        <v>2619</v>
      </c>
      <c r="F798" t="s">
        <v>14</v>
      </c>
      <c r="G798" s="1">
        <v>28088.62</v>
      </c>
      <c r="H798" t="s">
        <v>918</v>
      </c>
      <c r="I798" t="s">
        <v>919</v>
      </c>
      <c r="J798" t="s">
        <v>2620</v>
      </c>
    </row>
    <row r="799" spans="1:10">
      <c r="A799">
        <v>150155</v>
      </c>
      <c r="B799" t="s">
        <v>446</v>
      </c>
      <c r="C799" t="s">
        <v>2621</v>
      </c>
      <c r="D799" t="s">
        <v>124</v>
      </c>
      <c r="E799" t="s">
        <v>2622</v>
      </c>
      <c r="F799" t="s">
        <v>14</v>
      </c>
      <c r="G799" s="1">
        <v>28060</v>
      </c>
      <c r="H799" t="s">
        <v>126</v>
      </c>
      <c r="I799" t="s">
        <v>156</v>
      </c>
      <c r="J799" t="s">
        <v>180</v>
      </c>
    </row>
    <row r="800" spans="1:10">
      <c r="A800">
        <v>151112</v>
      </c>
      <c r="B800" t="s">
        <v>446</v>
      </c>
      <c r="C800" t="s">
        <v>2623</v>
      </c>
      <c r="D800" t="s">
        <v>124</v>
      </c>
      <c r="E800" t="s">
        <v>2624</v>
      </c>
      <c r="F800" t="s">
        <v>14</v>
      </c>
      <c r="G800" s="1">
        <v>28000</v>
      </c>
      <c r="H800" t="s">
        <v>126</v>
      </c>
      <c r="I800" t="s">
        <v>156</v>
      </c>
      <c r="J800" t="s">
        <v>2625</v>
      </c>
    </row>
    <row r="801" spans="1:10">
      <c r="A801">
        <v>113193</v>
      </c>
      <c r="B801" t="s">
        <v>446</v>
      </c>
      <c r="C801" t="s">
        <v>2626</v>
      </c>
      <c r="D801" t="s">
        <v>12</v>
      </c>
      <c r="E801" t="s">
        <v>2627</v>
      </c>
      <c r="F801" t="s">
        <v>14</v>
      </c>
      <c r="G801" s="1">
        <v>27904.19</v>
      </c>
      <c r="H801" t="s">
        <v>437</v>
      </c>
      <c r="I801" t="s">
        <v>2628</v>
      </c>
      <c r="J801" t="s">
        <v>2629</v>
      </c>
    </row>
    <row r="802" spans="1:10">
      <c r="A802">
        <v>103424</v>
      </c>
      <c r="B802" t="s">
        <v>446</v>
      </c>
      <c r="C802" t="s">
        <v>2630</v>
      </c>
      <c r="D802" t="s">
        <v>12</v>
      </c>
      <c r="E802" t="s">
        <v>2631</v>
      </c>
      <c r="F802" t="s">
        <v>14</v>
      </c>
      <c r="G802" s="1">
        <v>27870.59</v>
      </c>
      <c r="H802" t="s">
        <v>499</v>
      </c>
      <c r="I802" t="s">
        <v>2632</v>
      </c>
      <c r="J802" t="s">
        <v>2633</v>
      </c>
    </row>
    <row r="803" spans="1:10">
      <c r="A803">
        <v>131933</v>
      </c>
      <c r="B803" t="s">
        <v>446</v>
      </c>
      <c r="C803" t="s">
        <v>2634</v>
      </c>
      <c r="D803" t="s">
        <v>12</v>
      </c>
      <c r="E803" t="s">
        <v>2635</v>
      </c>
      <c r="F803" t="s">
        <v>14</v>
      </c>
      <c r="G803" s="1">
        <v>27816.97</v>
      </c>
      <c r="H803" t="s">
        <v>85</v>
      </c>
      <c r="I803" t="s">
        <v>2636</v>
      </c>
      <c r="J803" t="s">
        <v>2637</v>
      </c>
    </row>
    <row r="804" spans="1:10">
      <c r="A804">
        <v>113857</v>
      </c>
      <c r="B804" t="s">
        <v>446</v>
      </c>
      <c r="C804" t="s">
        <v>2638</v>
      </c>
      <c r="D804" t="s">
        <v>12</v>
      </c>
      <c r="E804" t="s">
        <v>2639</v>
      </c>
      <c r="F804" t="s">
        <v>14</v>
      </c>
      <c r="G804" s="1">
        <v>27600.06</v>
      </c>
      <c r="H804" t="s">
        <v>36</v>
      </c>
      <c r="I804" t="s">
        <v>2640</v>
      </c>
      <c r="J804" t="s">
        <v>2641</v>
      </c>
    </row>
    <row r="805" spans="1:10">
      <c r="A805">
        <v>141683</v>
      </c>
      <c r="B805" t="s">
        <v>446</v>
      </c>
      <c r="C805" t="s">
        <v>2642</v>
      </c>
      <c r="D805" t="s">
        <v>12</v>
      </c>
      <c r="E805" t="s">
        <v>2643</v>
      </c>
      <c r="F805" t="s">
        <v>14</v>
      </c>
      <c r="G805" s="1">
        <v>27545.84</v>
      </c>
      <c r="H805" t="s">
        <v>140</v>
      </c>
      <c r="I805" t="s">
        <v>505</v>
      </c>
      <c r="J805" t="s">
        <v>506</v>
      </c>
    </row>
    <row r="806" spans="1:10">
      <c r="A806">
        <v>127822</v>
      </c>
      <c r="B806" t="s">
        <v>446</v>
      </c>
      <c r="C806" t="s">
        <v>2644</v>
      </c>
      <c r="D806" t="s">
        <v>12</v>
      </c>
      <c r="E806" t="s">
        <v>2645</v>
      </c>
      <c r="F806" t="s">
        <v>14</v>
      </c>
      <c r="G806" s="1">
        <v>27452.02</v>
      </c>
      <c r="H806" t="s">
        <v>553</v>
      </c>
      <c r="I806" t="s">
        <v>1971</v>
      </c>
      <c r="J806" t="s">
        <v>1972</v>
      </c>
    </row>
    <row r="807" spans="1:10">
      <c r="A807" t="s">
        <v>2646</v>
      </c>
      <c r="B807" t="s">
        <v>446</v>
      </c>
      <c r="C807" t="s">
        <v>2647</v>
      </c>
      <c r="D807" t="s">
        <v>12</v>
      </c>
      <c r="E807" t="s">
        <v>2648</v>
      </c>
      <c r="F807" t="s">
        <v>168</v>
      </c>
      <c r="G807" s="1">
        <v>27336.37</v>
      </c>
      <c r="H807" t="s">
        <v>425</v>
      </c>
      <c r="I807" t="s">
        <v>2649</v>
      </c>
      <c r="J807" t="s">
        <v>2650</v>
      </c>
    </row>
    <row r="808" spans="1:10">
      <c r="A808">
        <v>107638</v>
      </c>
      <c r="B808" t="s">
        <v>446</v>
      </c>
      <c r="C808" t="s">
        <v>2651</v>
      </c>
      <c r="D808" t="s">
        <v>12</v>
      </c>
      <c r="E808" t="s">
        <v>2652</v>
      </c>
      <c r="F808" t="s">
        <v>14</v>
      </c>
      <c r="G808" s="1">
        <v>27286.51</v>
      </c>
      <c r="H808" t="s">
        <v>36</v>
      </c>
      <c r="I808" t="s">
        <v>2653</v>
      </c>
      <c r="J808" t="s">
        <v>2654</v>
      </c>
    </row>
    <row r="809" spans="1:10">
      <c r="A809">
        <v>143416</v>
      </c>
      <c r="B809" t="s">
        <v>446</v>
      </c>
      <c r="C809" t="s">
        <v>2655</v>
      </c>
      <c r="D809" t="s">
        <v>12</v>
      </c>
      <c r="E809" t="s">
        <v>2656</v>
      </c>
      <c r="F809" t="s">
        <v>14</v>
      </c>
      <c r="G809" s="1">
        <v>27273.94</v>
      </c>
      <c r="H809" t="s">
        <v>36</v>
      </c>
      <c r="I809" t="s">
        <v>2657</v>
      </c>
      <c r="J809" t="s">
        <v>2658</v>
      </c>
    </row>
    <row r="810" spans="1:10">
      <c r="A810">
        <v>101246</v>
      </c>
      <c r="B810" t="s">
        <v>446</v>
      </c>
      <c r="C810" t="s">
        <v>2659</v>
      </c>
      <c r="D810" t="s">
        <v>331</v>
      </c>
      <c r="E810" t="s">
        <v>2660</v>
      </c>
      <c r="F810" t="s">
        <v>14</v>
      </c>
      <c r="G810" s="1">
        <v>27209.52</v>
      </c>
      <c r="H810" t="s">
        <v>333</v>
      </c>
      <c r="I810" t="s">
        <v>2661</v>
      </c>
      <c r="J810" t="s">
        <v>2662</v>
      </c>
    </row>
    <row r="811" spans="1:10">
      <c r="A811">
        <v>102923</v>
      </c>
      <c r="B811" t="s">
        <v>446</v>
      </c>
      <c r="C811" t="s">
        <v>2663</v>
      </c>
      <c r="D811" t="s">
        <v>12</v>
      </c>
      <c r="E811" t="s">
        <v>2664</v>
      </c>
      <c r="F811" t="s">
        <v>14</v>
      </c>
      <c r="G811" s="1">
        <v>27010.06</v>
      </c>
      <c r="H811" t="s">
        <v>36</v>
      </c>
      <c r="I811" t="s">
        <v>2665</v>
      </c>
      <c r="J811" t="s">
        <v>2666</v>
      </c>
    </row>
    <row r="812" spans="1:10">
      <c r="A812">
        <v>127409</v>
      </c>
      <c r="B812" t="s">
        <v>446</v>
      </c>
      <c r="C812" t="s">
        <v>2667</v>
      </c>
      <c r="D812" t="s">
        <v>12</v>
      </c>
      <c r="E812" t="s">
        <v>2668</v>
      </c>
      <c r="F812" t="s">
        <v>14</v>
      </c>
      <c r="G812" s="1">
        <v>26955.94</v>
      </c>
      <c r="H812" t="s">
        <v>56</v>
      </c>
      <c r="I812" t="s">
        <v>2669</v>
      </c>
      <c r="J812" t="s">
        <v>2670</v>
      </c>
    </row>
    <row r="813" spans="1:10">
      <c r="A813">
        <v>152373</v>
      </c>
      <c r="B813" t="s">
        <v>446</v>
      </c>
      <c r="C813" t="s">
        <v>2671</v>
      </c>
      <c r="D813" t="s">
        <v>12</v>
      </c>
      <c r="E813" t="s">
        <v>2672</v>
      </c>
      <c r="F813" t="s">
        <v>14</v>
      </c>
      <c r="G813" s="1">
        <v>26919.41</v>
      </c>
      <c r="H813" t="s">
        <v>85</v>
      </c>
      <c r="I813" t="s">
        <v>2673</v>
      </c>
      <c r="J813" t="s">
        <v>2674</v>
      </c>
    </row>
    <row r="814" spans="1:10">
      <c r="A814">
        <v>100020</v>
      </c>
      <c r="B814" t="s">
        <v>446</v>
      </c>
      <c r="C814" t="s">
        <v>2675</v>
      </c>
      <c r="D814" t="s">
        <v>12</v>
      </c>
      <c r="E814" t="s">
        <v>2676</v>
      </c>
      <c r="F814" t="s">
        <v>168</v>
      </c>
      <c r="G814" s="1">
        <v>26724.5</v>
      </c>
      <c r="H814" t="s">
        <v>95</v>
      </c>
      <c r="I814" t="s">
        <v>96</v>
      </c>
      <c r="J814" t="s">
        <v>2677</v>
      </c>
    </row>
    <row r="815" spans="1:10">
      <c r="A815">
        <v>100261</v>
      </c>
      <c r="B815" t="s">
        <v>446</v>
      </c>
      <c r="C815" t="s">
        <v>2678</v>
      </c>
      <c r="D815" t="s">
        <v>12</v>
      </c>
      <c r="E815" t="s">
        <v>2679</v>
      </c>
      <c r="F815" t="s">
        <v>14</v>
      </c>
      <c r="G815" s="1">
        <v>26395.55</v>
      </c>
      <c r="H815" t="s">
        <v>1378</v>
      </c>
      <c r="I815" t="s">
        <v>2680</v>
      </c>
      <c r="J815" t="s">
        <v>2681</v>
      </c>
    </row>
    <row r="816" spans="1:10">
      <c r="A816">
        <v>141569</v>
      </c>
      <c r="B816" t="s">
        <v>446</v>
      </c>
      <c r="C816" t="s">
        <v>2682</v>
      </c>
      <c r="D816" t="s">
        <v>331</v>
      </c>
      <c r="E816" t="s">
        <v>2683</v>
      </c>
      <c r="F816" t="s">
        <v>14</v>
      </c>
      <c r="G816" s="1">
        <v>26355</v>
      </c>
      <c r="H816" t="s">
        <v>140</v>
      </c>
      <c r="I816" t="s">
        <v>1890</v>
      </c>
      <c r="J816" t="s">
        <v>1596</v>
      </c>
    </row>
    <row r="817" spans="1:10">
      <c r="A817">
        <v>128855</v>
      </c>
      <c r="B817" t="s">
        <v>446</v>
      </c>
      <c r="C817" t="s">
        <v>2684</v>
      </c>
      <c r="D817" t="s">
        <v>12</v>
      </c>
      <c r="E817" t="s">
        <v>2685</v>
      </c>
      <c r="F817" t="s">
        <v>14</v>
      </c>
      <c r="G817" s="1">
        <v>26179.35</v>
      </c>
      <c r="H817" t="s">
        <v>27</v>
      </c>
      <c r="I817" t="s">
        <v>2686</v>
      </c>
      <c r="J817" t="s">
        <v>2687</v>
      </c>
    </row>
    <row r="818" spans="1:10">
      <c r="A818">
        <v>128896</v>
      </c>
      <c r="B818" t="s">
        <v>446</v>
      </c>
      <c r="C818" t="s">
        <v>2688</v>
      </c>
      <c r="D818" t="s">
        <v>12</v>
      </c>
      <c r="E818" t="s">
        <v>2689</v>
      </c>
      <c r="F818" t="s">
        <v>14</v>
      </c>
      <c r="G818" s="1">
        <v>26008.75</v>
      </c>
      <c r="H818" t="s">
        <v>140</v>
      </c>
      <c r="I818" t="s">
        <v>1993</v>
      </c>
      <c r="J818" t="s">
        <v>1994</v>
      </c>
    </row>
    <row r="819" spans="1:10">
      <c r="A819">
        <v>150247</v>
      </c>
      <c r="B819" t="s">
        <v>446</v>
      </c>
      <c r="C819" t="s">
        <v>2690</v>
      </c>
      <c r="D819" t="s">
        <v>124</v>
      </c>
      <c r="E819" t="s">
        <v>2691</v>
      </c>
      <c r="F819" t="s">
        <v>14</v>
      </c>
      <c r="G819" s="1">
        <v>26000</v>
      </c>
      <c r="H819" t="s">
        <v>126</v>
      </c>
      <c r="I819" t="s">
        <v>156</v>
      </c>
      <c r="J819" t="s">
        <v>180</v>
      </c>
    </row>
    <row r="820" spans="1:10">
      <c r="A820">
        <v>119201</v>
      </c>
      <c r="B820" t="s">
        <v>446</v>
      </c>
      <c r="C820" t="s">
        <v>2692</v>
      </c>
      <c r="D820" t="s">
        <v>124</v>
      </c>
      <c r="E820" t="s">
        <v>2693</v>
      </c>
      <c r="F820" t="s">
        <v>14</v>
      </c>
      <c r="G820" s="1">
        <v>25980</v>
      </c>
      <c r="H820" t="s">
        <v>126</v>
      </c>
      <c r="I820" t="s">
        <v>156</v>
      </c>
      <c r="J820" t="s">
        <v>180</v>
      </c>
    </row>
    <row r="821" spans="1:10">
      <c r="A821">
        <v>130761</v>
      </c>
      <c r="B821" t="s">
        <v>446</v>
      </c>
      <c r="C821" t="s">
        <v>2694</v>
      </c>
      <c r="D821" t="s">
        <v>12</v>
      </c>
      <c r="E821" t="s">
        <v>2695</v>
      </c>
      <c r="F821" t="s">
        <v>14</v>
      </c>
      <c r="G821" s="1">
        <v>25603.45</v>
      </c>
      <c r="H821" t="s">
        <v>85</v>
      </c>
      <c r="I821" t="s">
        <v>2696</v>
      </c>
      <c r="J821" t="s">
        <v>2697</v>
      </c>
    </row>
    <row r="822" spans="1:10">
      <c r="A822">
        <v>115963</v>
      </c>
      <c r="B822" t="s">
        <v>446</v>
      </c>
      <c r="C822" t="s">
        <v>2698</v>
      </c>
      <c r="D822" t="s">
        <v>12</v>
      </c>
      <c r="E822" t="s">
        <v>31</v>
      </c>
      <c r="F822" t="s">
        <v>14</v>
      </c>
      <c r="G822" s="1">
        <v>25600</v>
      </c>
      <c r="H822" t="s">
        <v>56</v>
      </c>
      <c r="I822" t="s">
        <v>2699</v>
      </c>
      <c r="J822" t="s">
        <v>2700</v>
      </c>
    </row>
    <row r="823" spans="1:10">
      <c r="A823">
        <v>144490</v>
      </c>
      <c r="B823" t="s">
        <v>446</v>
      </c>
      <c r="C823" t="s">
        <v>2701</v>
      </c>
      <c r="D823" t="s">
        <v>12</v>
      </c>
      <c r="E823" t="s">
        <v>2702</v>
      </c>
      <c r="F823" t="s">
        <v>14</v>
      </c>
      <c r="G823" s="1">
        <v>25510</v>
      </c>
      <c r="H823" t="s">
        <v>140</v>
      </c>
      <c r="I823" t="s">
        <v>669</v>
      </c>
      <c r="J823" t="s">
        <v>2703</v>
      </c>
    </row>
    <row r="824" spans="1:10">
      <c r="A824" t="s">
        <v>2704</v>
      </c>
      <c r="B824" t="s">
        <v>446</v>
      </c>
      <c r="C824" t="s">
        <v>2705</v>
      </c>
      <c r="D824" t="s">
        <v>12</v>
      </c>
      <c r="E824" t="s">
        <v>2706</v>
      </c>
      <c r="F824" t="s">
        <v>168</v>
      </c>
      <c r="G824" s="1">
        <v>25460</v>
      </c>
      <c r="H824" t="s">
        <v>27</v>
      </c>
      <c r="I824" t="s">
        <v>136</v>
      </c>
      <c r="J824" t="s">
        <v>2707</v>
      </c>
    </row>
    <row r="825" spans="1:10">
      <c r="A825">
        <v>148376</v>
      </c>
      <c r="B825" t="s">
        <v>446</v>
      </c>
      <c r="C825" t="s">
        <v>2708</v>
      </c>
      <c r="D825" t="s">
        <v>12</v>
      </c>
      <c r="E825" t="s">
        <v>2709</v>
      </c>
      <c r="F825" t="s">
        <v>14</v>
      </c>
      <c r="G825" s="1">
        <v>25405.42</v>
      </c>
      <c r="H825" t="s">
        <v>553</v>
      </c>
      <c r="I825" t="s">
        <v>1971</v>
      </c>
      <c r="J825" t="s">
        <v>1972</v>
      </c>
    </row>
    <row r="826" spans="1:10">
      <c r="A826">
        <v>149815</v>
      </c>
      <c r="B826" t="s">
        <v>446</v>
      </c>
      <c r="C826" t="s">
        <v>2710</v>
      </c>
      <c r="D826" t="s">
        <v>12</v>
      </c>
      <c r="E826" t="s">
        <v>2711</v>
      </c>
      <c r="F826" t="s">
        <v>14</v>
      </c>
      <c r="G826" s="1">
        <v>25396.46</v>
      </c>
      <c r="H826" t="s">
        <v>1144</v>
      </c>
      <c r="I826" t="s">
        <v>2712</v>
      </c>
      <c r="J826" t="s">
        <v>2713</v>
      </c>
    </row>
    <row r="827" spans="1:10">
      <c r="A827">
        <v>103277</v>
      </c>
      <c r="B827" t="s">
        <v>446</v>
      </c>
      <c r="C827" t="s">
        <v>2714</v>
      </c>
      <c r="D827" t="s">
        <v>12</v>
      </c>
      <c r="E827" t="s">
        <v>2715</v>
      </c>
      <c r="F827" t="s">
        <v>14</v>
      </c>
      <c r="G827" s="1">
        <v>25354.240000000002</v>
      </c>
      <c r="H827" t="s">
        <v>232</v>
      </c>
      <c r="I827" t="s">
        <v>233</v>
      </c>
      <c r="J827" t="s">
        <v>2716</v>
      </c>
    </row>
    <row r="828" spans="1:10">
      <c r="A828">
        <v>146247</v>
      </c>
      <c r="B828" t="s">
        <v>446</v>
      </c>
      <c r="C828" t="s">
        <v>2717</v>
      </c>
      <c r="D828" t="s">
        <v>12</v>
      </c>
      <c r="E828" t="s">
        <v>2718</v>
      </c>
      <c r="F828" t="s">
        <v>14</v>
      </c>
      <c r="G828" s="1">
        <v>25352.49</v>
      </c>
      <c r="H828" t="s">
        <v>140</v>
      </c>
      <c r="I828" t="s">
        <v>669</v>
      </c>
      <c r="J828" t="s">
        <v>2719</v>
      </c>
    </row>
    <row r="829" spans="1:10">
      <c r="A829" t="s">
        <v>2720</v>
      </c>
      <c r="B829" t="s">
        <v>446</v>
      </c>
      <c r="C829" t="s">
        <v>2721</v>
      </c>
      <c r="D829" t="s">
        <v>12</v>
      </c>
      <c r="E829" t="s">
        <v>2722</v>
      </c>
      <c r="F829" t="s">
        <v>168</v>
      </c>
      <c r="G829" s="1">
        <v>25352.12</v>
      </c>
      <c r="H829" t="s">
        <v>232</v>
      </c>
      <c r="I829" t="s">
        <v>2723</v>
      </c>
      <c r="J829" t="s">
        <v>2724</v>
      </c>
    </row>
    <row r="830" spans="1:10">
      <c r="A830">
        <v>126013</v>
      </c>
      <c r="B830" t="s">
        <v>446</v>
      </c>
      <c r="C830" t="s">
        <v>2725</v>
      </c>
      <c r="D830" t="s">
        <v>12</v>
      </c>
      <c r="E830" t="s">
        <v>2726</v>
      </c>
      <c r="F830" t="s">
        <v>14</v>
      </c>
      <c r="G830" s="1">
        <v>25020.880000000001</v>
      </c>
      <c r="H830" t="s">
        <v>56</v>
      </c>
      <c r="I830" t="s">
        <v>2727</v>
      </c>
      <c r="J830" t="s">
        <v>2728</v>
      </c>
    </row>
    <row r="831" spans="1:10">
      <c r="A831">
        <v>110475</v>
      </c>
      <c r="B831" t="s">
        <v>446</v>
      </c>
      <c r="C831" t="s">
        <v>2729</v>
      </c>
      <c r="D831" t="s">
        <v>12</v>
      </c>
      <c r="E831" t="s">
        <v>2730</v>
      </c>
      <c r="F831" t="s">
        <v>14</v>
      </c>
      <c r="G831" s="1">
        <v>25000</v>
      </c>
      <c r="H831" t="s">
        <v>425</v>
      </c>
      <c r="I831" t="s">
        <v>2731</v>
      </c>
      <c r="J831" t="s">
        <v>2732</v>
      </c>
    </row>
    <row r="832" spans="1:10">
      <c r="A832">
        <v>151946</v>
      </c>
      <c r="B832" t="s">
        <v>446</v>
      </c>
      <c r="C832" t="s">
        <v>2733</v>
      </c>
      <c r="D832" t="s">
        <v>12</v>
      </c>
      <c r="E832" t="s">
        <v>2734</v>
      </c>
      <c r="F832" t="s">
        <v>14</v>
      </c>
      <c r="G832" s="1">
        <v>25000</v>
      </c>
      <c r="H832" t="s">
        <v>333</v>
      </c>
      <c r="I832" t="s">
        <v>1756</v>
      </c>
      <c r="J832" t="s">
        <v>2735</v>
      </c>
    </row>
    <row r="833" spans="1:10">
      <c r="A833">
        <v>150524</v>
      </c>
      <c r="B833" t="s">
        <v>446</v>
      </c>
      <c r="C833" t="s">
        <v>2736</v>
      </c>
      <c r="D833" t="s">
        <v>12</v>
      </c>
      <c r="E833" t="s">
        <v>2737</v>
      </c>
      <c r="F833" t="s">
        <v>14</v>
      </c>
      <c r="G833" s="1">
        <v>25000</v>
      </c>
      <c r="H833" t="s">
        <v>333</v>
      </c>
      <c r="I833" t="s">
        <v>2738</v>
      </c>
      <c r="J833" t="s">
        <v>2739</v>
      </c>
    </row>
    <row r="834" spans="1:10">
      <c r="A834">
        <v>141952</v>
      </c>
      <c r="B834" t="s">
        <v>446</v>
      </c>
      <c r="C834" t="s">
        <v>2740</v>
      </c>
      <c r="D834" t="s">
        <v>12</v>
      </c>
      <c r="E834" t="s">
        <v>2741</v>
      </c>
      <c r="F834" t="s">
        <v>14</v>
      </c>
      <c r="G834" s="1">
        <v>24877.66</v>
      </c>
      <c r="H834" t="s">
        <v>777</v>
      </c>
      <c r="I834" t="s">
        <v>2742</v>
      </c>
      <c r="J834" t="s">
        <v>2743</v>
      </c>
    </row>
    <row r="835" spans="1:10">
      <c r="A835">
        <v>151719</v>
      </c>
      <c r="B835" t="s">
        <v>446</v>
      </c>
      <c r="C835" t="s">
        <v>2744</v>
      </c>
      <c r="D835" t="s">
        <v>331</v>
      </c>
      <c r="E835" t="s">
        <v>2745</v>
      </c>
      <c r="F835" t="s">
        <v>14</v>
      </c>
      <c r="G835" s="1">
        <v>24750</v>
      </c>
      <c r="H835" t="s">
        <v>333</v>
      </c>
      <c r="I835" t="s">
        <v>333</v>
      </c>
      <c r="J835" t="s">
        <v>2746</v>
      </c>
    </row>
    <row r="836" spans="1:10">
      <c r="A836" t="s">
        <v>2747</v>
      </c>
      <c r="B836" t="s">
        <v>446</v>
      </c>
      <c r="C836" t="s">
        <v>2748</v>
      </c>
      <c r="D836" t="s">
        <v>512</v>
      </c>
      <c r="E836" t="s">
        <v>2749</v>
      </c>
      <c r="F836" t="s">
        <v>168</v>
      </c>
      <c r="G836" s="1">
        <v>24517.85</v>
      </c>
      <c r="H836" t="s">
        <v>232</v>
      </c>
      <c r="I836" t="s">
        <v>2750</v>
      </c>
      <c r="J836" t="s">
        <v>2751</v>
      </c>
    </row>
    <row r="837" spans="1:10">
      <c r="A837">
        <v>151041</v>
      </c>
      <c r="B837" t="s">
        <v>446</v>
      </c>
      <c r="C837" t="s">
        <v>2752</v>
      </c>
      <c r="D837" t="s">
        <v>12</v>
      </c>
      <c r="E837" t="s">
        <v>2753</v>
      </c>
      <c r="F837" t="s">
        <v>14</v>
      </c>
      <c r="G837" s="1">
        <v>24500</v>
      </c>
      <c r="H837" t="s">
        <v>553</v>
      </c>
      <c r="I837" t="s">
        <v>2754</v>
      </c>
      <c r="J837" t="s">
        <v>2755</v>
      </c>
    </row>
    <row r="838" spans="1:10">
      <c r="A838">
        <v>130665</v>
      </c>
      <c r="B838" t="s">
        <v>446</v>
      </c>
      <c r="C838" t="s">
        <v>2756</v>
      </c>
      <c r="D838" t="s">
        <v>12</v>
      </c>
      <c r="E838" t="s">
        <v>2757</v>
      </c>
      <c r="F838" t="s">
        <v>14</v>
      </c>
      <c r="G838" s="1">
        <v>24453.1</v>
      </c>
      <c r="H838" t="s">
        <v>1378</v>
      </c>
      <c r="I838" t="s">
        <v>2033</v>
      </c>
      <c r="J838" t="s">
        <v>2758</v>
      </c>
    </row>
    <row r="839" spans="1:10">
      <c r="A839">
        <v>150276</v>
      </c>
      <c r="B839" t="s">
        <v>446</v>
      </c>
      <c r="C839" t="s">
        <v>2759</v>
      </c>
      <c r="D839" t="s">
        <v>12</v>
      </c>
      <c r="E839" t="s">
        <v>2760</v>
      </c>
      <c r="F839" t="s">
        <v>14</v>
      </c>
      <c r="G839" s="1">
        <v>24431.23</v>
      </c>
      <c r="H839" t="s">
        <v>36</v>
      </c>
      <c r="I839" t="s">
        <v>2761</v>
      </c>
      <c r="J839" t="s">
        <v>2762</v>
      </c>
    </row>
    <row r="840" spans="1:10">
      <c r="A840">
        <v>151532</v>
      </c>
      <c r="B840" t="s">
        <v>446</v>
      </c>
      <c r="C840" t="s">
        <v>2763</v>
      </c>
      <c r="D840" t="s">
        <v>12</v>
      </c>
      <c r="E840" t="s">
        <v>2764</v>
      </c>
      <c r="F840" t="s">
        <v>14</v>
      </c>
      <c r="G840" s="1">
        <v>24410.23</v>
      </c>
      <c r="H840" t="s">
        <v>1017</v>
      </c>
      <c r="I840" t="s">
        <v>2765</v>
      </c>
      <c r="J840" t="s">
        <v>2766</v>
      </c>
    </row>
    <row r="841" spans="1:10">
      <c r="A841">
        <v>151248</v>
      </c>
      <c r="B841" t="s">
        <v>446</v>
      </c>
      <c r="C841" t="s">
        <v>2767</v>
      </c>
      <c r="D841" t="s">
        <v>12</v>
      </c>
      <c r="E841" t="s">
        <v>2768</v>
      </c>
      <c r="F841" t="s">
        <v>14</v>
      </c>
      <c r="G841" s="1">
        <v>24400</v>
      </c>
      <c r="H841" t="s">
        <v>1017</v>
      </c>
      <c r="I841" t="s">
        <v>2769</v>
      </c>
      <c r="J841" t="s">
        <v>2770</v>
      </c>
    </row>
    <row r="842" spans="1:10">
      <c r="A842">
        <v>151562</v>
      </c>
      <c r="B842" t="s">
        <v>446</v>
      </c>
      <c r="C842" t="s">
        <v>2771</v>
      </c>
      <c r="D842" t="s">
        <v>12</v>
      </c>
      <c r="E842" t="s">
        <v>2772</v>
      </c>
      <c r="F842" t="s">
        <v>14</v>
      </c>
      <c r="G842" s="1">
        <v>24262.45</v>
      </c>
      <c r="H842" t="s">
        <v>95</v>
      </c>
      <c r="I842" t="s">
        <v>506</v>
      </c>
      <c r="J842" t="s">
        <v>1522</v>
      </c>
    </row>
    <row r="843" spans="1:10">
      <c r="A843">
        <v>141923</v>
      </c>
      <c r="B843" t="s">
        <v>446</v>
      </c>
      <c r="C843" t="s">
        <v>2773</v>
      </c>
      <c r="D843" t="s">
        <v>12</v>
      </c>
      <c r="E843" t="s">
        <v>2774</v>
      </c>
      <c r="F843" t="s">
        <v>14</v>
      </c>
      <c r="G843" s="1">
        <v>24161.38</v>
      </c>
      <c r="H843" t="s">
        <v>1017</v>
      </c>
      <c r="I843" t="s">
        <v>2775</v>
      </c>
      <c r="J843" t="s">
        <v>2776</v>
      </c>
    </row>
    <row r="844" spans="1:10">
      <c r="A844">
        <v>151083</v>
      </c>
      <c r="B844" t="s">
        <v>446</v>
      </c>
      <c r="C844" t="s">
        <v>2777</v>
      </c>
      <c r="D844" t="s">
        <v>124</v>
      </c>
      <c r="E844" t="s">
        <v>2778</v>
      </c>
      <c r="F844" t="s">
        <v>14</v>
      </c>
      <c r="G844" s="1">
        <v>24000</v>
      </c>
      <c r="H844" t="s">
        <v>126</v>
      </c>
      <c r="I844" t="s">
        <v>156</v>
      </c>
      <c r="J844" t="s">
        <v>180</v>
      </c>
    </row>
    <row r="845" spans="1:10">
      <c r="A845">
        <v>151089</v>
      </c>
      <c r="B845" t="s">
        <v>446</v>
      </c>
      <c r="C845" t="s">
        <v>2779</v>
      </c>
      <c r="D845" t="s">
        <v>12</v>
      </c>
      <c r="E845" t="s">
        <v>2780</v>
      </c>
      <c r="F845" t="s">
        <v>14</v>
      </c>
      <c r="G845" s="1">
        <v>24000</v>
      </c>
      <c r="H845" t="s">
        <v>437</v>
      </c>
      <c r="I845" t="s">
        <v>2781</v>
      </c>
      <c r="J845" t="s">
        <v>2782</v>
      </c>
    </row>
    <row r="846" spans="1:10">
      <c r="A846">
        <v>128289</v>
      </c>
      <c r="B846" t="s">
        <v>446</v>
      </c>
      <c r="C846" t="s">
        <v>2783</v>
      </c>
      <c r="D846" t="s">
        <v>12</v>
      </c>
      <c r="E846" t="s">
        <v>2784</v>
      </c>
      <c r="F846" t="s">
        <v>14</v>
      </c>
      <c r="G846" s="1">
        <v>23630</v>
      </c>
      <c r="H846" t="s">
        <v>95</v>
      </c>
      <c r="I846" t="s">
        <v>506</v>
      </c>
      <c r="J846" t="s">
        <v>1522</v>
      </c>
    </row>
    <row r="847" spans="1:10">
      <c r="A847">
        <v>145191</v>
      </c>
      <c r="B847" t="s">
        <v>446</v>
      </c>
      <c r="C847" t="s">
        <v>2785</v>
      </c>
      <c r="D847" t="s">
        <v>12</v>
      </c>
      <c r="E847" t="s">
        <v>2786</v>
      </c>
      <c r="F847" t="s">
        <v>168</v>
      </c>
      <c r="G847" s="1">
        <v>23627.08</v>
      </c>
      <c r="H847" t="s">
        <v>232</v>
      </c>
      <c r="I847" t="s">
        <v>2787</v>
      </c>
      <c r="J847" t="s">
        <v>2788</v>
      </c>
    </row>
    <row r="848" spans="1:10">
      <c r="A848">
        <v>104987</v>
      </c>
      <c r="B848" t="s">
        <v>446</v>
      </c>
      <c r="C848" t="s">
        <v>2789</v>
      </c>
      <c r="D848" t="s">
        <v>12</v>
      </c>
      <c r="E848" t="s">
        <v>2790</v>
      </c>
      <c r="F848" t="s">
        <v>14</v>
      </c>
      <c r="G848" s="1">
        <v>23295</v>
      </c>
      <c r="H848" t="s">
        <v>140</v>
      </c>
      <c r="I848" t="s">
        <v>1993</v>
      </c>
      <c r="J848" t="s">
        <v>1994</v>
      </c>
    </row>
    <row r="849" spans="1:10">
      <c r="A849">
        <v>147187</v>
      </c>
      <c r="B849" t="s">
        <v>446</v>
      </c>
      <c r="C849" t="s">
        <v>2791</v>
      </c>
      <c r="D849" t="s">
        <v>12</v>
      </c>
      <c r="E849" t="s">
        <v>2792</v>
      </c>
      <c r="F849" t="s">
        <v>14</v>
      </c>
      <c r="G849" s="1">
        <v>23247.25</v>
      </c>
      <c r="H849" t="s">
        <v>232</v>
      </c>
      <c r="I849" t="s">
        <v>233</v>
      </c>
      <c r="J849" t="s">
        <v>2255</v>
      </c>
    </row>
    <row r="850" spans="1:10">
      <c r="A850">
        <v>146229</v>
      </c>
      <c r="B850" t="s">
        <v>446</v>
      </c>
      <c r="C850" t="s">
        <v>2793</v>
      </c>
      <c r="D850" t="s">
        <v>12</v>
      </c>
      <c r="E850" t="s">
        <v>2794</v>
      </c>
      <c r="F850" t="s">
        <v>14</v>
      </c>
      <c r="G850" s="1">
        <v>23206.66</v>
      </c>
      <c r="H850" t="s">
        <v>777</v>
      </c>
      <c r="I850" t="s">
        <v>2795</v>
      </c>
      <c r="J850" t="s">
        <v>2796</v>
      </c>
    </row>
    <row r="851" spans="1:10">
      <c r="A851">
        <v>145605</v>
      </c>
      <c r="B851" t="s">
        <v>446</v>
      </c>
      <c r="C851" t="s">
        <v>2797</v>
      </c>
      <c r="D851" t="s">
        <v>12</v>
      </c>
      <c r="E851" t="s">
        <v>2798</v>
      </c>
      <c r="F851" t="s">
        <v>14</v>
      </c>
      <c r="G851" s="1">
        <v>22871.9</v>
      </c>
      <c r="H851" t="s">
        <v>56</v>
      </c>
      <c r="I851" t="s">
        <v>2799</v>
      </c>
      <c r="J851" t="s">
        <v>2800</v>
      </c>
    </row>
    <row r="852" spans="1:10">
      <c r="A852">
        <v>150347</v>
      </c>
      <c r="B852" t="s">
        <v>446</v>
      </c>
      <c r="C852" t="s">
        <v>2801</v>
      </c>
      <c r="D852" t="s">
        <v>124</v>
      </c>
      <c r="E852" t="s">
        <v>2802</v>
      </c>
      <c r="F852" t="s">
        <v>14</v>
      </c>
      <c r="G852" s="1">
        <v>22750</v>
      </c>
      <c r="H852" t="s">
        <v>126</v>
      </c>
      <c r="I852" t="s">
        <v>2803</v>
      </c>
      <c r="J852" t="s">
        <v>2804</v>
      </c>
    </row>
    <row r="853" spans="1:10">
      <c r="A853">
        <v>103907</v>
      </c>
      <c r="B853" t="s">
        <v>446</v>
      </c>
      <c r="C853" t="s">
        <v>2805</v>
      </c>
      <c r="D853" t="s">
        <v>12</v>
      </c>
      <c r="E853" t="s">
        <v>2806</v>
      </c>
      <c r="F853" t="s">
        <v>14</v>
      </c>
      <c r="G853" s="1">
        <v>22620.38</v>
      </c>
      <c r="H853" t="s">
        <v>1412</v>
      </c>
      <c r="I853" t="s">
        <v>2807</v>
      </c>
      <c r="J853" t="s">
        <v>2808</v>
      </c>
    </row>
    <row r="854" spans="1:10">
      <c r="A854">
        <v>104040</v>
      </c>
      <c r="B854" t="s">
        <v>446</v>
      </c>
      <c r="C854" t="s">
        <v>2809</v>
      </c>
      <c r="D854" t="s">
        <v>12</v>
      </c>
      <c r="E854" t="s">
        <v>2810</v>
      </c>
      <c r="F854" t="s">
        <v>14</v>
      </c>
      <c r="G854" s="1">
        <v>22595</v>
      </c>
      <c r="H854" t="s">
        <v>1378</v>
      </c>
      <c r="I854" t="s">
        <v>2295</v>
      </c>
      <c r="J854" t="s">
        <v>2811</v>
      </c>
    </row>
    <row r="855" spans="1:10">
      <c r="A855">
        <v>107191</v>
      </c>
      <c r="B855" t="s">
        <v>446</v>
      </c>
      <c r="C855" t="s">
        <v>2812</v>
      </c>
      <c r="D855" t="s">
        <v>12</v>
      </c>
      <c r="E855" t="s">
        <v>2813</v>
      </c>
      <c r="F855" t="s">
        <v>14</v>
      </c>
      <c r="G855" s="1">
        <v>22539.26</v>
      </c>
      <c r="H855" t="s">
        <v>1017</v>
      </c>
      <c r="I855" t="s">
        <v>1943</v>
      </c>
      <c r="J855" t="s">
        <v>2814</v>
      </c>
    </row>
    <row r="856" spans="1:10">
      <c r="A856">
        <v>140618</v>
      </c>
      <c r="B856" t="s">
        <v>446</v>
      </c>
      <c r="C856" t="s">
        <v>2815</v>
      </c>
      <c r="D856" t="s">
        <v>12</v>
      </c>
      <c r="E856" t="s">
        <v>2816</v>
      </c>
      <c r="F856" t="s">
        <v>14</v>
      </c>
      <c r="G856" s="1">
        <v>22500.98</v>
      </c>
      <c r="H856" t="s">
        <v>36</v>
      </c>
      <c r="I856" t="s">
        <v>2473</v>
      </c>
      <c r="J856" t="s">
        <v>2817</v>
      </c>
    </row>
    <row r="857" spans="1:10">
      <c r="A857">
        <v>152037</v>
      </c>
      <c r="B857" t="s">
        <v>446</v>
      </c>
      <c r="C857" t="s">
        <v>2818</v>
      </c>
      <c r="D857" t="s">
        <v>12</v>
      </c>
      <c r="E857" t="s">
        <v>2819</v>
      </c>
      <c r="F857" t="s">
        <v>14</v>
      </c>
      <c r="G857" s="1">
        <v>22500</v>
      </c>
      <c r="H857" t="s">
        <v>333</v>
      </c>
      <c r="I857" t="s">
        <v>2820</v>
      </c>
      <c r="J857" t="s">
        <v>2821</v>
      </c>
    </row>
    <row r="858" spans="1:10">
      <c r="A858">
        <v>147721</v>
      </c>
      <c r="B858" t="s">
        <v>446</v>
      </c>
      <c r="C858" t="s">
        <v>2822</v>
      </c>
      <c r="D858" t="s">
        <v>124</v>
      </c>
      <c r="E858" t="s">
        <v>2823</v>
      </c>
      <c r="F858" t="s">
        <v>14</v>
      </c>
      <c r="G858" s="1">
        <v>22450</v>
      </c>
      <c r="H858" t="s">
        <v>126</v>
      </c>
      <c r="I858" t="s">
        <v>156</v>
      </c>
      <c r="J858" t="s">
        <v>180</v>
      </c>
    </row>
    <row r="859" spans="1:10">
      <c r="A859">
        <v>142862</v>
      </c>
      <c r="B859" t="s">
        <v>446</v>
      </c>
      <c r="C859" t="s">
        <v>2824</v>
      </c>
      <c r="D859" t="s">
        <v>12</v>
      </c>
      <c r="E859" t="s">
        <v>2825</v>
      </c>
      <c r="F859" t="s">
        <v>14</v>
      </c>
      <c r="G859" s="1">
        <v>22400.78</v>
      </c>
      <c r="H859" t="s">
        <v>36</v>
      </c>
      <c r="I859" t="s">
        <v>2491</v>
      </c>
      <c r="J859" t="s">
        <v>2826</v>
      </c>
    </row>
    <row r="860" spans="1:10">
      <c r="A860">
        <v>143802</v>
      </c>
      <c r="B860" t="s">
        <v>446</v>
      </c>
      <c r="C860" t="s">
        <v>2827</v>
      </c>
      <c r="D860" t="s">
        <v>12</v>
      </c>
      <c r="E860" t="s">
        <v>2828</v>
      </c>
      <c r="F860" t="s">
        <v>14</v>
      </c>
      <c r="G860" s="1">
        <v>22370</v>
      </c>
      <c r="H860" t="s">
        <v>140</v>
      </c>
      <c r="I860" t="s">
        <v>2829</v>
      </c>
      <c r="J860" t="s">
        <v>2830</v>
      </c>
    </row>
    <row r="861" spans="1:10">
      <c r="A861">
        <v>148414</v>
      </c>
      <c r="B861" t="s">
        <v>446</v>
      </c>
      <c r="C861" t="s">
        <v>2831</v>
      </c>
      <c r="D861" t="s">
        <v>12</v>
      </c>
      <c r="E861" t="s">
        <v>2832</v>
      </c>
      <c r="F861" t="s">
        <v>14</v>
      </c>
      <c r="G861" s="1">
        <v>22359.05</v>
      </c>
      <c r="H861" t="s">
        <v>36</v>
      </c>
      <c r="I861" t="s">
        <v>2833</v>
      </c>
      <c r="J861" t="s">
        <v>2834</v>
      </c>
    </row>
    <row r="862" spans="1:10">
      <c r="A862">
        <v>150002</v>
      </c>
      <c r="B862" t="s">
        <v>446</v>
      </c>
      <c r="C862" t="s">
        <v>2835</v>
      </c>
      <c r="D862" t="s">
        <v>124</v>
      </c>
      <c r="E862" t="s">
        <v>2836</v>
      </c>
      <c r="F862" t="s">
        <v>168</v>
      </c>
      <c r="G862" s="1">
        <v>22103.06</v>
      </c>
      <c r="H862" t="s">
        <v>504</v>
      </c>
      <c r="I862" t="s">
        <v>2837</v>
      </c>
      <c r="J862" t="s">
        <v>2838</v>
      </c>
    </row>
    <row r="863" spans="1:10">
      <c r="A863">
        <v>146458</v>
      </c>
      <c r="B863" t="s">
        <v>446</v>
      </c>
      <c r="C863" t="s">
        <v>2839</v>
      </c>
      <c r="D863" t="s">
        <v>12</v>
      </c>
      <c r="E863" t="s">
        <v>2840</v>
      </c>
      <c r="F863" t="s">
        <v>14</v>
      </c>
      <c r="G863" s="1">
        <v>22100</v>
      </c>
      <c r="H863" t="s">
        <v>85</v>
      </c>
      <c r="I863" t="s">
        <v>2841</v>
      </c>
      <c r="J863" t="s">
        <v>2842</v>
      </c>
    </row>
    <row r="864" spans="1:10">
      <c r="A864">
        <v>145654</v>
      </c>
      <c r="B864" t="s">
        <v>446</v>
      </c>
      <c r="C864" t="s">
        <v>2843</v>
      </c>
      <c r="D864" t="s">
        <v>12</v>
      </c>
      <c r="E864" t="s">
        <v>2844</v>
      </c>
      <c r="F864" t="s">
        <v>14</v>
      </c>
      <c r="G864" s="1">
        <v>21913.64</v>
      </c>
      <c r="H864" t="s">
        <v>36</v>
      </c>
      <c r="I864" t="s">
        <v>1906</v>
      </c>
      <c r="J864" t="s">
        <v>2845</v>
      </c>
    </row>
    <row r="865" spans="1:10">
      <c r="A865">
        <v>106420</v>
      </c>
      <c r="B865" t="s">
        <v>446</v>
      </c>
      <c r="C865" t="s">
        <v>2846</v>
      </c>
      <c r="D865" t="s">
        <v>12</v>
      </c>
      <c r="E865" t="s">
        <v>2847</v>
      </c>
      <c r="F865" t="s">
        <v>14</v>
      </c>
      <c r="G865" s="1">
        <v>21751</v>
      </c>
      <c r="H865" t="s">
        <v>126</v>
      </c>
      <c r="I865" t="s">
        <v>2848</v>
      </c>
      <c r="J865" t="s">
        <v>2849</v>
      </c>
    </row>
    <row r="866" spans="1:10">
      <c r="A866">
        <v>145342</v>
      </c>
      <c r="B866" t="s">
        <v>446</v>
      </c>
      <c r="C866" t="s">
        <v>2850</v>
      </c>
      <c r="D866" t="s">
        <v>12</v>
      </c>
      <c r="E866" t="s">
        <v>2851</v>
      </c>
      <c r="F866" t="s">
        <v>14</v>
      </c>
      <c r="G866" s="1">
        <v>21688.36</v>
      </c>
      <c r="H866" t="s">
        <v>36</v>
      </c>
      <c r="I866" t="s">
        <v>2852</v>
      </c>
      <c r="J866" t="s">
        <v>2853</v>
      </c>
    </row>
    <row r="867" spans="1:10">
      <c r="A867">
        <v>140448</v>
      </c>
      <c r="B867" t="s">
        <v>446</v>
      </c>
      <c r="C867" t="s">
        <v>2854</v>
      </c>
      <c r="D867" t="s">
        <v>12</v>
      </c>
      <c r="E867" t="s">
        <v>2855</v>
      </c>
      <c r="F867" t="s">
        <v>14</v>
      </c>
      <c r="G867" s="1">
        <v>21580</v>
      </c>
      <c r="H867" t="s">
        <v>918</v>
      </c>
      <c r="I867" t="s">
        <v>2856</v>
      </c>
      <c r="J867" t="s">
        <v>2857</v>
      </c>
    </row>
    <row r="868" spans="1:10">
      <c r="A868">
        <v>114078</v>
      </c>
      <c r="B868" t="s">
        <v>446</v>
      </c>
      <c r="C868" t="s">
        <v>2858</v>
      </c>
      <c r="D868" t="s">
        <v>512</v>
      </c>
      <c r="E868" t="s">
        <v>2859</v>
      </c>
      <c r="F868" t="s">
        <v>14</v>
      </c>
      <c r="G868" s="1">
        <v>21479.14</v>
      </c>
      <c r="H868" t="s">
        <v>27</v>
      </c>
      <c r="I868" t="s">
        <v>2860</v>
      </c>
      <c r="J868" t="s">
        <v>2861</v>
      </c>
    </row>
    <row r="869" spans="1:10">
      <c r="A869">
        <v>129776</v>
      </c>
      <c r="B869" t="s">
        <v>446</v>
      </c>
      <c r="C869" t="s">
        <v>2862</v>
      </c>
      <c r="D869" t="s">
        <v>12</v>
      </c>
      <c r="E869" t="s">
        <v>2863</v>
      </c>
      <c r="F869" t="s">
        <v>14</v>
      </c>
      <c r="G869" s="1">
        <v>21412.45</v>
      </c>
      <c r="H869" t="s">
        <v>1378</v>
      </c>
      <c r="I869" t="s">
        <v>2864</v>
      </c>
      <c r="J869" t="s">
        <v>2865</v>
      </c>
    </row>
    <row r="870" spans="1:10">
      <c r="A870">
        <v>146042</v>
      </c>
      <c r="B870" t="s">
        <v>446</v>
      </c>
      <c r="C870" t="s">
        <v>2866</v>
      </c>
      <c r="D870" t="s">
        <v>12</v>
      </c>
      <c r="E870" t="s">
        <v>2867</v>
      </c>
      <c r="F870" t="s">
        <v>14</v>
      </c>
      <c r="G870" s="1">
        <v>21404.080000000002</v>
      </c>
      <c r="H870" t="s">
        <v>918</v>
      </c>
      <c r="I870" t="s">
        <v>919</v>
      </c>
      <c r="J870" t="s">
        <v>2868</v>
      </c>
    </row>
    <row r="871" spans="1:10">
      <c r="A871">
        <v>140091</v>
      </c>
      <c r="B871" t="s">
        <v>446</v>
      </c>
      <c r="C871" t="s">
        <v>2869</v>
      </c>
      <c r="D871" t="s">
        <v>12</v>
      </c>
      <c r="E871" t="s">
        <v>2870</v>
      </c>
      <c r="F871" t="s">
        <v>14</v>
      </c>
      <c r="G871" s="1">
        <v>21379.5</v>
      </c>
      <c r="H871" t="s">
        <v>140</v>
      </c>
      <c r="I871" t="s">
        <v>1890</v>
      </c>
      <c r="J871" t="s">
        <v>1596</v>
      </c>
    </row>
    <row r="872" spans="1:10">
      <c r="A872">
        <v>128858</v>
      </c>
      <c r="B872" t="s">
        <v>446</v>
      </c>
      <c r="C872" t="s">
        <v>2871</v>
      </c>
      <c r="D872" t="s">
        <v>12</v>
      </c>
      <c r="E872" t="s">
        <v>2872</v>
      </c>
      <c r="F872" t="s">
        <v>14</v>
      </c>
      <c r="G872" s="1">
        <v>21263.73</v>
      </c>
      <c r="H872"/>
      <c r="I872" t="s">
        <v>2873</v>
      </c>
      <c r="J872" t="s">
        <v>2874</v>
      </c>
    </row>
    <row r="873" spans="1:10">
      <c r="A873">
        <v>144815</v>
      </c>
      <c r="B873" t="s">
        <v>446</v>
      </c>
      <c r="C873" t="s">
        <v>2875</v>
      </c>
      <c r="D873" t="s">
        <v>12</v>
      </c>
      <c r="E873" t="s">
        <v>2876</v>
      </c>
      <c r="F873" t="s">
        <v>14</v>
      </c>
      <c r="G873" s="1">
        <v>21100.32</v>
      </c>
      <c r="H873" t="s">
        <v>437</v>
      </c>
      <c r="I873" t="s">
        <v>2877</v>
      </c>
      <c r="J873" t="s">
        <v>2878</v>
      </c>
    </row>
    <row r="874" spans="1:10">
      <c r="A874">
        <v>152362</v>
      </c>
      <c r="B874" t="s">
        <v>446</v>
      </c>
      <c r="C874" t="s">
        <v>2879</v>
      </c>
      <c r="D874" t="s">
        <v>12</v>
      </c>
      <c r="E874" t="s">
        <v>2880</v>
      </c>
      <c r="F874" t="s">
        <v>14</v>
      </c>
      <c r="G874" s="1">
        <v>21013.71</v>
      </c>
      <c r="H874" t="s">
        <v>232</v>
      </c>
      <c r="I874" t="s">
        <v>2881</v>
      </c>
      <c r="J874" t="s">
        <v>2882</v>
      </c>
    </row>
    <row r="875" spans="1:10">
      <c r="A875">
        <v>117455</v>
      </c>
      <c r="B875" t="s">
        <v>446</v>
      </c>
      <c r="C875" t="s">
        <v>2883</v>
      </c>
      <c r="D875" t="s">
        <v>12</v>
      </c>
      <c r="E875" t="s">
        <v>2884</v>
      </c>
      <c r="F875" t="s">
        <v>14</v>
      </c>
      <c r="G875" s="1">
        <v>21000</v>
      </c>
      <c r="H875" t="s">
        <v>437</v>
      </c>
      <c r="I875" t="s">
        <v>2885</v>
      </c>
      <c r="J875" t="s">
        <v>2886</v>
      </c>
    </row>
    <row r="876" spans="1:10">
      <c r="A876">
        <v>151039</v>
      </c>
      <c r="B876" t="s">
        <v>446</v>
      </c>
      <c r="C876" t="s">
        <v>2887</v>
      </c>
      <c r="D876" t="s">
        <v>124</v>
      </c>
      <c r="E876" t="s">
        <v>2888</v>
      </c>
      <c r="F876" t="s">
        <v>14</v>
      </c>
      <c r="G876" s="1">
        <v>21000</v>
      </c>
      <c r="H876" t="s">
        <v>126</v>
      </c>
      <c r="I876" t="s">
        <v>156</v>
      </c>
      <c r="J876" t="s">
        <v>180</v>
      </c>
    </row>
    <row r="877" spans="1:10">
      <c r="A877">
        <v>141450</v>
      </c>
      <c r="B877" t="s">
        <v>446</v>
      </c>
      <c r="C877" t="s">
        <v>2889</v>
      </c>
      <c r="D877" t="s">
        <v>12</v>
      </c>
      <c r="E877" t="s">
        <v>2890</v>
      </c>
      <c r="F877" t="s">
        <v>14</v>
      </c>
      <c r="G877" s="1">
        <v>20864.580000000002</v>
      </c>
      <c r="H877" t="s">
        <v>36</v>
      </c>
      <c r="I877" t="s">
        <v>2491</v>
      </c>
      <c r="J877" t="s">
        <v>2891</v>
      </c>
    </row>
    <row r="878" spans="1:10">
      <c r="A878">
        <v>148276</v>
      </c>
      <c r="B878" t="s">
        <v>446</v>
      </c>
      <c r="C878" t="s">
        <v>2892</v>
      </c>
      <c r="D878" t="s">
        <v>512</v>
      </c>
      <c r="E878" t="s">
        <v>199</v>
      </c>
      <c r="F878" t="s">
        <v>14</v>
      </c>
      <c r="G878" s="1">
        <v>20773.900000000001</v>
      </c>
      <c r="H878" t="s">
        <v>27</v>
      </c>
      <c r="I878" t="s">
        <v>2893</v>
      </c>
      <c r="J878" t="s">
        <v>2894</v>
      </c>
    </row>
    <row r="879" spans="1:10">
      <c r="A879">
        <v>150464</v>
      </c>
      <c r="B879" t="s">
        <v>446</v>
      </c>
      <c r="C879" t="s">
        <v>2895</v>
      </c>
      <c r="D879" t="s">
        <v>124</v>
      </c>
      <c r="E879" t="s">
        <v>2896</v>
      </c>
      <c r="F879" t="s">
        <v>14</v>
      </c>
      <c r="G879" s="1">
        <v>20612.900000000001</v>
      </c>
      <c r="H879" t="s">
        <v>126</v>
      </c>
      <c r="I879" t="s">
        <v>156</v>
      </c>
      <c r="J879" t="s">
        <v>180</v>
      </c>
    </row>
    <row r="880" spans="1:10">
      <c r="A880">
        <v>100458</v>
      </c>
      <c r="B880" t="s">
        <v>446</v>
      </c>
      <c r="C880" t="s">
        <v>2897</v>
      </c>
      <c r="D880" t="s">
        <v>12</v>
      </c>
      <c r="E880" t="s">
        <v>2898</v>
      </c>
      <c r="F880" t="s">
        <v>14</v>
      </c>
      <c r="G880" s="1">
        <v>20554.830000000002</v>
      </c>
      <c r="H880" t="s">
        <v>56</v>
      </c>
      <c r="I880" t="s">
        <v>2899</v>
      </c>
      <c r="J880" t="s">
        <v>2900</v>
      </c>
    </row>
    <row r="881" spans="1:10">
      <c r="A881">
        <v>149543</v>
      </c>
      <c r="B881" t="s">
        <v>446</v>
      </c>
      <c r="C881" t="s">
        <v>2901</v>
      </c>
      <c r="D881" t="s">
        <v>124</v>
      </c>
      <c r="E881" t="s">
        <v>2902</v>
      </c>
      <c r="F881" t="s">
        <v>168</v>
      </c>
      <c r="G881" s="1">
        <v>20553.78</v>
      </c>
      <c r="H881" t="s">
        <v>1263</v>
      </c>
      <c r="I881" t="s">
        <v>1897</v>
      </c>
      <c r="J881" t="s">
        <v>1898</v>
      </c>
    </row>
    <row r="882" spans="1:10">
      <c r="A882">
        <v>102432</v>
      </c>
      <c r="B882" t="s">
        <v>446</v>
      </c>
      <c r="C882" t="s">
        <v>2903</v>
      </c>
      <c r="D882" t="s">
        <v>12</v>
      </c>
      <c r="E882" t="s">
        <v>2904</v>
      </c>
      <c r="F882" t="s">
        <v>14</v>
      </c>
      <c r="G882" s="1">
        <v>20527.04</v>
      </c>
      <c r="H882" t="s">
        <v>36</v>
      </c>
      <c r="I882" t="s">
        <v>2905</v>
      </c>
      <c r="J882" t="s">
        <v>2906</v>
      </c>
    </row>
    <row r="883" spans="1:10">
      <c r="A883">
        <v>150264</v>
      </c>
      <c r="B883" t="s">
        <v>446</v>
      </c>
      <c r="C883" t="s">
        <v>2907</v>
      </c>
      <c r="D883" t="s">
        <v>124</v>
      </c>
      <c r="E883" t="s">
        <v>2908</v>
      </c>
      <c r="F883" t="s">
        <v>14</v>
      </c>
      <c r="G883" s="1">
        <v>20505.03</v>
      </c>
      <c r="H883" t="s">
        <v>126</v>
      </c>
      <c r="I883" t="s">
        <v>156</v>
      </c>
      <c r="J883" t="s">
        <v>157</v>
      </c>
    </row>
    <row r="884" spans="1:10">
      <c r="A884">
        <v>147434</v>
      </c>
      <c r="B884" t="s">
        <v>446</v>
      </c>
      <c r="C884" t="s">
        <v>2909</v>
      </c>
      <c r="D884" t="s">
        <v>12</v>
      </c>
      <c r="F884" t="s">
        <v>14</v>
      </c>
      <c r="G884" s="1">
        <v>20500</v>
      </c>
      <c r="H884" t="s">
        <v>56</v>
      </c>
      <c r="I884" t="s">
        <v>2910</v>
      </c>
      <c r="J884" t="s">
        <v>2911</v>
      </c>
    </row>
    <row r="885" spans="1:10">
      <c r="A885">
        <v>115299</v>
      </c>
      <c r="B885" t="s">
        <v>446</v>
      </c>
      <c r="C885" t="s">
        <v>2912</v>
      </c>
      <c r="D885" t="s">
        <v>12</v>
      </c>
      <c r="E885" t="s">
        <v>2913</v>
      </c>
      <c r="F885" t="s">
        <v>14</v>
      </c>
      <c r="G885" s="1">
        <v>20490.09</v>
      </c>
      <c r="H885" t="s">
        <v>375</v>
      </c>
      <c r="I885" t="s">
        <v>2914</v>
      </c>
      <c r="J885" t="s">
        <v>2915</v>
      </c>
    </row>
    <row r="886" spans="1:10">
      <c r="A886">
        <v>151454</v>
      </c>
      <c r="B886" t="s">
        <v>446</v>
      </c>
      <c r="C886" t="s">
        <v>2916</v>
      </c>
      <c r="D886" t="s">
        <v>124</v>
      </c>
      <c r="E886" t="s">
        <v>2917</v>
      </c>
      <c r="F886" t="s">
        <v>14</v>
      </c>
      <c r="G886" s="1">
        <v>20419.349999999999</v>
      </c>
      <c r="H886" t="s">
        <v>126</v>
      </c>
      <c r="I886" t="s">
        <v>156</v>
      </c>
      <c r="J886" t="s">
        <v>2918</v>
      </c>
    </row>
    <row r="887" spans="1:10">
      <c r="A887">
        <v>127316</v>
      </c>
      <c r="B887" t="s">
        <v>446</v>
      </c>
      <c r="C887" t="s">
        <v>2919</v>
      </c>
      <c r="D887" t="s">
        <v>12</v>
      </c>
      <c r="E887" t="s">
        <v>2920</v>
      </c>
      <c r="F887" t="s">
        <v>14</v>
      </c>
      <c r="G887" s="1">
        <v>20191.52</v>
      </c>
      <c r="H887" t="s">
        <v>232</v>
      </c>
      <c r="I887" t="s">
        <v>233</v>
      </c>
      <c r="J887" t="s">
        <v>1649</v>
      </c>
    </row>
    <row r="888" spans="1:10">
      <c r="A888">
        <v>148502</v>
      </c>
      <c r="B888" t="s">
        <v>446</v>
      </c>
      <c r="C888" t="s">
        <v>2921</v>
      </c>
      <c r="D888" t="s">
        <v>25</v>
      </c>
      <c r="E888" t="s">
        <v>2922</v>
      </c>
      <c r="F888" t="s">
        <v>14</v>
      </c>
      <c r="G888" s="1">
        <v>20150</v>
      </c>
      <c r="H888" t="s">
        <v>27</v>
      </c>
      <c r="I888" t="s">
        <v>136</v>
      </c>
      <c r="J888" t="s">
        <v>2923</v>
      </c>
    </row>
    <row r="889" spans="1:10">
      <c r="A889">
        <v>145548</v>
      </c>
      <c r="B889" t="s">
        <v>446</v>
      </c>
      <c r="C889" t="s">
        <v>2924</v>
      </c>
      <c r="D889" t="s">
        <v>124</v>
      </c>
      <c r="E889" t="s">
        <v>2925</v>
      </c>
      <c r="F889" t="s">
        <v>14</v>
      </c>
      <c r="G889" s="1">
        <v>20000</v>
      </c>
      <c r="H889" t="s">
        <v>1263</v>
      </c>
      <c r="I889" t="s">
        <v>2926</v>
      </c>
      <c r="J889" t="s">
        <v>2927</v>
      </c>
    </row>
    <row r="890" spans="1:10">
      <c r="A890">
        <v>150762</v>
      </c>
      <c r="B890" t="s">
        <v>446</v>
      </c>
      <c r="C890" t="s">
        <v>2928</v>
      </c>
      <c r="D890" t="s">
        <v>124</v>
      </c>
      <c r="E890" t="s">
        <v>2929</v>
      </c>
      <c r="F890" t="s">
        <v>14</v>
      </c>
      <c r="G890" s="1">
        <v>19933.330000000002</v>
      </c>
      <c r="H890" t="s">
        <v>126</v>
      </c>
      <c r="I890" t="s">
        <v>156</v>
      </c>
      <c r="J890" t="s">
        <v>180</v>
      </c>
    </row>
    <row r="891" spans="1:10">
      <c r="A891">
        <v>101716</v>
      </c>
      <c r="B891" t="s">
        <v>446</v>
      </c>
      <c r="C891" t="s">
        <v>2930</v>
      </c>
      <c r="D891" t="s">
        <v>12</v>
      </c>
      <c r="E891" t="s">
        <v>2931</v>
      </c>
      <c r="F891" t="s">
        <v>14</v>
      </c>
      <c r="G891" s="1">
        <v>19927.650000000001</v>
      </c>
      <c r="H891" t="s">
        <v>56</v>
      </c>
      <c r="I891" t="s">
        <v>2013</v>
      </c>
      <c r="J891" t="s">
        <v>2014</v>
      </c>
    </row>
    <row r="892" spans="1:10">
      <c r="A892">
        <v>150047</v>
      </c>
      <c r="B892" t="s">
        <v>446</v>
      </c>
      <c r="C892" t="s">
        <v>2932</v>
      </c>
      <c r="D892" t="s">
        <v>12</v>
      </c>
      <c r="E892" t="s">
        <v>2933</v>
      </c>
      <c r="F892" t="s">
        <v>14</v>
      </c>
      <c r="G892" s="1">
        <v>19810.919999999998</v>
      </c>
      <c r="H892" t="s">
        <v>852</v>
      </c>
      <c r="I892" t="s">
        <v>2934</v>
      </c>
      <c r="J892" t="s">
        <v>2935</v>
      </c>
    </row>
    <row r="893" spans="1:10">
      <c r="A893">
        <v>151386</v>
      </c>
      <c r="B893" t="s">
        <v>446</v>
      </c>
      <c r="C893" t="s">
        <v>2936</v>
      </c>
      <c r="D893" t="s">
        <v>12</v>
      </c>
      <c r="E893" t="s">
        <v>2937</v>
      </c>
      <c r="F893" t="s">
        <v>14</v>
      </c>
      <c r="G893" s="1">
        <v>19713</v>
      </c>
      <c r="H893" t="s">
        <v>499</v>
      </c>
      <c r="I893" t="s">
        <v>1878</v>
      </c>
      <c r="J893" t="s">
        <v>2938</v>
      </c>
    </row>
    <row r="894" spans="1:10">
      <c r="A894">
        <v>152194</v>
      </c>
      <c r="B894" t="s">
        <v>446</v>
      </c>
      <c r="C894" t="s">
        <v>2939</v>
      </c>
      <c r="D894" t="s">
        <v>331</v>
      </c>
      <c r="E894" t="s">
        <v>2940</v>
      </c>
      <c r="F894" t="s">
        <v>14</v>
      </c>
      <c r="G894" s="1">
        <v>19607.36</v>
      </c>
      <c r="H894" t="s">
        <v>333</v>
      </c>
      <c r="I894" t="s">
        <v>1756</v>
      </c>
      <c r="J894" t="s">
        <v>2941</v>
      </c>
    </row>
    <row r="895" spans="1:10">
      <c r="A895">
        <v>146519</v>
      </c>
      <c r="B895" t="s">
        <v>446</v>
      </c>
      <c r="C895" t="s">
        <v>2942</v>
      </c>
      <c r="D895" t="s">
        <v>124</v>
      </c>
      <c r="E895" t="s">
        <v>2943</v>
      </c>
      <c r="F895" t="s">
        <v>14</v>
      </c>
      <c r="G895" s="1">
        <v>19500</v>
      </c>
      <c r="H895" t="s">
        <v>126</v>
      </c>
      <c r="I895" t="s">
        <v>156</v>
      </c>
      <c r="J895" t="s">
        <v>180</v>
      </c>
    </row>
    <row r="896" spans="1:10">
      <c r="A896">
        <v>122782</v>
      </c>
      <c r="B896" t="s">
        <v>446</v>
      </c>
      <c r="C896" t="s">
        <v>2944</v>
      </c>
      <c r="D896" t="s">
        <v>12</v>
      </c>
      <c r="E896" t="s">
        <v>2945</v>
      </c>
      <c r="F896" t="s">
        <v>14</v>
      </c>
      <c r="G896" s="1">
        <v>19477.28</v>
      </c>
      <c r="H896" t="s">
        <v>1124</v>
      </c>
      <c r="I896" t="s">
        <v>2946</v>
      </c>
      <c r="J896" t="s">
        <v>2947</v>
      </c>
    </row>
    <row r="897" spans="1:10">
      <c r="A897">
        <v>111171</v>
      </c>
      <c r="B897" t="s">
        <v>446</v>
      </c>
      <c r="C897" t="s">
        <v>2948</v>
      </c>
      <c r="D897" t="s">
        <v>12</v>
      </c>
      <c r="E897" t="s">
        <v>2949</v>
      </c>
      <c r="F897" t="s">
        <v>14</v>
      </c>
      <c r="G897" s="1">
        <v>19455.61</v>
      </c>
      <c r="H897" t="s">
        <v>232</v>
      </c>
      <c r="I897" t="s">
        <v>233</v>
      </c>
      <c r="J897" t="s">
        <v>2950</v>
      </c>
    </row>
    <row r="898" spans="1:10">
      <c r="A898">
        <v>150492</v>
      </c>
      <c r="B898" t="s">
        <v>446</v>
      </c>
      <c r="C898" t="s">
        <v>2951</v>
      </c>
      <c r="D898" t="s">
        <v>12</v>
      </c>
      <c r="E898" t="s">
        <v>2952</v>
      </c>
      <c r="F898" t="s">
        <v>14</v>
      </c>
      <c r="G898" s="1">
        <v>19451.89</v>
      </c>
      <c r="H898" t="s">
        <v>126</v>
      </c>
      <c r="I898" t="s">
        <v>156</v>
      </c>
      <c r="J898" t="s">
        <v>180</v>
      </c>
    </row>
    <row r="899" spans="1:10">
      <c r="A899">
        <v>115513</v>
      </c>
      <c r="B899" t="s">
        <v>446</v>
      </c>
      <c r="C899" t="s">
        <v>2953</v>
      </c>
      <c r="D899" t="s">
        <v>12</v>
      </c>
      <c r="E899" t="s">
        <v>2954</v>
      </c>
      <c r="F899" t="s">
        <v>14</v>
      </c>
      <c r="G899" s="1">
        <v>19450</v>
      </c>
      <c r="H899" t="s">
        <v>21</v>
      </c>
      <c r="I899" t="s">
        <v>2955</v>
      </c>
      <c r="J899" t="s">
        <v>2956</v>
      </c>
    </row>
    <row r="900" spans="1:10">
      <c r="A900">
        <v>145303</v>
      </c>
      <c r="B900" t="s">
        <v>446</v>
      </c>
      <c r="C900" t="s">
        <v>2957</v>
      </c>
      <c r="D900" t="s">
        <v>12</v>
      </c>
      <c r="E900" t="s">
        <v>2958</v>
      </c>
      <c r="F900" t="s">
        <v>14</v>
      </c>
      <c r="G900" s="1">
        <v>19404.45</v>
      </c>
      <c r="H900" t="s">
        <v>36</v>
      </c>
      <c r="I900" t="s">
        <v>2959</v>
      </c>
      <c r="J900" t="s">
        <v>2716</v>
      </c>
    </row>
    <row r="901" spans="1:10">
      <c r="A901">
        <v>142767</v>
      </c>
      <c r="B901" t="s">
        <v>446</v>
      </c>
      <c r="C901" t="s">
        <v>2960</v>
      </c>
      <c r="D901" t="s">
        <v>124</v>
      </c>
      <c r="E901" t="s">
        <v>2961</v>
      </c>
      <c r="F901" t="s">
        <v>14</v>
      </c>
      <c r="G901" s="1">
        <v>19287.16</v>
      </c>
      <c r="H901" t="s">
        <v>126</v>
      </c>
      <c r="I901" t="s">
        <v>868</v>
      </c>
      <c r="J901" t="s">
        <v>2962</v>
      </c>
    </row>
    <row r="902" spans="1:10">
      <c r="A902">
        <v>149686</v>
      </c>
      <c r="B902" t="s">
        <v>446</v>
      </c>
      <c r="C902" t="s">
        <v>2963</v>
      </c>
      <c r="D902" t="s">
        <v>12</v>
      </c>
      <c r="E902" t="s">
        <v>2964</v>
      </c>
      <c r="F902" t="s">
        <v>14</v>
      </c>
      <c r="G902" s="1">
        <v>19230</v>
      </c>
      <c r="H902" t="s">
        <v>95</v>
      </c>
      <c r="I902" t="s">
        <v>96</v>
      </c>
      <c r="J902" t="s">
        <v>2248</v>
      </c>
    </row>
    <row r="903" spans="1:10">
      <c r="A903">
        <v>150774</v>
      </c>
      <c r="B903" t="s">
        <v>446</v>
      </c>
      <c r="C903" t="s">
        <v>2965</v>
      </c>
      <c r="D903" t="s">
        <v>12</v>
      </c>
      <c r="E903" t="s">
        <v>2966</v>
      </c>
      <c r="F903" t="s">
        <v>14</v>
      </c>
      <c r="G903" s="1">
        <v>19086.5</v>
      </c>
      <c r="H903" t="s">
        <v>232</v>
      </c>
      <c r="I903" t="s">
        <v>2967</v>
      </c>
      <c r="J903" t="s">
        <v>2968</v>
      </c>
    </row>
    <row r="904" spans="1:10">
      <c r="A904" t="s">
        <v>2969</v>
      </c>
      <c r="B904" t="s">
        <v>446</v>
      </c>
      <c r="C904" t="s">
        <v>2970</v>
      </c>
      <c r="D904" t="s">
        <v>12</v>
      </c>
      <c r="E904" t="s">
        <v>2971</v>
      </c>
      <c r="F904" t="s">
        <v>168</v>
      </c>
      <c r="G904" s="1">
        <v>19025.150000000001</v>
      </c>
      <c r="H904" t="s">
        <v>36</v>
      </c>
      <c r="I904" t="s">
        <v>2972</v>
      </c>
      <c r="J904" t="s">
        <v>2973</v>
      </c>
    </row>
    <row r="905" spans="1:10">
      <c r="A905">
        <v>124576</v>
      </c>
      <c r="B905" t="s">
        <v>446</v>
      </c>
      <c r="C905" t="s">
        <v>2974</v>
      </c>
      <c r="D905" t="s">
        <v>12</v>
      </c>
      <c r="E905" t="s">
        <v>2975</v>
      </c>
      <c r="F905" t="s">
        <v>14</v>
      </c>
      <c r="G905" s="1">
        <v>19023.18</v>
      </c>
      <c r="H905" t="s">
        <v>36</v>
      </c>
      <c r="I905" t="s">
        <v>2491</v>
      </c>
      <c r="J905" t="s">
        <v>2976</v>
      </c>
    </row>
    <row r="906" spans="1:10">
      <c r="A906">
        <v>150702</v>
      </c>
      <c r="B906" t="s">
        <v>446</v>
      </c>
      <c r="C906" t="s">
        <v>2977</v>
      </c>
      <c r="D906" t="s">
        <v>25</v>
      </c>
      <c r="E906" t="s">
        <v>2978</v>
      </c>
      <c r="F906" t="s">
        <v>14</v>
      </c>
      <c r="G906" s="1">
        <v>18943</v>
      </c>
      <c r="H906" t="s">
        <v>27</v>
      </c>
      <c r="I906" s="2" t="s">
        <v>27</v>
      </c>
      <c r="J906" s="2" t="s">
        <v>2979</v>
      </c>
    </row>
    <row r="907" spans="1:10">
      <c r="A907">
        <v>110538</v>
      </c>
      <c r="B907" t="s">
        <v>446</v>
      </c>
      <c r="C907" t="s">
        <v>2980</v>
      </c>
      <c r="D907" t="s">
        <v>12</v>
      </c>
      <c r="E907" t="s">
        <v>2981</v>
      </c>
      <c r="F907" t="s">
        <v>14</v>
      </c>
      <c r="G907" s="1">
        <v>18926.45</v>
      </c>
      <c r="H907" t="s">
        <v>1017</v>
      </c>
      <c r="I907" t="s">
        <v>2982</v>
      </c>
      <c r="J907" t="s">
        <v>2983</v>
      </c>
    </row>
    <row r="908" spans="1:10">
      <c r="A908">
        <v>143435</v>
      </c>
      <c r="B908" t="s">
        <v>446</v>
      </c>
      <c r="C908" t="s">
        <v>1448</v>
      </c>
      <c r="D908" t="s">
        <v>12</v>
      </c>
      <c r="E908" t="s">
        <v>1449</v>
      </c>
      <c r="F908" t="s">
        <v>168</v>
      </c>
      <c r="G908" s="1">
        <v>18897.79</v>
      </c>
      <c r="H908" t="s">
        <v>72</v>
      </c>
      <c r="I908" t="s">
        <v>1450</v>
      </c>
      <c r="J908" t="s">
        <v>1451</v>
      </c>
    </row>
    <row r="909" spans="1:10">
      <c r="A909">
        <v>107209</v>
      </c>
      <c r="B909" t="s">
        <v>446</v>
      </c>
      <c r="C909" t="s">
        <v>2984</v>
      </c>
      <c r="D909" t="s">
        <v>12</v>
      </c>
      <c r="E909" t="s">
        <v>2985</v>
      </c>
      <c r="F909" t="s">
        <v>14</v>
      </c>
      <c r="G909" s="1">
        <v>18795.34</v>
      </c>
      <c r="H909" t="s">
        <v>232</v>
      </c>
      <c r="I909" t="s">
        <v>233</v>
      </c>
      <c r="J909" t="s">
        <v>2986</v>
      </c>
    </row>
    <row r="910" spans="1:10">
      <c r="A910">
        <v>151995</v>
      </c>
      <c r="B910" t="s">
        <v>446</v>
      </c>
      <c r="C910" t="s">
        <v>2987</v>
      </c>
      <c r="D910" t="s">
        <v>12</v>
      </c>
      <c r="E910" t="s">
        <v>2988</v>
      </c>
      <c r="F910" t="s">
        <v>14</v>
      </c>
      <c r="G910" s="1">
        <v>18743.45</v>
      </c>
      <c r="H910" t="s">
        <v>1017</v>
      </c>
      <c r="I910" t="s">
        <v>2989</v>
      </c>
      <c r="J910" t="s">
        <v>2990</v>
      </c>
    </row>
    <row r="911" spans="1:10">
      <c r="A911">
        <v>121441</v>
      </c>
      <c r="B911" t="s">
        <v>446</v>
      </c>
      <c r="C911" t="s">
        <v>2991</v>
      </c>
      <c r="D911" t="s">
        <v>12</v>
      </c>
      <c r="E911" t="s">
        <v>2992</v>
      </c>
      <c r="F911" t="s">
        <v>14</v>
      </c>
      <c r="G911" s="1">
        <v>18604.72</v>
      </c>
      <c r="H911" t="s">
        <v>1017</v>
      </c>
      <c r="I911" t="s">
        <v>1943</v>
      </c>
      <c r="J911" t="s">
        <v>2993</v>
      </c>
    </row>
    <row r="912" spans="1:10">
      <c r="A912">
        <v>150851</v>
      </c>
      <c r="B912" t="s">
        <v>446</v>
      </c>
      <c r="C912" t="s">
        <v>2994</v>
      </c>
      <c r="D912" t="s">
        <v>12</v>
      </c>
      <c r="E912" t="s">
        <v>2995</v>
      </c>
      <c r="F912" t="s">
        <v>14</v>
      </c>
      <c r="G912" s="1">
        <v>18269.38</v>
      </c>
      <c r="H912" t="s">
        <v>36</v>
      </c>
      <c r="I912" t="s">
        <v>2996</v>
      </c>
      <c r="J912" t="s">
        <v>2997</v>
      </c>
    </row>
    <row r="913" spans="1:10">
      <c r="A913" t="s">
        <v>2998</v>
      </c>
      <c r="B913" t="s">
        <v>446</v>
      </c>
      <c r="C913" t="s">
        <v>2999</v>
      </c>
      <c r="D913" t="s">
        <v>12</v>
      </c>
      <c r="E913" t="s">
        <v>3000</v>
      </c>
      <c r="F913" t="s">
        <v>168</v>
      </c>
      <c r="G913" s="1">
        <v>18267.07</v>
      </c>
      <c r="H913" t="s">
        <v>140</v>
      </c>
      <c r="I913" t="s">
        <v>1704</v>
      </c>
      <c r="J913" t="s">
        <v>3001</v>
      </c>
    </row>
    <row r="914" spans="1:10">
      <c r="A914">
        <v>146634</v>
      </c>
      <c r="B914" t="s">
        <v>446</v>
      </c>
      <c r="C914" t="s">
        <v>3002</v>
      </c>
      <c r="D914" t="s">
        <v>12</v>
      </c>
      <c r="E914" t="s">
        <v>3003</v>
      </c>
      <c r="F914" t="s">
        <v>14</v>
      </c>
      <c r="G914" s="1">
        <v>18262.25</v>
      </c>
      <c r="H914" t="s">
        <v>918</v>
      </c>
      <c r="I914" t="s">
        <v>3004</v>
      </c>
      <c r="J914" t="s">
        <v>3005</v>
      </c>
    </row>
    <row r="915" spans="1:10">
      <c r="A915">
        <v>145367</v>
      </c>
      <c r="B915" t="s">
        <v>446</v>
      </c>
      <c r="C915" t="s">
        <v>3006</v>
      </c>
      <c r="D915" t="s">
        <v>124</v>
      </c>
      <c r="E915" t="s">
        <v>3007</v>
      </c>
      <c r="F915" t="s">
        <v>14</v>
      </c>
      <c r="G915" s="1">
        <v>18250</v>
      </c>
      <c r="H915" t="s">
        <v>126</v>
      </c>
      <c r="I915" t="s">
        <v>156</v>
      </c>
      <c r="J915" t="s">
        <v>772</v>
      </c>
    </row>
    <row r="916" spans="1:10">
      <c r="A916">
        <v>145704</v>
      </c>
      <c r="B916" t="s">
        <v>446</v>
      </c>
      <c r="C916" t="s">
        <v>3008</v>
      </c>
      <c r="D916" t="s">
        <v>12</v>
      </c>
      <c r="E916" t="s">
        <v>3009</v>
      </c>
      <c r="F916" t="s">
        <v>14</v>
      </c>
      <c r="G916" s="1">
        <v>18234.259999999998</v>
      </c>
      <c r="H916" t="s">
        <v>15</v>
      </c>
      <c r="I916" t="s">
        <v>2291</v>
      </c>
      <c r="J916" t="s">
        <v>3010</v>
      </c>
    </row>
    <row r="917" spans="1:10">
      <c r="A917">
        <v>130256</v>
      </c>
      <c r="B917" t="s">
        <v>446</v>
      </c>
      <c r="C917" t="s">
        <v>3011</v>
      </c>
      <c r="D917" t="s">
        <v>12</v>
      </c>
      <c r="E917" t="s">
        <v>3012</v>
      </c>
      <c r="F917" t="s">
        <v>14</v>
      </c>
      <c r="G917" s="1">
        <v>18144.2</v>
      </c>
      <c r="H917" t="s">
        <v>15</v>
      </c>
      <c r="I917" t="s">
        <v>3013</v>
      </c>
      <c r="J917" t="s">
        <v>3014</v>
      </c>
    </row>
    <row r="918" spans="1:10">
      <c r="A918">
        <v>150737</v>
      </c>
      <c r="B918" t="s">
        <v>446</v>
      </c>
      <c r="C918" t="s">
        <v>3015</v>
      </c>
      <c r="D918" t="s">
        <v>12</v>
      </c>
      <c r="E918" t="s">
        <v>3016</v>
      </c>
      <c r="F918" t="s">
        <v>14</v>
      </c>
      <c r="G918" s="1">
        <v>18123</v>
      </c>
      <c r="H918" t="s">
        <v>140</v>
      </c>
      <c r="I918" t="s">
        <v>3017</v>
      </c>
      <c r="J918" t="s">
        <v>3018</v>
      </c>
    </row>
    <row r="919" spans="1:10">
      <c r="A919">
        <v>147055</v>
      </c>
      <c r="B919" t="s">
        <v>446</v>
      </c>
      <c r="C919" t="s">
        <v>3019</v>
      </c>
      <c r="D919" t="s">
        <v>12</v>
      </c>
      <c r="E919" t="s">
        <v>3020</v>
      </c>
      <c r="F919" t="s">
        <v>14</v>
      </c>
      <c r="G919" s="1">
        <v>18103.150000000001</v>
      </c>
      <c r="H919" t="s">
        <v>232</v>
      </c>
      <c r="I919" t="s">
        <v>2803</v>
      </c>
      <c r="J919" t="s">
        <v>3021</v>
      </c>
    </row>
    <row r="920" spans="1:10">
      <c r="A920">
        <v>145624</v>
      </c>
      <c r="B920" t="s">
        <v>446</v>
      </c>
      <c r="C920" t="s">
        <v>3022</v>
      </c>
      <c r="D920" t="s">
        <v>12</v>
      </c>
      <c r="E920" t="s">
        <v>3023</v>
      </c>
      <c r="F920" t="s">
        <v>14</v>
      </c>
      <c r="G920" s="1">
        <v>18054.3</v>
      </c>
      <c r="H920" t="s">
        <v>232</v>
      </c>
      <c r="I920" t="s">
        <v>233</v>
      </c>
      <c r="J920" t="s">
        <v>3024</v>
      </c>
    </row>
    <row r="921" spans="1:10">
      <c r="A921">
        <v>145816</v>
      </c>
      <c r="B921" t="s">
        <v>446</v>
      </c>
      <c r="C921" t="s">
        <v>3025</v>
      </c>
      <c r="D921" t="s">
        <v>12</v>
      </c>
      <c r="E921" t="s">
        <v>3026</v>
      </c>
      <c r="F921" t="s">
        <v>14</v>
      </c>
      <c r="G921" s="1">
        <v>18000</v>
      </c>
      <c r="H921" t="s">
        <v>1017</v>
      </c>
      <c r="I921" t="s">
        <v>3027</v>
      </c>
      <c r="J921" t="s">
        <v>3028</v>
      </c>
    </row>
    <row r="922" spans="1:10">
      <c r="A922">
        <v>142912</v>
      </c>
      <c r="B922" t="s">
        <v>446</v>
      </c>
      <c r="C922" t="s">
        <v>3029</v>
      </c>
      <c r="D922" t="s">
        <v>124</v>
      </c>
      <c r="E922" t="s">
        <v>3030</v>
      </c>
      <c r="F922" t="s">
        <v>14</v>
      </c>
      <c r="G922" s="1">
        <v>18000</v>
      </c>
      <c r="H922" t="s">
        <v>126</v>
      </c>
      <c r="I922" t="s">
        <v>156</v>
      </c>
      <c r="J922" t="s">
        <v>180</v>
      </c>
    </row>
    <row r="923" spans="1:10">
      <c r="A923">
        <v>131952</v>
      </c>
      <c r="B923" t="s">
        <v>446</v>
      </c>
      <c r="C923" t="s">
        <v>3031</v>
      </c>
      <c r="D923" t="s">
        <v>12</v>
      </c>
      <c r="E923" t="s">
        <v>3032</v>
      </c>
      <c r="F923" t="s">
        <v>14</v>
      </c>
      <c r="G923" s="1">
        <v>18000</v>
      </c>
      <c r="H923" t="s">
        <v>140</v>
      </c>
      <c r="I923" t="s">
        <v>3033</v>
      </c>
      <c r="J923" t="s">
        <v>3034</v>
      </c>
    </row>
    <row r="924" spans="1:10">
      <c r="A924">
        <v>126726</v>
      </c>
      <c r="B924" t="s">
        <v>446</v>
      </c>
      <c r="C924" t="s">
        <v>3035</v>
      </c>
      <c r="D924" t="s">
        <v>124</v>
      </c>
      <c r="E924" t="s">
        <v>3036</v>
      </c>
      <c r="F924" t="s">
        <v>14</v>
      </c>
      <c r="G924" s="1">
        <v>18000</v>
      </c>
      <c r="H924" t="s">
        <v>928</v>
      </c>
      <c r="I924" t="s">
        <v>3037</v>
      </c>
      <c r="J924" t="s">
        <v>3038</v>
      </c>
    </row>
    <row r="925" spans="1:10">
      <c r="A925">
        <v>150490</v>
      </c>
      <c r="B925" t="s">
        <v>446</v>
      </c>
      <c r="C925" t="s">
        <v>3039</v>
      </c>
      <c r="D925" t="s">
        <v>124</v>
      </c>
      <c r="E925" t="s">
        <v>3040</v>
      </c>
      <c r="F925" t="s">
        <v>14</v>
      </c>
      <c r="G925" s="1">
        <v>18000</v>
      </c>
      <c r="H925" t="s">
        <v>126</v>
      </c>
      <c r="I925" t="s">
        <v>156</v>
      </c>
      <c r="J925" t="s">
        <v>180</v>
      </c>
    </row>
    <row r="926" spans="1:10">
      <c r="A926">
        <v>150469</v>
      </c>
      <c r="B926" t="s">
        <v>446</v>
      </c>
      <c r="C926" t="s">
        <v>3041</v>
      </c>
      <c r="D926" t="s">
        <v>12</v>
      </c>
      <c r="E926" t="s">
        <v>3042</v>
      </c>
      <c r="F926" t="s">
        <v>14</v>
      </c>
      <c r="G926" s="1">
        <v>17987.98</v>
      </c>
      <c r="H926" t="s">
        <v>437</v>
      </c>
      <c r="I926" t="s">
        <v>3043</v>
      </c>
      <c r="J926" t="s">
        <v>3044</v>
      </c>
    </row>
    <row r="927" spans="1:10">
      <c r="A927">
        <v>129941</v>
      </c>
      <c r="B927" t="s">
        <v>446</v>
      </c>
      <c r="C927" t="s">
        <v>3045</v>
      </c>
      <c r="D927" t="s">
        <v>12</v>
      </c>
      <c r="E927" t="s">
        <v>3046</v>
      </c>
      <c r="F927" t="s">
        <v>14</v>
      </c>
      <c r="G927" s="1">
        <v>17975.97</v>
      </c>
      <c r="H927" t="s">
        <v>918</v>
      </c>
      <c r="I927" t="s">
        <v>3004</v>
      </c>
      <c r="J927" t="s">
        <v>3047</v>
      </c>
    </row>
    <row r="928" spans="1:10">
      <c r="A928">
        <v>152360</v>
      </c>
      <c r="B928" t="s">
        <v>446</v>
      </c>
      <c r="C928" t="s">
        <v>3048</v>
      </c>
      <c r="D928" t="s">
        <v>331</v>
      </c>
      <c r="E928" t="s">
        <v>3049</v>
      </c>
      <c r="F928" t="s">
        <v>14</v>
      </c>
      <c r="G928" s="1">
        <v>17917.98</v>
      </c>
      <c r="H928" t="s">
        <v>333</v>
      </c>
      <c r="I928" t="s">
        <v>1756</v>
      </c>
      <c r="J928" t="s">
        <v>3050</v>
      </c>
    </row>
    <row r="929" spans="1:10">
      <c r="A929">
        <v>107016</v>
      </c>
      <c r="B929" t="s">
        <v>446</v>
      </c>
      <c r="C929" t="s">
        <v>3051</v>
      </c>
      <c r="D929" t="s">
        <v>512</v>
      </c>
      <c r="E929" t="s">
        <v>3052</v>
      </c>
      <c r="F929" t="s">
        <v>14</v>
      </c>
      <c r="G929" s="1">
        <v>17811.849999999999</v>
      </c>
      <c r="H929" t="s">
        <v>56</v>
      </c>
      <c r="I929" t="s">
        <v>3053</v>
      </c>
      <c r="J929" t="s">
        <v>3054</v>
      </c>
    </row>
    <row r="930" spans="1:10">
      <c r="A930">
        <v>117105</v>
      </c>
      <c r="B930" t="s">
        <v>446</v>
      </c>
      <c r="C930" t="s">
        <v>3055</v>
      </c>
      <c r="D930" t="s">
        <v>12</v>
      </c>
      <c r="E930" t="s">
        <v>3056</v>
      </c>
      <c r="F930" t="s">
        <v>14</v>
      </c>
      <c r="G930" s="1">
        <v>17747.77</v>
      </c>
      <c r="H930" t="s">
        <v>36</v>
      </c>
      <c r="I930" t="s">
        <v>964</v>
      </c>
      <c r="J930" t="s">
        <v>3057</v>
      </c>
    </row>
    <row r="931" spans="1:10">
      <c r="A931">
        <v>127772</v>
      </c>
      <c r="B931" t="s">
        <v>446</v>
      </c>
      <c r="C931" t="s">
        <v>3058</v>
      </c>
      <c r="D931" t="s">
        <v>12</v>
      </c>
      <c r="E931" t="s">
        <v>3059</v>
      </c>
      <c r="F931" t="s">
        <v>14</v>
      </c>
      <c r="G931" s="1">
        <v>17706.48</v>
      </c>
      <c r="H931" t="s">
        <v>56</v>
      </c>
      <c r="I931" t="s">
        <v>3060</v>
      </c>
      <c r="J931" t="s">
        <v>3061</v>
      </c>
    </row>
    <row r="932" spans="1:10">
      <c r="A932">
        <v>150441</v>
      </c>
      <c r="B932" t="s">
        <v>446</v>
      </c>
      <c r="C932" t="s">
        <v>3062</v>
      </c>
      <c r="D932" t="s">
        <v>124</v>
      </c>
      <c r="E932" t="s">
        <v>3063</v>
      </c>
      <c r="F932" t="s">
        <v>14</v>
      </c>
      <c r="G932" s="1">
        <v>17600</v>
      </c>
      <c r="H932" t="s">
        <v>126</v>
      </c>
      <c r="I932" t="s">
        <v>156</v>
      </c>
      <c r="J932" t="s">
        <v>180</v>
      </c>
    </row>
    <row r="933" spans="1:10">
      <c r="A933">
        <v>140840</v>
      </c>
      <c r="B933" t="s">
        <v>446</v>
      </c>
      <c r="C933" t="s">
        <v>3064</v>
      </c>
      <c r="D933" t="s">
        <v>12</v>
      </c>
      <c r="E933" t="s">
        <v>3065</v>
      </c>
      <c r="F933" t="s">
        <v>14</v>
      </c>
      <c r="G933" s="1">
        <v>17515.3</v>
      </c>
      <c r="H933" t="s">
        <v>140</v>
      </c>
      <c r="I933" t="s">
        <v>284</v>
      </c>
      <c r="J933" t="s">
        <v>3066</v>
      </c>
    </row>
    <row r="934" spans="1:10">
      <c r="A934">
        <v>150491</v>
      </c>
      <c r="B934" t="s">
        <v>446</v>
      </c>
      <c r="C934" t="s">
        <v>3067</v>
      </c>
      <c r="D934" t="s">
        <v>12</v>
      </c>
      <c r="E934" t="s">
        <v>3068</v>
      </c>
      <c r="F934" t="s">
        <v>14</v>
      </c>
      <c r="G934" s="1">
        <v>17444.91</v>
      </c>
      <c r="H934" t="s">
        <v>85</v>
      </c>
      <c r="I934" t="s">
        <v>3069</v>
      </c>
      <c r="J934" t="s">
        <v>3070</v>
      </c>
    </row>
    <row r="935" spans="1:10">
      <c r="A935">
        <v>128380</v>
      </c>
      <c r="B935" t="s">
        <v>446</v>
      </c>
      <c r="C935" t="s">
        <v>3071</v>
      </c>
      <c r="D935" t="s">
        <v>12</v>
      </c>
      <c r="E935" t="s">
        <v>3072</v>
      </c>
      <c r="F935" t="s">
        <v>14</v>
      </c>
      <c r="G935" s="1">
        <v>17345.13</v>
      </c>
      <c r="H935" t="s">
        <v>437</v>
      </c>
      <c r="I935" t="s">
        <v>3073</v>
      </c>
      <c r="J935" t="s">
        <v>3074</v>
      </c>
    </row>
    <row r="936" spans="1:10">
      <c r="A936">
        <v>140328</v>
      </c>
      <c r="B936" t="s">
        <v>446</v>
      </c>
      <c r="C936" t="s">
        <v>3075</v>
      </c>
      <c r="D936" t="s">
        <v>12</v>
      </c>
      <c r="E936" t="s">
        <v>3076</v>
      </c>
      <c r="F936" t="s">
        <v>14</v>
      </c>
      <c r="G936" s="1">
        <v>17316.38</v>
      </c>
      <c r="H936" t="s">
        <v>852</v>
      </c>
      <c r="I936" t="s">
        <v>3077</v>
      </c>
      <c r="J936" t="s">
        <v>3078</v>
      </c>
    </row>
    <row r="937" spans="1:10">
      <c r="A937">
        <v>145322</v>
      </c>
      <c r="B937" t="s">
        <v>446</v>
      </c>
      <c r="C937" t="s">
        <v>3079</v>
      </c>
      <c r="D937" t="s">
        <v>12</v>
      </c>
      <c r="E937" t="s">
        <v>3080</v>
      </c>
      <c r="F937" t="s">
        <v>14</v>
      </c>
      <c r="G937" s="1">
        <v>17280</v>
      </c>
      <c r="H937" t="s">
        <v>437</v>
      </c>
      <c r="I937" t="s">
        <v>3081</v>
      </c>
      <c r="J937" t="s">
        <v>3082</v>
      </c>
    </row>
    <row r="938" spans="1:10">
      <c r="A938">
        <v>144574</v>
      </c>
      <c r="B938" t="s">
        <v>446</v>
      </c>
      <c r="C938" t="s">
        <v>3083</v>
      </c>
      <c r="D938" t="s">
        <v>124</v>
      </c>
      <c r="E938" t="s">
        <v>3084</v>
      </c>
      <c r="F938" t="s">
        <v>14</v>
      </c>
      <c r="G938" s="1">
        <v>17268.599999999999</v>
      </c>
      <c r="H938" t="s">
        <v>126</v>
      </c>
      <c r="I938" t="s">
        <v>156</v>
      </c>
      <c r="J938" t="s">
        <v>180</v>
      </c>
    </row>
    <row r="939" spans="1:10">
      <c r="A939">
        <v>131216</v>
      </c>
      <c r="B939" t="s">
        <v>446</v>
      </c>
      <c r="C939" t="s">
        <v>3085</v>
      </c>
      <c r="D939" t="s">
        <v>12</v>
      </c>
      <c r="E939" t="s">
        <v>3086</v>
      </c>
      <c r="F939" t="s">
        <v>14</v>
      </c>
      <c r="G939" s="1">
        <v>17216.13</v>
      </c>
      <c r="H939" t="s">
        <v>36</v>
      </c>
      <c r="I939" t="s">
        <v>3087</v>
      </c>
      <c r="J939" t="s">
        <v>3088</v>
      </c>
    </row>
    <row r="940" spans="1:10">
      <c r="A940">
        <v>152350</v>
      </c>
      <c r="B940" t="s">
        <v>446</v>
      </c>
      <c r="C940" t="s">
        <v>3089</v>
      </c>
      <c r="D940" t="s">
        <v>12</v>
      </c>
      <c r="E940" t="s">
        <v>3090</v>
      </c>
      <c r="F940" t="s">
        <v>14</v>
      </c>
      <c r="G940" s="1">
        <v>17183.45</v>
      </c>
      <c r="H940" t="s">
        <v>437</v>
      </c>
      <c r="I940" t="s">
        <v>1335</v>
      </c>
      <c r="J940" t="s">
        <v>3091</v>
      </c>
    </row>
    <row r="941" spans="1:10">
      <c r="A941">
        <v>142234</v>
      </c>
      <c r="B941" t="s">
        <v>446</v>
      </c>
      <c r="C941" t="s">
        <v>3092</v>
      </c>
      <c r="D941" t="s">
        <v>12</v>
      </c>
      <c r="E941" t="s">
        <v>3093</v>
      </c>
      <c r="F941" t="s">
        <v>14</v>
      </c>
      <c r="G941" s="1">
        <v>17131.79</v>
      </c>
      <c r="H941" t="s">
        <v>499</v>
      </c>
      <c r="I941" t="s">
        <v>1878</v>
      </c>
      <c r="J941" t="s">
        <v>3094</v>
      </c>
    </row>
    <row r="942" spans="1:10">
      <c r="A942">
        <v>127830</v>
      </c>
      <c r="B942" t="s">
        <v>446</v>
      </c>
      <c r="C942" t="s">
        <v>3095</v>
      </c>
      <c r="D942" t="s">
        <v>12</v>
      </c>
      <c r="E942" t="s">
        <v>3096</v>
      </c>
      <c r="F942" t="s">
        <v>14</v>
      </c>
      <c r="G942" s="1">
        <v>17020</v>
      </c>
      <c r="H942" t="s">
        <v>15</v>
      </c>
      <c r="I942" t="s">
        <v>3097</v>
      </c>
      <c r="J942" t="s">
        <v>3098</v>
      </c>
    </row>
    <row r="943" spans="1:10">
      <c r="A943">
        <v>145052</v>
      </c>
      <c r="B943" t="s">
        <v>446</v>
      </c>
      <c r="C943" t="s">
        <v>3099</v>
      </c>
      <c r="D943" t="s">
        <v>12</v>
      </c>
      <c r="E943" t="s">
        <v>3100</v>
      </c>
      <c r="F943" t="s">
        <v>14</v>
      </c>
      <c r="G943" s="1">
        <v>16802</v>
      </c>
      <c r="H943" t="s">
        <v>514</v>
      </c>
      <c r="I943" t="s">
        <v>3101</v>
      </c>
      <c r="J943" t="s">
        <v>3102</v>
      </c>
    </row>
    <row r="944" spans="1:10">
      <c r="A944">
        <v>127311</v>
      </c>
      <c r="B944" t="s">
        <v>446</v>
      </c>
      <c r="C944" t="s">
        <v>3103</v>
      </c>
      <c r="D944" t="s">
        <v>124</v>
      </c>
      <c r="E944" t="s">
        <v>3104</v>
      </c>
      <c r="F944" t="s">
        <v>14</v>
      </c>
      <c r="G944" s="1">
        <v>16800</v>
      </c>
      <c r="H944" t="s">
        <v>126</v>
      </c>
      <c r="I944" t="s">
        <v>156</v>
      </c>
      <c r="J944" t="s">
        <v>180</v>
      </c>
    </row>
    <row r="945" spans="1:10">
      <c r="A945">
        <v>126379</v>
      </c>
      <c r="B945" t="s">
        <v>446</v>
      </c>
      <c r="C945" t="s">
        <v>3105</v>
      </c>
      <c r="D945" t="s">
        <v>12</v>
      </c>
      <c r="E945" t="s">
        <v>3106</v>
      </c>
      <c r="F945" t="s">
        <v>14</v>
      </c>
      <c r="G945" s="1">
        <v>16669.53</v>
      </c>
      <c r="H945" t="s">
        <v>36</v>
      </c>
      <c r="I945" t="s">
        <v>690</v>
      </c>
      <c r="J945" t="s">
        <v>3107</v>
      </c>
    </row>
    <row r="946" spans="1:10">
      <c r="A946">
        <v>108723</v>
      </c>
      <c r="B946" t="s">
        <v>446</v>
      </c>
      <c r="C946" t="s">
        <v>3108</v>
      </c>
      <c r="D946" t="s">
        <v>12</v>
      </c>
      <c r="E946" t="s">
        <v>3109</v>
      </c>
      <c r="F946" t="s">
        <v>14</v>
      </c>
      <c r="G946" s="1">
        <v>16635.87</v>
      </c>
      <c r="H946" t="s">
        <v>36</v>
      </c>
      <c r="I946" t="s">
        <v>3110</v>
      </c>
      <c r="J946" t="s">
        <v>3111</v>
      </c>
    </row>
    <row r="947" spans="1:10">
      <c r="A947">
        <v>132283</v>
      </c>
      <c r="B947" t="s">
        <v>446</v>
      </c>
      <c r="C947" t="s">
        <v>3112</v>
      </c>
      <c r="D947" t="s">
        <v>12</v>
      </c>
      <c r="E947" t="s">
        <v>3113</v>
      </c>
      <c r="F947" t="s">
        <v>14</v>
      </c>
      <c r="G947" s="1">
        <v>16506.89</v>
      </c>
      <c r="H947" t="s">
        <v>852</v>
      </c>
      <c r="I947" t="s">
        <v>3114</v>
      </c>
      <c r="J947" t="s">
        <v>3115</v>
      </c>
    </row>
    <row r="948" spans="1:10">
      <c r="A948">
        <v>117531</v>
      </c>
      <c r="B948" t="s">
        <v>446</v>
      </c>
      <c r="C948" t="s">
        <v>3116</v>
      </c>
      <c r="D948" t="s">
        <v>12</v>
      </c>
      <c r="E948" t="s">
        <v>3117</v>
      </c>
      <c r="F948" t="s">
        <v>14</v>
      </c>
      <c r="G948" s="1">
        <v>16500</v>
      </c>
      <c r="H948" t="s">
        <v>95</v>
      </c>
      <c r="I948" t="s">
        <v>506</v>
      </c>
      <c r="J948" t="s">
        <v>3118</v>
      </c>
    </row>
    <row r="949" spans="1:10">
      <c r="A949">
        <v>128857</v>
      </c>
      <c r="B949" t="s">
        <v>446</v>
      </c>
      <c r="C949" t="s">
        <v>3119</v>
      </c>
      <c r="D949" t="s">
        <v>12</v>
      </c>
      <c r="E949" t="s">
        <v>3120</v>
      </c>
      <c r="F949" t="s">
        <v>14</v>
      </c>
      <c r="G949" s="1">
        <v>16495.990000000002</v>
      </c>
      <c r="H949" t="s">
        <v>333</v>
      </c>
      <c r="I949" t="s">
        <v>334</v>
      </c>
      <c r="J949" t="s">
        <v>3121</v>
      </c>
    </row>
    <row r="950" spans="1:10">
      <c r="A950">
        <v>141547</v>
      </c>
      <c r="B950" t="s">
        <v>446</v>
      </c>
      <c r="C950" t="s">
        <v>3122</v>
      </c>
      <c r="D950" t="s">
        <v>12</v>
      </c>
      <c r="E950" t="s">
        <v>3123</v>
      </c>
      <c r="F950" t="s">
        <v>14</v>
      </c>
      <c r="G950" s="1">
        <v>16464.560000000001</v>
      </c>
      <c r="H950" t="s">
        <v>232</v>
      </c>
      <c r="I950" t="s">
        <v>233</v>
      </c>
      <c r="J950" t="s">
        <v>1649</v>
      </c>
    </row>
    <row r="951" spans="1:10">
      <c r="A951">
        <v>104464</v>
      </c>
      <c r="B951" t="s">
        <v>446</v>
      </c>
      <c r="C951" t="s">
        <v>3124</v>
      </c>
      <c r="D951" t="s">
        <v>124</v>
      </c>
      <c r="E951" t="s">
        <v>3125</v>
      </c>
      <c r="F951" t="s">
        <v>14</v>
      </c>
      <c r="G951" s="1">
        <v>16460.400000000001</v>
      </c>
      <c r="H951" t="s">
        <v>126</v>
      </c>
      <c r="I951" t="s">
        <v>156</v>
      </c>
      <c r="J951" t="s">
        <v>180</v>
      </c>
    </row>
    <row r="952" spans="1:10">
      <c r="A952">
        <v>101915</v>
      </c>
      <c r="B952" t="s">
        <v>446</v>
      </c>
      <c r="C952" t="s">
        <v>3126</v>
      </c>
      <c r="D952" t="s">
        <v>512</v>
      </c>
      <c r="E952" t="s">
        <v>3127</v>
      </c>
      <c r="F952" t="s">
        <v>14</v>
      </c>
      <c r="G952" s="1">
        <v>16443.439999999999</v>
      </c>
      <c r="H952" t="s">
        <v>553</v>
      </c>
      <c r="I952" t="s">
        <v>3128</v>
      </c>
      <c r="J952" t="s">
        <v>3129</v>
      </c>
    </row>
    <row r="953" spans="1:10">
      <c r="A953">
        <v>106508</v>
      </c>
      <c r="B953" t="s">
        <v>446</v>
      </c>
      <c r="C953" t="s">
        <v>3130</v>
      </c>
      <c r="D953" t="s">
        <v>12</v>
      </c>
      <c r="E953" t="s">
        <v>3131</v>
      </c>
      <c r="F953" t="s">
        <v>14</v>
      </c>
      <c r="G953" s="1">
        <v>16408.3</v>
      </c>
      <c r="H953" t="s">
        <v>36</v>
      </c>
      <c r="I953" t="s">
        <v>2491</v>
      </c>
      <c r="J953" t="s">
        <v>3132</v>
      </c>
    </row>
    <row r="954" spans="1:10">
      <c r="A954">
        <v>151925</v>
      </c>
      <c r="B954" t="s">
        <v>446</v>
      </c>
      <c r="C954" t="s">
        <v>3133</v>
      </c>
      <c r="D954" t="s">
        <v>124</v>
      </c>
      <c r="E954" t="s">
        <v>2917</v>
      </c>
      <c r="F954" t="s">
        <v>14</v>
      </c>
      <c r="G954" s="1">
        <v>16370.97</v>
      </c>
      <c r="H954" t="s">
        <v>126</v>
      </c>
      <c r="I954" t="s">
        <v>156</v>
      </c>
      <c r="J954" t="s">
        <v>180</v>
      </c>
    </row>
    <row r="955" spans="1:10">
      <c r="A955">
        <v>145371</v>
      </c>
      <c r="B955" t="s">
        <v>446</v>
      </c>
      <c r="C955" t="s">
        <v>3134</v>
      </c>
      <c r="D955" t="s">
        <v>12</v>
      </c>
      <c r="E955" t="s">
        <v>3135</v>
      </c>
      <c r="F955" t="s">
        <v>14</v>
      </c>
      <c r="G955" s="1">
        <v>16344</v>
      </c>
      <c r="H955" t="s">
        <v>85</v>
      </c>
      <c r="I955" t="s">
        <v>3136</v>
      </c>
      <c r="J955" t="s">
        <v>3137</v>
      </c>
    </row>
    <row r="956" spans="1:10">
      <c r="A956">
        <v>100089</v>
      </c>
      <c r="B956" t="s">
        <v>446</v>
      </c>
      <c r="C956" t="s">
        <v>3138</v>
      </c>
      <c r="D956" t="s">
        <v>12</v>
      </c>
      <c r="E956" t="s">
        <v>3139</v>
      </c>
      <c r="F956" t="s">
        <v>14</v>
      </c>
      <c r="G956" s="1">
        <v>16333.14</v>
      </c>
      <c r="H956" t="s">
        <v>140</v>
      </c>
      <c r="I956" t="s">
        <v>3140</v>
      </c>
      <c r="J956" t="s">
        <v>3141</v>
      </c>
    </row>
    <row r="957" spans="1:10">
      <c r="A957">
        <v>121979</v>
      </c>
      <c r="B957" t="s">
        <v>446</v>
      </c>
      <c r="C957" t="s">
        <v>3142</v>
      </c>
      <c r="D957" t="s">
        <v>12</v>
      </c>
      <c r="E957" t="s">
        <v>3143</v>
      </c>
      <c r="F957" t="s">
        <v>14</v>
      </c>
      <c r="G957" s="1">
        <v>16320</v>
      </c>
      <c r="H957" t="s">
        <v>918</v>
      </c>
      <c r="I957" t="s">
        <v>3144</v>
      </c>
      <c r="J957" t="s">
        <v>3145</v>
      </c>
    </row>
    <row r="958" spans="1:10">
      <c r="A958">
        <v>145959</v>
      </c>
      <c r="B958" t="s">
        <v>446</v>
      </c>
      <c r="C958" t="s">
        <v>3146</v>
      </c>
      <c r="D958" t="s">
        <v>12</v>
      </c>
      <c r="E958" t="s">
        <v>3147</v>
      </c>
      <c r="F958" t="s">
        <v>14</v>
      </c>
      <c r="G958" s="1">
        <v>16256.96</v>
      </c>
      <c r="H958" t="s">
        <v>918</v>
      </c>
      <c r="I958" t="s">
        <v>919</v>
      </c>
      <c r="J958" t="s">
        <v>3148</v>
      </c>
    </row>
    <row r="959" spans="1:10">
      <c r="A959">
        <v>101498</v>
      </c>
      <c r="B959" t="s">
        <v>446</v>
      </c>
      <c r="C959" t="s">
        <v>3149</v>
      </c>
      <c r="D959" t="s">
        <v>12</v>
      </c>
      <c r="E959" t="s">
        <v>3150</v>
      </c>
      <c r="F959" t="s">
        <v>14</v>
      </c>
      <c r="G959" s="1">
        <v>16206.09</v>
      </c>
      <c r="H959" t="s">
        <v>232</v>
      </c>
      <c r="I959" t="s">
        <v>233</v>
      </c>
      <c r="J959" t="s">
        <v>3151</v>
      </c>
    </row>
    <row r="960" spans="1:10">
      <c r="A960">
        <v>143366</v>
      </c>
      <c r="B960" t="s">
        <v>446</v>
      </c>
      <c r="C960" t="s">
        <v>3152</v>
      </c>
      <c r="D960" t="s">
        <v>124</v>
      </c>
      <c r="E960" t="s">
        <v>3153</v>
      </c>
      <c r="F960" t="s">
        <v>14</v>
      </c>
      <c r="G960" s="1">
        <v>16200</v>
      </c>
      <c r="H960" t="s">
        <v>126</v>
      </c>
      <c r="I960" t="s">
        <v>156</v>
      </c>
      <c r="J960" t="s">
        <v>180</v>
      </c>
    </row>
    <row r="961" spans="1:10">
      <c r="A961">
        <v>106348</v>
      </c>
      <c r="B961" t="s">
        <v>446</v>
      </c>
      <c r="C961" t="s">
        <v>3154</v>
      </c>
      <c r="D961" t="s">
        <v>124</v>
      </c>
      <c r="E961" t="s">
        <v>3155</v>
      </c>
      <c r="F961" t="s">
        <v>14</v>
      </c>
      <c r="G961" s="1">
        <v>16200</v>
      </c>
      <c r="H961" t="s">
        <v>126</v>
      </c>
      <c r="I961" t="s">
        <v>156</v>
      </c>
      <c r="J961" t="s">
        <v>180</v>
      </c>
    </row>
    <row r="962" spans="1:10">
      <c r="A962">
        <v>148460</v>
      </c>
      <c r="B962" t="s">
        <v>446</v>
      </c>
      <c r="C962" t="s">
        <v>3156</v>
      </c>
      <c r="D962" t="s">
        <v>124</v>
      </c>
      <c r="E962" t="s">
        <v>3157</v>
      </c>
      <c r="F962" t="s">
        <v>14</v>
      </c>
      <c r="G962" s="1">
        <v>16200</v>
      </c>
      <c r="H962" t="s">
        <v>126</v>
      </c>
      <c r="I962" t="s">
        <v>156</v>
      </c>
      <c r="J962" t="s">
        <v>180</v>
      </c>
    </row>
    <row r="963" spans="1:10">
      <c r="A963">
        <v>143496</v>
      </c>
      <c r="B963" t="s">
        <v>446</v>
      </c>
      <c r="C963" t="s">
        <v>3158</v>
      </c>
      <c r="D963" t="s">
        <v>12</v>
      </c>
      <c r="E963" t="s">
        <v>3159</v>
      </c>
      <c r="F963" t="s">
        <v>14</v>
      </c>
      <c r="G963" s="1">
        <v>16125</v>
      </c>
      <c r="H963" t="s">
        <v>95</v>
      </c>
      <c r="I963" t="s">
        <v>3160</v>
      </c>
      <c r="J963" t="s">
        <v>3161</v>
      </c>
    </row>
    <row r="964" spans="1:10">
      <c r="A964">
        <v>143874</v>
      </c>
      <c r="B964" t="s">
        <v>446</v>
      </c>
      <c r="C964" t="s">
        <v>3162</v>
      </c>
      <c r="D964" t="s">
        <v>12</v>
      </c>
      <c r="E964" t="s">
        <v>3163</v>
      </c>
      <c r="F964" t="s">
        <v>14</v>
      </c>
      <c r="G964" s="1">
        <v>16114.78</v>
      </c>
      <c r="H964" t="s">
        <v>232</v>
      </c>
      <c r="I964" t="s">
        <v>233</v>
      </c>
      <c r="J964" t="s">
        <v>3164</v>
      </c>
    </row>
    <row r="965" spans="1:10">
      <c r="A965">
        <v>130030</v>
      </c>
      <c r="B965" t="s">
        <v>446</v>
      </c>
      <c r="C965" t="s">
        <v>3165</v>
      </c>
      <c r="D965" t="s">
        <v>12</v>
      </c>
      <c r="E965" t="s">
        <v>3166</v>
      </c>
      <c r="F965" t="s">
        <v>14</v>
      </c>
      <c r="G965" s="1">
        <v>15950</v>
      </c>
      <c r="H965" t="s">
        <v>777</v>
      </c>
      <c r="I965" t="s">
        <v>2307</v>
      </c>
      <c r="J965" t="s">
        <v>3167</v>
      </c>
    </row>
    <row r="966" spans="1:10">
      <c r="A966">
        <v>107296</v>
      </c>
      <c r="B966" t="s">
        <v>446</v>
      </c>
      <c r="C966" t="s">
        <v>3168</v>
      </c>
      <c r="D966" t="s">
        <v>12</v>
      </c>
      <c r="E966" t="s">
        <v>3169</v>
      </c>
      <c r="F966" t="s">
        <v>14</v>
      </c>
      <c r="G966" s="1">
        <v>15915.63</v>
      </c>
      <c r="H966" t="s">
        <v>1017</v>
      </c>
      <c r="I966" t="s">
        <v>1022</v>
      </c>
      <c r="J966" t="s">
        <v>3170</v>
      </c>
    </row>
    <row r="967" spans="1:10">
      <c r="A967">
        <v>145381</v>
      </c>
      <c r="B967" t="s">
        <v>446</v>
      </c>
      <c r="C967" t="s">
        <v>3171</v>
      </c>
      <c r="D967" t="s">
        <v>12</v>
      </c>
      <c r="E967" t="s">
        <v>3172</v>
      </c>
      <c r="F967" t="s">
        <v>14</v>
      </c>
      <c r="G967" s="1">
        <v>15900</v>
      </c>
      <c r="H967" t="s">
        <v>1378</v>
      </c>
      <c r="I967" t="s">
        <v>3173</v>
      </c>
      <c r="J967" t="s">
        <v>3174</v>
      </c>
    </row>
    <row r="968" spans="1:10">
      <c r="A968">
        <v>149810</v>
      </c>
      <c r="B968" t="s">
        <v>446</v>
      </c>
      <c r="C968" t="s">
        <v>3175</v>
      </c>
      <c r="D968" t="s">
        <v>12</v>
      </c>
      <c r="E968" t="s">
        <v>3176</v>
      </c>
      <c r="F968" t="s">
        <v>14</v>
      </c>
      <c r="G968" s="1">
        <v>15840</v>
      </c>
      <c r="H968" t="s">
        <v>85</v>
      </c>
      <c r="I968" t="s">
        <v>1937</v>
      </c>
      <c r="J968" t="s">
        <v>3177</v>
      </c>
    </row>
    <row r="969" spans="1:10">
      <c r="A969">
        <v>150329</v>
      </c>
      <c r="B969" t="s">
        <v>446</v>
      </c>
      <c r="C969" t="s">
        <v>3178</v>
      </c>
      <c r="D969" t="s">
        <v>12</v>
      </c>
      <c r="E969" t="s">
        <v>3179</v>
      </c>
      <c r="F969" t="s">
        <v>14</v>
      </c>
      <c r="G969" s="1">
        <v>15840</v>
      </c>
      <c r="H969" t="s">
        <v>437</v>
      </c>
      <c r="I969" t="s">
        <v>3180</v>
      </c>
      <c r="J969" t="s">
        <v>3181</v>
      </c>
    </row>
    <row r="970" spans="1:10">
      <c r="A970">
        <v>103699</v>
      </c>
      <c r="B970" t="s">
        <v>446</v>
      </c>
      <c r="C970" t="s">
        <v>3182</v>
      </c>
      <c r="D970" t="s">
        <v>12</v>
      </c>
      <c r="E970" t="s">
        <v>3183</v>
      </c>
      <c r="F970" t="s">
        <v>14</v>
      </c>
      <c r="G970" s="1">
        <v>15767.38</v>
      </c>
      <c r="H970" t="s">
        <v>36</v>
      </c>
      <c r="I970" t="s">
        <v>2905</v>
      </c>
      <c r="J970" t="s">
        <v>3184</v>
      </c>
    </row>
    <row r="971" spans="1:10">
      <c r="A971">
        <v>111471</v>
      </c>
      <c r="B971" t="s">
        <v>446</v>
      </c>
      <c r="C971" t="s">
        <v>3185</v>
      </c>
      <c r="D971" t="s">
        <v>89</v>
      </c>
      <c r="E971" t="s">
        <v>3186</v>
      </c>
      <c r="F971" t="s">
        <v>14</v>
      </c>
      <c r="G971" s="1">
        <v>15756.5</v>
      </c>
      <c r="H971" t="s">
        <v>437</v>
      </c>
      <c r="I971" t="s">
        <v>1893</v>
      </c>
      <c r="J971" t="s">
        <v>1894</v>
      </c>
    </row>
    <row r="972" spans="1:10">
      <c r="A972">
        <v>149253</v>
      </c>
      <c r="B972" t="s">
        <v>446</v>
      </c>
      <c r="C972" t="s">
        <v>3187</v>
      </c>
      <c r="D972" t="s">
        <v>12</v>
      </c>
      <c r="E972" t="s">
        <v>3188</v>
      </c>
      <c r="F972" t="s">
        <v>14</v>
      </c>
      <c r="G972" s="1">
        <v>15745.05</v>
      </c>
      <c r="H972" t="s">
        <v>1144</v>
      </c>
      <c r="I972" t="s">
        <v>3189</v>
      </c>
      <c r="J972" t="s">
        <v>3190</v>
      </c>
    </row>
    <row r="973" spans="1:10">
      <c r="A973">
        <v>112841</v>
      </c>
      <c r="B973" t="s">
        <v>446</v>
      </c>
      <c r="C973" t="s">
        <v>3191</v>
      </c>
      <c r="D973" t="s">
        <v>12</v>
      </c>
      <c r="E973" t="s">
        <v>3192</v>
      </c>
      <c r="F973" t="s">
        <v>14</v>
      </c>
      <c r="G973" s="1">
        <v>15711.03</v>
      </c>
      <c r="H973" t="s">
        <v>1144</v>
      </c>
      <c r="I973" t="s">
        <v>3193</v>
      </c>
      <c r="J973" t="s">
        <v>3194</v>
      </c>
    </row>
    <row r="974" spans="1:10">
      <c r="A974">
        <v>140331</v>
      </c>
      <c r="B974" t="s">
        <v>446</v>
      </c>
      <c r="C974" t="s">
        <v>3195</v>
      </c>
      <c r="D974" t="s">
        <v>124</v>
      </c>
      <c r="E974" t="s">
        <v>3196</v>
      </c>
      <c r="F974" t="s">
        <v>14</v>
      </c>
      <c r="G974" s="1">
        <v>15682.13</v>
      </c>
      <c r="H974" t="s">
        <v>126</v>
      </c>
      <c r="I974" t="s">
        <v>156</v>
      </c>
      <c r="J974" t="s">
        <v>180</v>
      </c>
    </row>
    <row r="975" spans="1:10">
      <c r="A975">
        <v>145282</v>
      </c>
      <c r="B975" t="s">
        <v>446</v>
      </c>
      <c r="C975" t="s">
        <v>3197</v>
      </c>
      <c r="D975" t="s">
        <v>12</v>
      </c>
      <c r="E975" t="s">
        <v>3198</v>
      </c>
      <c r="F975" t="s">
        <v>14</v>
      </c>
      <c r="G975" s="1">
        <v>15600</v>
      </c>
      <c r="H975" t="s">
        <v>85</v>
      </c>
      <c r="I975" t="s">
        <v>3199</v>
      </c>
      <c r="J975" t="s">
        <v>3200</v>
      </c>
    </row>
    <row r="976" spans="1:10">
      <c r="A976">
        <v>150317</v>
      </c>
      <c r="B976" t="s">
        <v>446</v>
      </c>
      <c r="C976" t="s">
        <v>3201</v>
      </c>
      <c r="D976" t="s">
        <v>12</v>
      </c>
      <c r="E976" t="s">
        <v>3202</v>
      </c>
      <c r="F976" t="s">
        <v>14</v>
      </c>
      <c r="G976" s="1">
        <v>15600</v>
      </c>
      <c r="H976" t="s">
        <v>437</v>
      </c>
      <c r="I976" t="s">
        <v>3203</v>
      </c>
      <c r="J976" t="s">
        <v>3204</v>
      </c>
    </row>
    <row r="977" spans="1:10">
      <c r="A977">
        <v>143537</v>
      </c>
      <c r="B977" t="s">
        <v>446</v>
      </c>
      <c r="C977" t="s">
        <v>3205</v>
      </c>
      <c r="D977" t="s">
        <v>12</v>
      </c>
      <c r="E977" t="s">
        <v>3206</v>
      </c>
      <c r="F977" t="s">
        <v>14</v>
      </c>
      <c r="G977" s="1">
        <v>15585.58</v>
      </c>
      <c r="H977" t="s">
        <v>1378</v>
      </c>
      <c r="I977" t="s">
        <v>3207</v>
      </c>
      <c r="J977" t="s">
        <v>3208</v>
      </c>
    </row>
    <row r="978" spans="1:10">
      <c r="A978">
        <v>150176</v>
      </c>
      <c r="B978" t="s">
        <v>446</v>
      </c>
      <c r="C978" t="s">
        <v>3209</v>
      </c>
      <c r="D978" t="s">
        <v>12</v>
      </c>
      <c r="E978" t="s">
        <v>3210</v>
      </c>
      <c r="F978" t="s">
        <v>14</v>
      </c>
      <c r="G978" s="1">
        <v>15576.29</v>
      </c>
      <c r="H978" t="s">
        <v>140</v>
      </c>
      <c r="I978" t="s">
        <v>708</v>
      </c>
      <c r="J978" t="s">
        <v>3211</v>
      </c>
    </row>
    <row r="979" spans="1:10">
      <c r="A979">
        <v>100625</v>
      </c>
      <c r="B979" t="s">
        <v>446</v>
      </c>
      <c r="C979" t="s">
        <v>3212</v>
      </c>
      <c r="D979" t="s">
        <v>12</v>
      </c>
      <c r="E979" t="s">
        <v>3213</v>
      </c>
      <c r="F979" t="s">
        <v>14</v>
      </c>
      <c r="G979" s="1">
        <v>15488.21</v>
      </c>
      <c r="H979" t="s">
        <v>777</v>
      </c>
      <c r="I979" t="s">
        <v>2274</v>
      </c>
      <c r="J979" t="s">
        <v>3214</v>
      </c>
    </row>
    <row r="980" spans="1:10">
      <c r="A980">
        <v>118514</v>
      </c>
      <c r="B980" t="s">
        <v>446</v>
      </c>
      <c r="C980" t="s">
        <v>3215</v>
      </c>
      <c r="D980" t="s">
        <v>12</v>
      </c>
      <c r="E980" t="s">
        <v>3216</v>
      </c>
      <c r="F980" t="s">
        <v>14</v>
      </c>
      <c r="G980" s="1">
        <v>15470.8</v>
      </c>
      <c r="H980" t="s">
        <v>1017</v>
      </c>
      <c r="I980" t="s">
        <v>2088</v>
      </c>
      <c r="J980" t="s">
        <v>3217</v>
      </c>
    </row>
    <row r="981" spans="1:10">
      <c r="A981">
        <v>151489</v>
      </c>
      <c r="B981" t="s">
        <v>446</v>
      </c>
      <c r="C981" t="s">
        <v>3218</v>
      </c>
      <c r="D981" t="s">
        <v>12</v>
      </c>
      <c r="E981" t="s">
        <v>3219</v>
      </c>
      <c r="F981" t="s">
        <v>14</v>
      </c>
      <c r="G981" s="1">
        <v>15400</v>
      </c>
      <c r="H981" t="s">
        <v>1378</v>
      </c>
      <c r="I981" t="s">
        <v>1379</v>
      </c>
      <c r="J981" t="s">
        <v>3220</v>
      </c>
    </row>
    <row r="982" spans="1:10">
      <c r="A982">
        <v>151067</v>
      </c>
      <c r="B982" t="s">
        <v>446</v>
      </c>
      <c r="C982" t="s">
        <v>3221</v>
      </c>
      <c r="D982" t="s">
        <v>12</v>
      </c>
      <c r="E982" t="s">
        <v>3222</v>
      </c>
      <c r="F982" t="s">
        <v>14</v>
      </c>
      <c r="G982" s="1">
        <v>15360</v>
      </c>
      <c r="H982" t="s">
        <v>140</v>
      </c>
      <c r="I982" t="s">
        <v>3223</v>
      </c>
      <c r="J982" t="s">
        <v>3224</v>
      </c>
    </row>
    <row r="983" spans="1:10">
      <c r="A983">
        <v>104288</v>
      </c>
      <c r="B983" t="s">
        <v>446</v>
      </c>
      <c r="C983" t="s">
        <v>3225</v>
      </c>
      <c r="D983" t="s">
        <v>12</v>
      </c>
      <c r="E983" t="s">
        <v>3226</v>
      </c>
      <c r="F983" t="s">
        <v>14</v>
      </c>
      <c r="G983" s="1">
        <v>15355.98</v>
      </c>
      <c r="H983" t="s">
        <v>85</v>
      </c>
      <c r="I983" t="s">
        <v>3227</v>
      </c>
      <c r="J983" t="s">
        <v>3228</v>
      </c>
    </row>
    <row r="984" spans="1:10">
      <c r="A984" t="s">
        <v>3229</v>
      </c>
      <c r="B984" t="s">
        <v>446</v>
      </c>
      <c r="C984" t="s">
        <v>3230</v>
      </c>
      <c r="D984" t="s">
        <v>12</v>
      </c>
      <c r="E984" t="s">
        <v>3231</v>
      </c>
      <c r="F984" t="s">
        <v>168</v>
      </c>
      <c r="G984" s="1">
        <v>15206.51</v>
      </c>
      <c r="H984" t="s">
        <v>36</v>
      </c>
      <c r="I984" t="s">
        <v>1466</v>
      </c>
      <c r="J984" t="s">
        <v>3232</v>
      </c>
    </row>
    <row r="985" spans="1:10">
      <c r="A985">
        <v>145163</v>
      </c>
      <c r="B985" t="s">
        <v>446</v>
      </c>
      <c r="C985" t="s">
        <v>3233</v>
      </c>
      <c r="D985" t="s">
        <v>12</v>
      </c>
      <c r="E985" t="s">
        <v>3234</v>
      </c>
      <c r="F985" t="s">
        <v>14</v>
      </c>
      <c r="G985" s="1">
        <v>15144.29</v>
      </c>
      <c r="H985" t="s">
        <v>437</v>
      </c>
      <c r="I985" t="s">
        <v>3235</v>
      </c>
      <c r="J985" t="s">
        <v>3236</v>
      </c>
    </row>
    <row r="986" spans="1:10">
      <c r="A986">
        <v>125395</v>
      </c>
      <c r="B986" t="s">
        <v>446</v>
      </c>
      <c r="C986" t="s">
        <v>3237</v>
      </c>
      <c r="D986" t="s">
        <v>512</v>
      </c>
      <c r="E986" t="s">
        <v>3238</v>
      </c>
      <c r="F986" t="s">
        <v>14</v>
      </c>
      <c r="G986" s="1">
        <v>15126.1</v>
      </c>
      <c r="H986" t="s">
        <v>27</v>
      </c>
      <c r="I986" t="s">
        <v>3239</v>
      </c>
      <c r="J986" t="s">
        <v>3240</v>
      </c>
    </row>
    <row r="987" spans="1:10">
      <c r="A987">
        <v>144867</v>
      </c>
      <c r="B987" t="s">
        <v>446</v>
      </c>
      <c r="C987" t="s">
        <v>3241</v>
      </c>
      <c r="D987" t="s">
        <v>12</v>
      </c>
      <c r="E987" t="s">
        <v>3242</v>
      </c>
      <c r="F987" t="s">
        <v>14</v>
      </c>
      <c r="G987" s="1">
        <v>15040.41</v>
      </c>
      <c r="H987" t="s">
        <v>1378</v>
      </c>
      <c r="I987" t="s">
        <v>3243</v>
      </c>
      <c r="J987" t="s">
        <v>3244</v>
      </c>
    </row>
    <row r="988" spans="1:10">
      <c r="A988">
        <v>107256</v>
      </c>
      <c r="B988" t="s">
        <v>446</v>
      </c>
      <c r="C988" t="s">
        <v>3245</v>
      </c>
      <c r="D988" t="s">
        <v>12</v>
      </c>
      <c r="E988" t="s">
        <v>3246</v>
      </c>
      <c r="F988" t="s">
        <v>14</v>
      </c>
      <c r="G988" s="1">
        <v>15037.22</v>
      </c>
      <c r="H988" t="s">
        <v>232</v>
      </c>
      <c r="I988" t="s">
        <v>233</v>
      </c>
      <c r="J988" t="s">
        <v>3247</v>
      </c>
    </row>
    <row r="989" spans="1:10">
      <c r="A989">
        <v>152040</v>
      </c>
      <c r="B989" t="s">
        <v>446</v>
      </c>
      <c r="C989" t="s">
        <v>3248</v>
      </c>
      <c r="D989" t="s">
        <v>12</v>
      </c>
      <c r="E989" t="s">
        <v>3249</v>
      </c>
      <c r="F989" t="s">
        <v>14</v>
      </c>
      <c r="G989" s="1">
        <v>15000</v>
      </c>
      <c r="H989" t="s">
        <v>85</v>
      </c>
      <c r="I989" t="s">
        <v>3250</v>
      </c>
      <c r="J989" t="s">
        <v>3251</v>
      </c>
    </row>
    <row r="990" spans="1:10">
      <c r="A990">
        <v>122516</v>
      </c>
      <c r="B990" t="s">
        <v>446</v>
      </c>
      <c r="C990" t="s">
        <v>3252</v>
      </c>
      <c r="D990" t="s">
        <v>12</v>
      </c>
      <c r="E990" t="s">
        <v>3253</v>
      </c>
      <c r="F990" t="s">
        <v>14</v>
      </c>
      <c r="G990" s="1">
        <v>14994</v>
      </c>
      <c r="H990" t="s">
        <v>85</v>
      </c>
      <c r="I990" t="s">
        <v>3254</v>
      </c>
      <c r="J990" t="s">
        <v>3255</v>
      </c>
    </row>
    <row r="991" spans="1:10">
      <c r="A991">
        <v>114266</v>
      </c>
      <c r="B991" t="s">
        <v>446</v>
      </c>
      <c r="C991" t="s">
        <v>3256</v>
      </c>
      <c r="D991" t="s">
        <v>124</v>
      </c>
      <c r="E991" t="s">
        <v>3257</v>
      </c>
      <c r="F991" t="s">
        <v>14</v>
      </c>
      <c r="G991" s="1">
        <v>14900</v>
      </c>
      <c r="H991" t="s">
        <v>126</v>
      </c>
      <c r="I991" t="s">
        <v>3258</v>
      </c>
      <c r="J991" t="s">
        <v>3259</v>
      </c>
    </row>
    <row r="992" spans="1:10">
      <c r="A992">
        <v>124638</v>
      </c>
      <c r="B992" t="s">
        <v>446</v>
      </c>
      <c r="C992" t="s">
        <v>3260</v>
      </c>
      <c r="D992" t="s">
        <v>12</v>
      </c>
      <c r="E992" t="s">
        <v>3261</v>
      </c>
      <c r="F992" t="s">
        <v>14</v>
      </c>
      <c r="G992" s="1">
        <v>14875</v>
      </c>
      <c r="H992" t="s">
        <v>777</v>
      </c>
      <c r="I992" t="s">
        <v>2021</v>
      </c>
      <c r="J992" t="s">
        <v>3262</v>
      </c>
    </row>
    <row r="993" spans="1:10">
      <c r="A993">
        <v>151186</v>
      </c>
      <c r="B993" t="s">
        <v>446</v>
      </c>
      <c r="C993" t="s">
        <v>3263</v>
      </c>
      <c r="D993" t="s">
        <v>124</v>
      </c>
      <c r="E993" t="s">
        <v>3264</v>
      </c>
      <c r="F993" t="s">
        <v>14</v>
      </c>
      <c r="G993" s="1">
        <v>14850</v>
      </c>
      <c r="H993" t="s">
        <v>126</v>
      </c>
      <c r="I993" t="s">
        <v>156</v>
      </c>
      <c r="J993" t="s">
        <v>180</v>
      </c>
    </row>
    <row r="994" spans="1:10">
      <c r="A994">
        <v>144368</v>
      </c>
      <c r="B994" t="s">
        <v>446</v>
      </c>
      <c r="C994" t="s">
        <v>3265</v>
      </c>
      <c r="D994" t="s">
        <v>12</v>
      </c>
      <c r="E994" t="s">
        <v>3266</v>
      </c>
      <c r="F994" t="s">
        <v>14</v>
      </c>
      <c r="G994" s="1">
        <v>14848.37</v>
      </c>
      <c r="H994" t="s">
        <v>21</v>
      </c>
      <c r="I994" t="s">
        <v>3267</v>
      </c>
      <c r="J994" t="s">
        <v>3268</v>
      </c>
    </row>
    <row r="995" spans="1:10">
      <c r="A995">
        <v>145450</v>
      </c>
      <c r="B995" t="s">
        <v>446</v>
      </c>
      <c r="C995" t="s">
        <v>3269</v>
      </c>
      <c r="D995" t="s">
        <v>12</v>
      </c>
      <c r="E995" t="s">
        <v>3270</v>
      </c>
      <c r="F995" t="s">
        <v>14</v>
      </c>
      <c r="G995" s="1">
        <v>14820</v>
      </c>
      <c r="H995" t="s">
        <v>777</v>
      </c>
      <c r="I995" t="s">
        <v>3271</v>
      </c>
      <c r="J995" t="s">
        <v>3272</v>
      </c>
    </row>
    <row r="996" spans="1:10">
      <c r="A996">
        <v>111985</v>
      </c>
      <c r="B996" t="s">
        <v>446</v>
      </c>
      <c r="C996" t="s">
        <v>3273</v>
      </c>
      <c r="D996" t="s">
        <v>512</v>
      </c>
      <c r="E996" t="s">
        <v>3274</v>
      </c>
      <c r="F996" t="s">
        <v>14</v>
      </c>
      <c r="G996" s="1">
        <v>14802.24</v>
      </c>
      <c r="H996" t="s">
        <v>553</v>
      </c>
      <c r="I996" t="s">
        <v>1971</v>
      </c>
      <c r="J996" t="s">
        <v>3275</v>
      </c>
    </row>
    <row r="997" spans="1:10">
      <c r="A997">
        <v>125507</v>
      </c>
      <c r="B997" t="s">
        <v>446</v>
      </c>
      <c r="C997" t="s">
        <v>3276</v>
      </c>
      <c r="D997" t="s">
        <v>12</v>
      </c>
      <c r="E997" t="s">
        <v>3277</v>
      </c>
      <c r="F997" t="s">
        <v>14</v>
      </c>
      <c r="G997" s="1">
        <v>14722</v>
      </c>
      <c r="H997" t="s">
        <v>1378</v>
      </c>
      <c r="I997" t="s">
        <v>1379</v>
      </c>
      <c r="J997" t="s">
        <v>1380</v>
      </c>
    </row>
    <row r="998" spans="1:10">
      <c r="A998">
        <v>141031</v>
      </c>
      <c r="B998" t="s">
        <v>446</v>
      </c>
      <c r="C998" t="s">
        <v>3278</v>
      </c>
      <c r="D998" t="s">
        <v>12</v>
      </c>
      <c r="E998" t="s">
        <v>3279</v>
      </c>
      <c r="F998" t="s">
        <v>168</v>
      </c>
      <c r="G998" s="1">
        <v>14668.21</v>
      </c>
      <c r="H998" t="s">
        <v>140</v>
      </c>
      <c r="I998" t="s">
        <v>3280</v>
      </c>
      <c r="J998" t="s">
        <v>3281</v>
      </c>
    </row>
    <row r="999" spans="1:10">
      <c r="A999">
        <v>120130</v>
      </c>
      <c r="B999" t="s">
        <v>446</v>
      </c>
      <c r="C999" t="s">
        <v>3282</v>
      </c>
      <c r="D999" t="s">
        <v>12</v>
      </c>
      <c r="E999" t="s">
        <v>3283</v>
      </c>
      <c r="F999" t="s">
        <v>14</v>
      </c>
      <c r="G999" s="1">
        <v>14477.22</v>
      </c>
      <c r="H999" t="s">
        <v>232</v>
      </c>
      <c r="I999" t="s">
        <v>3284</v>
      </c>
      <c r="J999" t="s">
        <v>3285</v>
      </c>
    </row>
    <row r="1000" spans="1:10">
      <c r="A1000">
        <v>148441</v>
      </c>
      <c r="B1000" t="s">
        <v>446</v>
      </c>
      <c r="C1000" t="s">
        <v>3286</v>
      </c>
      <c r="D1000" t="s">
        <v>12</v>
      </c>
      <c r="E1000" t="s">
        <v>3287</v>
      </c>
      <c r="F1000" t="s">
        <v>14</v>
      </c>
      <c r="G1000" s="1">
        <v>14467.5</v>
      </c>
      <c r="H1000" t="s">
        <v>85</v>
      </c>
      <c r="I1000" t="s">
        <v>1937</v>
      </c>
      <c r="J1000" t="s">
        <v>1938</v>
      </c>
    </row>
    <row r="1001" spans="1:10">
      <c r="A1001">
        <v>149585</v>
      </c>
      <c r="B1001" t="s">
        <v>446</v>
      </c>
      <c r="C1001" t="s">
        <v>3288</v>
      </c>
      <c r="D1001" t="s">
        <v>12</v>
      </c>
      <c r="E1001" t="s">
        <v>3289</v>
      </c>
      <c r="F1001" t="s">
        <v>14</v>
      </c>
      <c r="G1001" s="1">
        <v>14400.37</v>
      </c>
      <c r="H1001" t="s">
        <v>232</v>
      </c>
      <c r="I1001" t="s">
        <v>3290</v>
      </c>
      <c r="J1001" t="s">
        <v>3291</v>
      </c>
    </row>
    <row r="1002" spans="1:10">
      <c r="A1002">
        <v>113251</v>
      </c>
      <c r="B1002" t="s">
        <v>446</v>
      </c>
      <c r="C1002" t="s">
        <v>3292</v>
      </c>
      <c r="D1002" t="s">
        <v>124</v>
      </c>
      <c r="E1002" t="s">
        <v>3293</v>
      </c>
      <c r="F1002" t="s">
        <v>14</v>
      </c>
      <c r="G1002" s="1">
        <v>14400</v>
      </c>
      <c r="H1002" t="s">
        <v>126</v>
      </c>
      <c r="I1002" t="s">
        <v>156</v>
      </c>
      <c r="J1002" t="s">
        <v>3294</v>
      </c>
    </row>
    <row r="1003" spans="1:10">
      <c r="A1003">
        <v>144440</v>
      </c>
      <c r="B1003" t="s">
        <v>446</v>
      </c>
      <c r="C1003" t="s">
        <v>3295</v>
      </c>
      <c r="D1003" t="s">
        <v>124</v>
      </c>
      <c r="E1003" t="s">
        <v>3296</v>
      </c>
      <c r="F1003" t="s">
        <v>14</v>
      </c>
      <c r="G1003" s="1">
        <v>14400</v>
      </c>
      <c r="H1003" t="s">
        <v>126</v>
      </c>
      <c r="I1003" t="s">
        <v>156</v>
      </c>
      <c r="J1003" t="s">
        <v>180</v>
      </c>
    </row>
    <row r="1004" spans="1:10">
      <c r="A1004">
        <v>127124</v>
      </c>
      <c r="B1004" t="s">
        <v>446</v>
      </c>
      <c r="C1004" t="s">
        <v>3297</v>
      </c>
      <c r="D1004" t="s">
        <v>12</v>
      </c>
      <c r="E1004" t="s">
        <v>3298</v>
      </c>
      <c r="F1004" t="s">
        <v>14</v>
      </c>
      <c r="G1004" s="1">
        <v>14335.71</v>
      </c>
      <c r="H1004" t="s">
        <v>333</v>
      </c>
      <c r="I1004" t="s">
        <v>333</v>
      </c>
      <c r="J1004" t="s">
        <v>3299</v>
      </c>
    </row>
    <row r="1005" spans="1:10">
      <c r="A1005">
        <v>122120</v>
      </c>
      <c r="B1005" t="s">
        <v>446</v>
      </c>
      <c r="C1005" t="s">
        <v>3300</v>
      </c>
      <c r="D1005" t="s">
        <v>124</v>
      </c>
      <c r="E1005" t="s">
        <v>3301</v>
      </c>
      <c r="F1005" t="s">
        <v>14</v>
      </c>
      <c r="G1005" s="1">
        <v>14328.79</v>
      </c>
      <c r="H1005" t="s">
        <v>126</v>
      </c>
      <c r="I1005" t="s">
        <v>156</v>
      </c>
      <c r="J1005" t="s">
        <v>180</v>
      </c>
    </row>
    <row r="1006" spans="1:10">
      <c r="A1006">
        <v>151281</v>
      </c>
      <c r="B1006" t="s">
        <v>446</v>
      </c>
      <c r="C1006" t="s">
        <v>3302</v>
      </c>
      <c r="D1006" t="s">
        <v>12</v>
      </c>
      <c r="E1006" t="s">
        <v>3303</v>
      </c>
      <c r="F1006" t="s">
        <v>14</v>
      </c>
      <c r="G1006" s="1">
        <v>14267.72</v>
      </c>
      <c r="H1006" t="s">
        <v>56</v>
      </c>
      <c r="I1006" t="s">
        <v>3304</v>
      </c>
      <c r="J1006" t="s">
        <v>3305</v>
      </c>
    </row>
    <row r="1007" spans="1:10">
      <c r="A1007">
        <v>130354</v>
      </c>
      <c r="B1007" t="s">
        <v>446</v>
      </c>
      <c r="C1007" t="s">
        <v>3306</v>
      </c>
      <c r="D1007" t="s">
        <v>124</v>
      </c>
      <c r="E1007" t="s">
        <v>3307</v>
      </c>
      <c r="F1007" t="s">
        <v>14</v>
      </c>
      <c r="G1007" s="1">
        <v>14189.22</v>
      </c>
      <c r="H1007" t="s">
        <v>56</v>
      </c>
      <c r="I1007" t="s">
        <v>3308</v>
      </c>
      <c r="J1007" t="s">
        <v>3309</v>
      </c>
    </row>
    <row r="1008" spans="1:10">
      <c r="A1008">
        <v>144456</v>
      </c>
      <c r="B1008" t="s">
        <v>446</v>
      </c>
      <c r="C1008" t="s">
        <v>3310</v>
      </c>
      <c r="D1008" t="s">
        <v>12</v>
      </c>
      <c r="E1008" t="s">
        <v>3311</v>
      </c>
      <c r="F1008" t="s">
        <v>14</v>
      </c>
      <c r="G1008" s="1">
        <v>14077.93</v>
      </c>
      <c r="H1008" t="s">
        <v>232</v>
      </c>
      <c r="I1008" t="s">
        <v>3312</v>
      </c>
      <c r="J1008" t="s">
        <v>3313</v>
      </c>
    </row>
    <row r="1009" spans="1:10">
      <c r="A1009">
        <v>150789</v>
      </c>
      <c r="B1009" t="s">
        <v>446</v>
      </c>
      <c r="C1009" t="s">
        <v>3314</v>
      </c>
      <c r="D1009" t="s">
        <v>12</v>
      </c>
      <c r="E1009" t="s">
        <v>3315</v>
      </c>
      <c r="F1009" t="s">
        <v>14</v>
      </c>
      <c r="G1009" s="1">
        <v>14050</v>
      </c>
      <c r="H1009" t="s">
        <v>140</v>
      </c>
      <c r="I1009" t="s">
        <v>1748</v>
      </c>
      <c r="J1009" t="s">
        <v>3316</v>
      </c>
    </row>
    <row r="1010" spans="1:10">
      <c r="A1010">
        <v>150374</v>
      </c>
      <c r="B1010" t="s">
        <v>446</v>
      </c>
      <c r="C1010" t="s">
        <v>3317</v>
      </c>
      <c r="D1010" t="s">
        <v>12</v>
      </c>
      <c r="E1010" t="s">
        <v>3318</v>
      </c>
      <c r="F1010" t="s">
        <v>14</v>
      </c>
      <c r="G1010" s="1">
        <v>13986.46</v>
      </c>
      <c r="H1010" t="s">
        <v>1378</v>
      </c>
      <c r="I1010" t="s">
        <v>2864</v>
      </c>
      <c r="J1010" t="s">
        <v>3319</v>
      </c>
    </row>
    <row r="1011" spans="1:10">
      <c r="A1011" t="s">
        <v>3320</v>
      </c>
      <c r="B1011" t="s">
        <v>446</v>
      </c>
      <c r="C1011" t="s">
        <v>3321</v>
      </c>
      <c r="D1011" t="s">
        <v>12</v>
      </c>
      <c r="E1011" t="s">
        <v>3322</v>
      </c>
      <c r="F1011" t="s">
        <v>168</v>
      </c>
      <c r="G1011" s="1">
        <v>13931.31</v>
      </c>
      <c r="H1011" t="s">
        <v>56</v>
      </c>
      <c r="I1011" t="s">
        <v>1736</v>
      </c>
      <c r="J1011" t="s">
        <v>3323</v>
      </c>
    </row>
    <row r="1012" spans="1:10">
      <c r="A1012">
        <v>102110</v>
      </c>
      <c r="B1012" t="s">
        <v>446</v>
      </c>
      <c r="C1012" t="s">
        <v>3324</v>
      </c>
      <c r="D1012" t="s">
        <v>331</v>
      </c>
      <c r="E1012" t="s">
        <v>3325</v>
      </c>
      <c r="F1012" t="s">
        <v>14</v>
      </c>
      <c r="G1012" s="1">
        <v>13857</v>
      </c>
      <c r="H1012" t="s">
        <v>333</v>
      </c>
      <c r="I1012" t="s">
        <v>334</v>
      </c>
      <c r="J1012" t="s">
        <v>3326</v>
      </c>
    </row>
    <row r="1013" spans="1:10">
      <c r="A1013">
        <v>123133</v>
      </c>
      <c r="B1013" t="s">
        <v>446</v>
      </c>
      <c r="C1013" t="s">
        <v>3327</v>
      </c>
      <c r="D1013" t="s">
        <v>12</v>
      </c>
      <c r="E1013" t="s">
        <v>3328</v>
      </c>
      <c r="F1013" t="s">
        <v>14</v>
      </c>
      <c r="G1013" s="1">
        <v>13835</v>
      </c>
      <c r="H1013" t="s">
        <v>140</v>
      </c>
      <c r="I1013" t="s">
        <v>2829</v>
      </c>
      <c r="J1013" t="s">
        <v>3329</v>
      </c>
    </row>
    <row r="1014" spans="1:10">
      <c r="A1014">
        <v>101042</v>
      </c>
      <c r="B1014" t="s">
        <v>446</v>
      </c>
      <c r="C1014" t="s">
        <v>3330</v>
      </c>
      <c r="D1014" t="s">
        <v>12</v>
      </c>
      <c r="E1014" t="s">
        <v>3331</v>
      </c>
      <c r="F1014" t="s">
        <v>14</v>
      </c>
      <c r="G1014" s="1">
        <v>13647.84</v>
      </c>
      <c r="H1014" t="s">
        <v>553</v>
      </c>
      <c r="I1014" t="s">
        <v>3332</v>
      </c>
      <c r="J1014" t="s">
        <v>3333</v>
      </c>
    </row>
    <row r="1015" spans="1:10">
      <c r="A1015">
        <v>119805</v>
      </c>
      <c r="B1015" t="s">
        <v>446</v>
      </c>
      <c r="C1015" t="s">
        <v>3334</v>
      </c>
      <c r="D1015" t="s">
        <v>12</v>
      </c>
      <c r="E1015" t="s">
        <v>3335</v>
      </c>
      <c r="F1015" t="s">
        <v>14</v>
      </c>
      <c r="G1015" s="1">
        <v>13624.63</v>
      </c>
      <c r="H1015" t="s">
        <v>1017</v>
      </c>
      <c r="I1015" t="s">
        <v>2088</v>
      </c>
      <c r="J1015" t="s">
        <v>3336</v>
      </c>
    </row>
    <row r="1016" spans="1:10">
      <c r="A1016">
        <v>144517</v>
      </c>
      <c r="B1016" t="s">
        <v>446</v>
      </c>
      <c r="C1016" t="s">
        <v>3337</v>
      </c>
      <c r="D1016" t="s">
        <v>12</v>
      </c>
      <c r="E1016" t="s">
        <v>3338</v>
      </c>
      <c r="F1016" t="s">
        <v>14</v>
      </c>
      <c r="G1016" s="1">
        <v>13621</v>
      </c>
      <c r="H1016" t="s">
        <v>36</v>
      </c>
      <c r="I1016" t="s">
        <v>3339</v>
      </c>
      <c r="J1016" t="s">
        <v>3340</v>
      </c>
    </row>
    <row r="1017" spans="1:10">
      <c r="A1017">
        <v>142059</v>
      </c>
      <c r="B1017" t="s">
        <v>446</v>
      </c>
      <c r="C1017" t="s">
        <v>3341</v>
      </c>
      <c r="D1017" t="s">
        <v>124</v>
      </c>
      <c r="E1017" t="s">
        <v>3342</v>
      </c>
      <c r="F1017" t="s">
        <v>14</v>
      </c>
      <c r="G1017" s="1">
        <v>13600</v>
      </c>
      <c r="H1017" t="s">
        <v>504</v>
      </c>
      <c r="I1017" t="s">
        <v>1361</v>
      </c>
      <c r="J1017" t="s">
        <v>3343</v>
      </c>
    </row>
    <row r="1018" spans="1:10">
      <c r="A1018">
        <v>148162</v>
      </c>
      <c r="B1018" t="s">
        <v>446</v>
      </c>
      <c r="C1018" t="s">
        <v>3344</v>
      </c>
      <c r="D1018" t="s">
        <v>124</v>
      </c>
      <c r="E1018" t="s">
        <v>3345</v>
      </c>
      <c r="F1018" t="s">
        <v>14</v>
      </c>
      <c r="G1018" s="1">
        <v>13544.88</v>
      </c>
      <c r="H1018" t="s">
        <v>126</v>
      </c>
      <c r="I1018" t="s">
        <v>3346</v>
      </c>
      <c r="J1018" t="s">
        <v>3347</v>
      </c>
    </row>
    <row r="1019" spans="1:10">
      <c r="A1019">
        <v>106489</v>
      </c>
      <c r="B1019" t="s">
        <v>446</v>
      </c>
      <c r="C1019" t="s">
        <v>3348</v>
      </c>
      <c r="D1019" t="s">
        <v>12</v>
      </c>
      <c r="E1019" t="s">
        <v>3349</v>
      </c>
      <c r="F1019" t="s">
        <v>14</v>
      </c>
      <c r="G1019" s="1">
        <v>13432.99</v>
      </c>
      <c r="H1019" t="s">
        <v>36</v>
      </c>
      <c r="I1019" t="s">
        <v>2435</v>
      </c>
      <c r="J1019" t="s">
        <v>3350</v>
      </c>
    </row>
    <row r="1020" spans="1:10">
      <c r="A1020" t="s">
        <v>3351</v>
      </c>
      <c r="B1020" t="s">
        <v>446</v>
      </c>
      <c r="C1020" t="s">
        <v>3352</v>
      </c>
      <c r="D1020" t="s">
        <v>12</v>
      </c>
      <c r="E1020" t="s">
        <v>470</v>
      </c>
      <c r="F1020" t="s">
        <v>168</v>
      </c>
      <c r="G1020" s="1">
        <v>13421.99</v>
      </c>
      <c r="H1020" t="s">
        <v>15</v>
      </c>
      <c r="I1020" t="s">
        <v>3353</v>
      </c>
      <c r="J1020" t="s">
        <v>3354</v>
      </c>
    </row>
    <row r="1021" spans="1:10">
      <c r="A1021">
        <v>126414</v>
      </c>
      <c r="B1021" t="s">
        <v>446</v>
      </c>
      <c r="C1021" t="s">
        <v>3355</v>
      </c>
      <c r="D1021" t="s">
        <v>12</v>
      </c>
      <c r="E1021" t="s">
        <v>3356</v>
      </c>
      <c r="F1021" t="s">
        <v>14</v>
      </c>
      <c r="G1021" s="1">
        <v>13384.44</v>
      </c>
      <c r="H1021" t="s">
        <v>56</v>
      </c>
      <c r="I1021" t="s">
        <v>3357</v>
      </c>
      <c r="J1021" t="s">
        <v>3358</v>
      </c>
    </row>
    <row r="1022" spans="1:10">
      <c r="A1022">
        <v>147045</v>
      </c>
      <c r="B1022" t="s">
        <v>446</v>
      </c>
      <c r="C1022" t="s">
        <v>3359</v>
      </c>
      <c r="D1022" t="s">
        <v>12</v>
      </c>
      <c r="E1022" t="s">
        <v>3360</v>
      </c>
      <c r="F1022" t="s">
        <v>14</v>
      </c>
      <c r="G1022" s="1">
        <v>13315.59</v>
      </c>
      <c r="H1022" t="s">
        <v>36</v>
      </c>
      <c r="I1022" t="s">
        <v>1906</v>
      </c>
      <c r="J1022" t="s">
        <v>3361</v>
      </c>
    </row>
    <row r="1023" spans="1:10">
      <c r="A1023">
        <v>103376</v>
      </c>
      <c r="B1023" t="s">
        <v>446</v>
      </c>
      <c r="C1023" t="s">
        <v>3362</v>
      </c>
      <c r="D1023" t="s">
        <v>512</v>
      </c>
      <c r="E1023" t="s">
        <v>3363</v>
      </c>
      <c r="F1023" t="s">
        <v>14</v>
      </c>
      <c r="G1023" s="1">
        <v>13292.62</v>
      </c>
      <c r="H1023" t="s">
        <v>553</v>
      </c>
      <c r="I1023" t="s">
        <v>1971</v>
      </c>
      <c r="J1023" t="s">
        <v>3364</v>
      </c>
    </row>
    <row r="1024" spans="1:10">
      <c r="A1024">
        <v>152039</v>
      </c>
      <c r="B1024" t="s">
        <v>446</v>
      </c>
      <c r="C1024" t="s">
        <v>3365</v>
      </c>
      <c r="D1024" t="s">
        <v>331</v>
      </c>
      <c r="E1024" t="s">
        <v>3366</v>
      </c>
      <c r="F1024" t="s">
        <v>14</v>
      </c>
      <c r="G1024" s="1">
        <v>13253</v>
      </c>
      <c r="H1024" t="s">
        <v>333</v>
      </c>
      <c r="I1024" t="s">
        <v>3367</v>
      </c>
      <c r="J1024" t="s">
        <v>3368</v>
      </c>
    </row>
    <row r="1025" spans="1:10">
      <c r="A1025">
        <v>116978</v>
      </c>
      <c r="B1025" t="s">
        <v>446</v>
      </c>
      <c r="C1025" t="s">
        <v>3369</v>
      </c>
      <c r="D1025" t="s">
        <v>124</v>
      </c>
      <c r="E1025" t="s">
        <v>3370</v>
      </c>
      <c r="F1025" t="s">
        <v>14</v>
      </c>
      <c r="G1025" s="1">
        <v>13200</v>
      </c>
      <c r="H1025" t="s">
        <v>126</v>
      </c>
      <c r="I1025" t="s">
        <v>156</v>
      </c>
      <c r="J1025" t="s">
        <v>180</v>
      </c>
    </row>
    <row r="1026" spans="1:10">
      <c r="A1026">
        <v>149255</v>
      </c>
      <c r="B1026" t="s">
        <v>446</v>
      </c>
      <c r="C1026" t="s">
        <v>3371</v>
      </c>
      <c r="D1026" t="s">
        <v>12</v>
      </c>
      <c r="E1026" t="s">
        <v>3372</v>
      </c>
      <c r="F1026" t="s">
        <v>14</v>
      </c>
      <c r="G1026" s="1">
        <v>13195.06</v>
      </c>
      <c r="H1026" t="s">
        <v>56</v>
      </c>
      <c r="I1026" t="s">
        <v>3373</v>
      </c>
      <c r="J1026" t="s">
        <v>3374</v>
      </c>
    </row>
    <row r="1027" spans="1:10">
      <c r="A1027">
        <v>140094</v>
      </c>
      <c r="B1027" t="s">
        <v>446</v>
      </c>
      <c r="C1027" t="s">
        <v>3375</v>
      </c>
      <c r="D1027" t="s">
        <v>331</v>
      </c>
      <c r="E1027" t="s">
        <v>3376</v>
      </c>
      <c r="F1027" t="s">
        <v>14</v>
      </c>
      <c r="G1027" s="1">
        <v>13173.85</v>
      </c>
      <c r="H1027" t="s">
        <v>333</v>
      </c>
      <c r="I1027" t="s">
        <v>3377</v>
      </c>
      <c r="J1027" t="s">
        <v>3378</v>
      </c>
    </row>
    <row r="1028" spans="1:10">
      <c r="A1028">
        <v>140343</v>
      </c>
      <c r="B1028" t="s">
        <v>446</v>
      </c>
      <c r="C1028" t="s">
        <v>3379</v>
      </c>
      <c r="D1028" t="s">
        <v>12</v>
      </c>
      <c r="E1028" t="s">
        <v>3380</v>
      </c>
      <c r="F1028" t="s">
        <v>14</v>
      </c>
      <c r="G1028" s="1">
        <v>13128.25</v>
      </c>
      <c r="H1028" t="s">
        <v>777</v>
      </c>
      <c r="I1028" t="s">
        <v>3381</v>
      </c>
      <c r="J1028" t="s">
        <v>3382</v>
      </c>
    </row>
    <row r="1029" spans="1:10">
      <c r="A1029">
        <v>127528</v>
      </c>
      <c r="B1029" t="s">
        <v>446</v>
      </c>
      <c r="C1029" t="s">
        <v>3383</v>
      </c>
      <c r="D1029" t="s">
        <v>12</v>
      </c>
      <c r="E1029" t="s">
        <v>3384</v>
      </c>
      <c r="F1029" t="s">
        <v>14</v>
      </c>
      <c r="G1029" s="1">
        <v>13100.3</v>
      </c>
      <c r="H1029" t="s">
        <v>126</v>
      </c>
      <c r="I1029" t="s">
        <v>156</v>
      </c>
      <c r="J1029" t="s">
        <v>3385</v>
      </c>
    </row>
    <row r="1030" spans="1:10">
      <c r="A1030">
        <v>132090</v>
      </c>
      <c r="B1030" t="s">
        <v>446</v>
      </c>
      <c r="C1030" t="s">
        <v>3386</v>
      </c>
      <c r="D1030" t="s">
        <v>12</v>
      </c>
      <c r="E1030" t="s">
        <v>3387</v>
      </c>
      <c r="F1030" t="s">
        <v>14</v>
      </c>
      <c r="G1030" s="1">
        <v>13046.23</v>
      </c>
      <c r="H1030" t="s">
        <v>499</v>
      </c>
      <c r="I1030" t="s">
        <v>3388</v>
      </c>
      <c r="J1030" t="s">
        <v>3389</v>
      </c>
    </row>
    <row r="1031" spans="1:10">
      <c r="A1031">
        <v>130783</v>
      </c>
      <c r="B1031" t="s">
        <v>446</v>
      </c>
      <c r="C1031" t="s">
        <v>3390</v>
      </c>
      <c r="D1031" t="s">
        <v>12</v>
      </c>
      <c r="E1031" t="s">
        <v>3391</v>
      </c>
      <c r="F1031" t="s">
        <v>14</v>
      </c>
      <c r="G1031" s="1">
        <v>12975.47</v>
      </c>
      <c r="H1031" t="s">
        <v>777</v>
      </c>
      <c r="I1031" t="s">
        <v>2274</v>
      </c>
      <c r="J1031" t="s">
        <v>3392</v>
      </c>
    </row>
    <row r="1032" spans="1:10">
      <c r="A1032">
        <v>149256</v>
      </c>
      <c r="B1032" t="s">
        <v>446</v>
      </c>
      <c r="C1032" t="s">
        <v>3393</v>
      </c>
      <c r="D1032" t="s">
        <v>12</v>
      </c>
      <c r="E1032" t="s">
        <v>3394</v>
      </c>
      <c r="F1032" t="s">
        <v>14</v>
      </c>
      <c r="G1032" s="1">
        <v>12913</v>
      </c>
      <c r="H1032" t="s">
        <v>15</v>
      </c>
      <c r="I1032" t="s">
        <v>3395</v>
      </c>
      <c r="J1032" t="s">
        <v>3396</v>
      </c>
    </row>
    <row r="1033" spans="1:10">
      <c r="A1033">
        <v>142408</v>
      </c>
      <c r="B1033" t="s">
        <v>446</v>
      </c>
      <c r="C1033" t="s">
        <v>3397</v>
      </c>
      <c r="D1033" t="s">
        <v>12</v>
      </c>
      <c r="E1033" t="s">
        <v>3398</v>
      </c>
      <c r="F1033" t="s">
        <v>14</v>
      </c>
      <c r="G1033" s="1">
        <v>12900</v>
      </c>
      <c r="H1033" t="s">
        <v>36</v>
      </c>
      <c r="I1033" t="s">
        <v>3399</v>
      </c>
      <c r="J1033" t="s">
        <v>3400</v>
      </c>
    </row>
    <row r="1034" spans="1:10">
      <c r="A1034" t="s">
        <v>3401</v>
      </c>
      <c r="B1034" t="s">
        <v>446</v>
      </c>
      <c r="C1034" t="s">
        <v>3402</v>
      </c>
      <c r="D1034" t="s">
        <v>12</v>
      </c>
      <c r="E1034" t="s">
        <v>3403</v>
      </c>
      <c r="F1034" t="s">
        <v>168</v>
      </c>
      <c r="G1034" s="1">
        <v>12881.11</v>
      </c>
      <c r="H1034" t="s">
        <v>1144</v>
      </c>
      <c r="I1034" t="s">
        <v>1145</v>
      </c>
      <c r="J1034" t="s">
        <v>3404</v>
      </c>
    </row>
    <row r="1035" spans="1:10">
      <c r="A1035">
        <v>124931</v>
      </c>
      <c r="B1035" t="s">
        <v>446</v>
      </c>
      <c r="C1035" t="s">
        <v>3405</v>
      </c>
      <c r="D1035" t="s">
        <v>12</v>
      </c>
      <c r="E1035" t="s">
        <v>3406</v>
      </c>
      <c r="F1035" t="s">
        <v>14</v>
      </c>
      <c r="G1035" s="1">
        <v>12865</v>
      </c>
      <c r="H1035" t="s">
        <v>140</v>
      </c>
      <c r="I1035" t="s">
        <v>3407</v>
      </c>
      <c r="J1035" t="s">
        <v>3408</v>
      </c>
    </row>
    <row r="1036" spans="1:10">
      <c r="A1036">
        <v>122924</v>
      </c>
      <c r="B1036" t="s">
        <v>446</v>
      </c>
      <c r="C1036" t="s">
        <v>3409</v>
      </c>
      <c r="D1036" t="s">
        <v>12</v>
      </c>
      <c r="E1036" t="s">
        <v>3410</v>
      </c>
      <c r="F1036" t="s">
        <v>14</v>
      </c>
      <c r="G1036" s="1">
        <v>12861.58</v>
      </c>
      <c r="H1036" t="s">
        <v>504</v>
      </c>
      <c r="I1036" t="s">
        <v>3411</v>
      </c>
      <c r="J1036" t="s">
        <v>3412</v>
      </c>
    </row>
    <row r="1037" spans="1:10">
      <c r="A1037">
        <v>106220</v>
      </c>
      <c r="B1037" t="s">
        <v>446</v>
      </c>
      <c r="C1037" t="s">
        <v>3413</v>
      </c>
      <c r="D1037" t="s">
        <v>12</v>
      </c>
      <c r="E1037" t="s">
        <v>3414</v>
      </c>
      <c r="F1037" t="s">
        <v>14</v>
      </c>
      <c r="G1037" s="1">
        <v>12860</v>
      </c>
      <c r="H1037" t="s">
        <v>95</v>
      </c>
      <c r="I1037" t="s">
        <v>506</v>
      </c>
      <c r="J1037" t="s">
        <v>1522</v>
      </c>
    </row>
    <row r="1038" spans="1:10">
      <c r="A1038">
        <v>146250</v>
      </c>
      <c r="B1038" t="s">
        <v>446</v>
      </c>
      <c r="C1038" t="s">
        <v>3415</v>
      </c>
      <c r="D1038" t="s">
        <v>12</v>
      </c>
      <c r="E1038" t="s">
        <v>3416</v>
      </c>
      <c r="F1038" t="s">
        <v>14</v>
      </c>
      <c r="G1038" s="1">
        <v>12851.84</v>
      </c>
      <c r="H1038" t="s">
        <v>777</v>
      </c>
      <c r="I1038" t="s">
        <v>3417</v>
      </c>
      <c r="J1038" t="s">
        <v>3418</v>
      </c>
    </row>
    <row r="1039" spans="1:10">
      <c r="A1039">
        <v>151207</v>
      </c>
      <c r="B1039" t="s">
        <v>446</v>
      </c>
      <c r="C1039" t="s">
        <v>3419</v>
      </c>
      <c r="D1039" t="s">
        <v>12</v>
      </c>
      <c r="E1039" t="s">
        <v>3420</v>
      </c>
      <c r="F1039" t="s">
        <v>14</v>
      </c>
      <c r="G1039" s="1">
        <v>12775.61</v>
      </c>
      <c r="H1039" t="s">
        <v>140</v>
      </c>
      <c r="I1039" t="s">
        <v>284</v>
      </c>
      <c r="J1039" t="s">
        <v>285</v>
      </c>
    </row>
    <row r="1040" spans="1:10">
      <c r="A1040">
        <v>149289</v>
      </c>
      <c r="B1040" t="s">
        <v>446</v>
      </c>
      <c r="C1040" t="s">
        <v>3421</v>
      </c>
      <c r="D1040" t="s">
        <v>12</v>
      </c>
      <c r="E1040" t="s">
        <v>3422</v>
      </c>
      <c r="F1040" t="s">
        <v>14</v>
      </c>
      <c r="G1040" s="1">
        <v>12766.71</v>
      </c>
      <c r="H1040" t="s">
        <v>1017</v>
      </c>
      <c r="I1040" t="s">
        <v>1943</v>
      </c>
      <c r="J1040" t="s">
        <v>3423</v>
      </c>
    </row>
    <row r="1041" spans="1:10">
      <c r="A1041">
        <v>132440</v>
      </c>
      <c r="B1041" t="s">
        <v>446</v>
      </c>
      <c r="C1041" t="s">
        <v>3424</v>
      </c>
      <c r="D1041" t="s">
        <v>12</v>
      </c>
      <c r="E1041" t="s">
        <v>3425</v>
      </c>
      <c r="F1041" t="s">
        <v>14</v>
      </c>
      <c r="G1041" s="1">
        <v>12763.94</v>
      </c>
      <c r="H1041" t="s">
        <v>36</v>
      </c>
      <c r="I1041" t="s">
        <v>3426</v>
      </c>
      <c r="J1041" t="s">
        <v>3427</v>
      </c>
    </row>
    <row r="1042" spans="1:10">
      <c r="A1042">
        <v>129660</v>
      </c>
      <c r="B1042" t="s">
        <v>446</v>
      </c>
      <c r="C1042" t="s">
        <v>3428</v>
      </c>
      <c r="D1042" t="s">
        <v>12</v>
      </c>
      <c r="E1042" t="s">
        <v>3429</v>
      </c>
      <c r="F1042" t="s">
        <v>14</v>
      </c>
      <c r="G1042" s="1">
        <v>12760</v>
      </c>
      <c r="H1042" t="s">
        <v>95</v>
      </c>
      <c r="I1042" t="s">
        <v>506</v>
      </c>
      <c r="J1042" t="s">
        <v>1522</v>
      </c>
    </row>
    <row r="1043" spans="1:10">
      <c r="A1043">
        <v>150763</v>
      </c>
      <c r="B1043" t="s">
        <v>446</v>
      </c>
      <c r="C1043" t="s">
        <v>3430</v>
      </c>
      <c r="D1043" t="s">
        <v>12</v>
      </c>
      <c r="E1043" t="s">
        <v>3431</v>
      </c>
      <c r="F1043" t="s">
        <v>14</v>
      </c>
      <c r="G1043" s="1">
        <v>12660</v>
      </c>
      <c r="H1043" t="s">
        <v>140</v>
      </c>
      <c r="I1043" t="s">
        <v>1993</v>
      </c>
      <c r="J1043" t="s">
        <v>1994</v>
      </c>
    </row>
    <row r="1044" spans="1:10">
      <c r="A1044">
        <v>109685</v>
      </c>
      <c r="B1044" t="s">
        <v>446</v>
      </c>
      <c r="C1044" t="s">
        <v>3432</v>
      </c>
      <c r="D1044" t="s">
        <v>12</v>
      </c>
      <c r="E1044" t="s">
        <v>3433</v>
      </c>
      <c r="F1044" t="s">
        <v>14</v>
      </c>
      <c r="G1044" s="1">
        <v>12654.77</v>
      </c>
      <c r="H1044" t="s">
        <v>140</v>
      </c>
      <c r="I1044" t="s">
        <v>3434</v>
      </c>
      <c r="J1044" t="s">
        <v>3435</v>
      </c>
    </row>
    <row r="1045" spans="1:10">
      <c r="A1045" t="s">
        <v>3436</v>
      </c>
      <c r="B1045" t="s">
        <v>446</v>
      </c>
      <c r="C1045" t="s">
        <v>3437</v>
      </c>
      <c r="D1045" t="s">
        <v>12</v>
      </c>
      <c r="E1045" t="s">
        <v>3438</v>
      </c>
      <c r="F1045" t="s">
        <v>168</v>
      </c>
      <c r="G1045" s="1">
        <v>12629.62</v>
      </c>
      <c r="H1045" t="s">
        <v>232</v>
      </c>
      <c r="I1045" t="s">
        <v>3439</v>
      </c>
      <c r="J1045" t="s">
        <v>3440</v>
      </c>
    </row>
    <row r="1046" spans="1:10">
      <c r="A1046">
        <v>124653</v>
      </c>
      <c r="B1046" t="s">
        <v>446</v>
      </c>
      <c r="C1046" t="s">
        <v>3441</v>
      </c>
      <c r="D1046" t="s">
        <v>12</v>
      </c>
      <c r="E1046" t="s">
        <v>3442</v>
      </c>
      <c r="F1046" t="s">
        <v>14</v>
      </c>
      <c r="G1046" s="1">
        <v>12522.32</v>
      </c>
      <c r="H1046" t="s">
        <v>333</v>
      </c>
      <c r="I1046" t="s">
        <v>333</v>
      </c>
      <c r="J1046" t="s">
        <v>2284</v>
      </c>
    </row>
    <row r="1047" spans="1:10">
      <c r="A1047">
        <v>148123</v>
      </c>
      <c r="B1047" t="s">
        <v>446</v>
      </c>
      <c r="C1047" t="s">
        <v>3443</v>
      </c>
      <c r="D1047" t="s">
        <v>12</v>
      </c>
      <c r="E1047" t="s">
        <v>3444</v>
      </c>
      <c r="F1047" t="s">
        <v>14</v>
      </c>
      <c r="G1047" s="1">
        <v>12500</v>
      </c>
      <c r="H1047" t="s">
        <v>56</v>
      </c>
      <c r="I1047" t="s">
        <v>3445</v>
      </c>
      <c r="J1047" t="s">
        <v>3446</v>
      </c>
    </row>
    <row r="1048" spans="1:10">
      <c r="A1048">
        <v>149493</v>
      </c>
      <c r="B1048" t="s">
        <v>446</v>
      </c>
      <c r="C1048" t="s">
        <v>3447</v>
      </c>
      <c r="D1048" t="s">
        <v>12</v>
      </c>
      <c r="E1048" t="s">
        <v>3448</v>
      </c>
      <c r="F1048" t="s">
        <v>14</v>
      </c>
      <c r="G1048" s="1">
        <v>12485.51</v>
      </c>
      <c r="H1048" t="s">
        <v>499</v>
      </c>
      <c r="I1048" t="s">
        <v>3449</v>
      </c>
      <c r="J1048" t="s">
        <v>3450</v>
      </c>
    </row>
    <row r="1049" spans="1:10">
      <c r="A1049">
        <v>115435</v>
      </c>
      <c r="B1049" t="s">
        <v>446</v>
      </c>
      <c r="C1049" t="s">
        <v>3451</v>
      </c>
      <c r="D1049" t="s">
        <v>12</v>
      </c>
      <c r="E1049" t="s">
        <v>3452</v>
      </c>
      <c r="F1049" t="s">
        <v>14</v>
      </c>
      <c r="G1049" s="1">
        <v>12456.57</v>
      </c>
      <c r="H1049" t="s">
        <v>36</v>
      </c>
      <c r="I1049" t="s">
        <v>3453</v>
      </c>
      <c r="J1049" t="s">
        <v>3454</v>
      </c>
    </row>
    <row r="1050" spans="1:10">
      <c r="A1050">
        <v>117088</v>
      </c>
      <c r="B1050" t="s">
        <v>446</v>
      </c>
      <c r="C1050" t="s">
        <v>3455</v>
      </c>
      <c r="D1050" t="s">
        <v>12</v>
      </c>
      <c r="E1050" t="s">
        <v>3456</v>
      </c>
      <c r="F1050" t="s">
        <v>14</v>
      </c>
      <c r="G1050" s="1">
        <v>12436.53</v>
      </c>
      <c r="H1050" t="s">
        <v>85</v>
      </c>
      <c r="I1050" t="s">
        <v>3457</v>
      </c>
      <c r="J1050" t="s">
        <v>3458</v>
      </c>
    </row>
    <row r="1051" spans="1:10">
      <c r="A1051">
        <v>148256</v>
      </c>
      <c r="B1051" t="s">
        <v>446</v>
      </c>
      <c r="C1051" t="s">
        <v>3459</v>
      </c>
      <c r="D1051" t="s">
        <v>124</v>
      </c>
      <c r="E1051" t="s">
        <v>3460</v>
      </c>
      <c r="F1051" t="s">
        <v>14</v>
      </c>
      <c r="G1051" s="1">
        <v>12400</v>
      </c>
      <c r="H1051" t="s">
        <v>126</v>
      </c>
      <c r="I1051" t="s">
        <v>156</v>
      </c>
      <c r="J1051" t="s">
        <v>180</v>
      </c>
    </row>
    <row r="1052" spans="1:10">
      <c r="A1052">
        <v>149122</v>
      </c>
      <c r="B1052" t="s">
        <v>446</v>
      </c>
      <c r="C1052" t="s">
        <v>3461</v>
      </c>
      <c r="D1052" t="s">
        <v>12</v>
      </c>
      <c r="E1052" t="s">
        <v>3462</v>
      </c>
      <c r="F1052" t="s">
        <v>14</v>
      </c>
      <c r="G1052" s="1">
        <v>12379.56</v>
      </c>
      <c r="H1052" t="s">
        <v>56</v>
      </c>
      <c r="I1052" t="s">
        <v>1736</v>
      </c>
      <c r="J1052" t="s">
        <v>3463</v>
      </c>
    </row>
    <row r="1053" spans="1:10">
      <c r="A1053">
        <v>150414</v>
      </c>
      <c r="B1053" t="s">
        <v>446</v>
      </c>
      <c r="C1053" t="s">
        <v>3464</v>
      </c>
      <c r="D1053" t="s">
        <v>12</v>
      </c>
      <c r="E1053" t="s">
        <v>3465</v>
      </c>
      <c r="F1053" t="s">
        <v>14</v>
      </c>
      <c r="G1053" s="1">
        <v>12375.5</v>
      </c>
      <c r="H1053" t="s">
        <v>95</v>
      </c>
      <c r="I1053" t="s">
        <v>506</v>
      </c>
      <c r="J1053" t="s">
        <v>1522</v>
      </c>
    </row>
    <row r="1054" spans="1:10">
      <c r="A1054">
        <v>145957</v>
      </c>
      <c r="B1054" t="s">
        <v>446</v>
      </c>
      <c r="C1054" t="s">
        <v>3466</v>
      </c>
      <c r="D1054" t="s">
        <v>12</v>
      </c>
      <c r="E1054" t="s">
        <v>3467</v>
      </c>
      <c r="F1054" t="s">
        <v>14</v>
      </c>
      <c r="G1054" s="1">
        <v>12360</v>
      </c>
      <c r="H1054" t="s">
        <v>437</v>
      </c>
      <c r="I1054" t="s">
        <v>3468</v>
      </c>
      <c r="J1054" t="s">
        <v>3469</v>
      </c>
    </row>
    <row r="1055" spans="1:10">
      <c r="A1055">
        <v>142042</v>
      </c>
      <c r="B1055" t="s">
        <v>446</v>
      </c>
      <c r="C1055" t="s">
        <v>3470</v>
      </c>
      <c r="D1055" t="s">
        <v>12</v>
      </c>
      <c r="E1055" t="s">
        <v>3471</v>
      </c>
      <c r="F1055" t="s">
        <v>14</v>
      </c>
      <c r="G1055" s="1">
        <v>12340.3</v>
      </c>
      <c r="H1055" t="s">
        <v>95</v>
      </c>
      <c r="I1055" t="s">
        <v>506</v>
      </c>
      <c r="J1055" t="s">
        <v>1522</v>
      </c>
    </row>
    <row r="1056" spans="1:10">
      <c r="A1056">
        <v>141649</v>
      </c>
      <c r="B1056" t="s">
        <v>446</v>
      </c>
      <c r="C1056" t="s">
        <v>3472</v>
      </c>
      <c r="D1056" t="s">
        <v>12</v>
      </c>
      <c r="E1056" t="s">
        <v>3473</v>
      </c>
      <c r="F1056" t="s">
        <v>14</v>
      </c>
      <c r="G1056" s="1">
        <v>12337.5</v>
      </c>
      <c r="H1056" t="s">
        <v>140</v>
      </c>
      <c r="I1056" t="s">
        <v>1748</v>
      </c>
      <c r="J1056" t="s">
        <v>3474</v>
      </c>
    </row>
    <row r="1057" spans="1:10">
      <c r="A1057">
        <v>129940</v>
      </c>
      <c r="B1057" t="s">
        <v>446</v>
      </c>
      <c r="C1057" t="s">
        <v>3475</v>
      </c>
      <c r="D1057" t="s">
        <v>12</v>
      </c>
      <c r="E1057" t="s">
        <v>3476</v>
      </c>
      <c r="F1057" t="s">
        <v>14</v>
      </c>
      <c r="G1057" s="1">
        <v>12300</v>
      </c>
      <c r="H1057" t="s">
        <v>777</v>
      </c>
      <c r="I1057" t="s">
        <v>3477</v>
      </c>
      <c r="J1057" t="s">
        <v>3478</v>
      </c>
    </row>
    <row r="1058" spans="1:10">
      <c r="A1058">
        <v>152093</v>
      </c>
      <c r="B1058" t="s">
        <v>446</v>
      </c>
      <c r="C1058" t="s">
        <v>3479</v>
      </c>
      <c r="D1058" t="s">
        <v>12</v>
      </c>
      <c r="E1058" t="s">
        <v>3480</v>
      </c>
      <c r="F1058" t="s">
        <v>14</v>
      </c>
      <c r="G1058" s="1">
        <v>12204.9</v>
      </c>
      <c r="H1058" t="s">
        <v>56</v>
      </c>
      <c r="I1058" t="s">
        <v>3481</v>
      </c>
      <c r="J1058" t="s">
        <v>3482</v>
      </c>
    </row>
    <row r="1059" spans="1:10">
      <c r="A1059">
        <v>149008</v>
      </c>
      <c r="B1059" t="s">
        <v>446</v>
      </c>
      <c r="C1059" t="s">
        <v>3483</v>
      </c>
      <c r="D1059" t="s">
        <v>12</v>
      </c>
      <c r="E1059" t="s">
        <v>3484</v>
      </c>
      <c r="F1059" t="s">
        <v>14</v>
      </c>
      <c r="G1059" s="1">
        <v>12200</v>
      </c>
      <c r="H1059" t="s">
        <v>140</v>
      </c>
      <c r="I1059" t="s">
        <v>3485</v>
      </c>
      <c r="J1059" t="s">
        <v>506</v>
      </c>
    </row>
    <row r="1060" spans="1:10">
      <c r="A1060">
        <v>152036</v>
      </c>
      <c r="B1060" t="s">
        <v>446</v>
      </c>
      <c r="C1060" t="s">
        <v>3486</v>
      </c>
      <c r="D1060" t="s">
        <v>12</v>
      </c>
      <c r="E1060" t="s">
        <v>3487</v>
      </c>
      <c r="F1060" t="s">
        <v>14</v>
      </c>
      <c r="G1060" s="1">
        <v>12200</v>
      </c>
      <c r="H1060" t="s">
        <v>95</v>
      </c>
      <c r="I1060" t="s">
        <v>506</v>
      </c>
      <c r="J1060" t="s">
        <v>1522</v>
      </c>
    </row>
    <row r="1061" spans="1:10">
      <c r="A1061">
        <v>125433</v>
      </c>
      <c r="B1061" t="s">
        <v>446</v>
      </c>
      <c r="C1061" t="s">
        <v>3488</v>
      </c>
      <c r="D1061" t="s">
        <v>12</v>
      </c>
      <c r="E1061" t="s">
        <v>3489</v>
      </c>
      <c r="F1061" t="s">
        <v>14</v>
      </c>
      <c r="G1061" s="1">
        <v>12176.62</v>
      </c>
      <c r="H1061" t="s">
        <v>56</v>
      </c>
      <c r="I1061" t="s">
        <v>3490</v>
      </c>
      <c r="J1061" t="s">
        <v>3491</v>
      </c>
    </row>
    <row r="1062" spans="1:10">
      <c r="A1062">
        <v>148850</v>
      </c>
      <c r="B1062" t="s">
        <v>446</v>
      </c>
      <c r="C1062" t="s">
        <v>3492</v>
      </c>
      <c r="D1062" t="s">
        <v>124</v>
      </c>
      <c r="E1062" t="s">
        <v>3493</v>
      </c>
      <c r="F1062" t="s">
        <v>14</v>
      </c>
      <c r="G1062" s="1">
        <v>12176.12</v>
      </c>
      <c r="H1062" t="s">
        <v>126</v>
      </c>
      <c r="I1062" t="s">
        <v>3494</v>
      </c>
      <c r="J1062" t="s">
        <v>3495</v>
      </c>
    </row>
    <row r="1063" spans="1:10">
      <c r="A1063">
        <v>125907</v>
      </c>
      <c r="B1063" t="s">
        <v>446</v>
      </c>
      <c r="C1063" t="s">
        <v>3496</v>
      </c>
      <c r="D1063" t="s">
        <v>12</v>
      </c>
      <c r="E1063" t="s">
        <v>3497</v>
      </c>
      <c r="F1063" t="s">
        <v>14</v>
      </c>
      <c r="G1063" s="1">
        <v>12142.56</v>
      </c>
      <c r="H1063" t="s">
        <v>437</v>
      </c>
      <c r="I1063" t="s">
        <v>542</v>
      </c>
      <c r="J1063" t="s">
        <v>3498</v>
      </c>
    </row>
    <row r="1064" spans="1:10">
      <c r="A1064">
        <v>116597</v>
      </c>
      <c r="B1064" t="s">
        <v>446</v>
      </c>
      <c r="C1064" t="s">
        <v>3499</v>
      </c>
      <c r="D1064" t="s">
        <v>12</v>
      </c>
      <c r="E1064" t="s">
        <v>3500</v>
      </c>
      <c r="F1064" t="s">
        <v>14</v>
      </c>
      <c r="G1064" s="1">
        <v>12117.58</v>
      </c>
      <c r="H1064" t="s">
        <v>232</v>
      </c>
      <c r="I1064" t="s">
        <v>3501</v>
      </c>
      <c r="J1064" t="s">
        <v>3502</v>
      </c>
    </row>
    <row r="1065" spans="1:10">
      <c r="A1065">
        <v>104397</v>
      </c>
      <c r="B1065" t="s">
        <v>446</v>
      </c>
      <c r="C1065" t="s">
        <v>3503</v>
      </c>
      <c r="D1065" t="s">
        <v>512</v>
      </c>
      <c r="E1065" t="s">
        <v>601</v>
      </c>
      <c r="F1065" t="s">
        <v>14</v>
      </c>
      <c r="G1065" s="1">
        <v>12064.26</v>
      </c>
      <c r="H1065" t="s">
        <v>56</v>
      </c>
      <c r="I1065" t="s">
        <v>3504</v>
      </c>
      <c r="J1065" t="s">
        <v>3505</v>
      </c>
    </row>
    <row r="1066" spans="1:10">
      <c r="A1066">
        <v>149927</v>
      </c>
      <c r="B1066" t="s">
        <v>446</v>
      </c>
      <c r="C1066" t="s">
        <v>3506</v>
      </c>
      <c r="D1066" t="s">
        <v>12</v>
      </c>
      <c r="E1066" t="s">
        <v>3507</v>
      </c>
      <c r="F1066" t="s">
        <v>14</v>
      </c>
      <c r="G1066" s="1">
        <v>12025</v>
      </c>
      <c r="H1066" t="s">
        <v>140</v>
      </c>
      <c r="I1066" t="s">
        <v>669</v>
      </c>
      <c r="J1066" t="s">
        <v>3508</v>
      </c>
    </row>
    <row r="1067" spans="1:10">
      <c r="A1067">
        <v>126882</v>
      </c>
      <c r="B1067" t="s">
        <v>446</v>
      </c>
      <c r="C1067" t="s">
        <v>3509</v>
      </c>
      <c r="D1067" t="s">
        <v>124</v>
      </c>
      <c r="E1067" t="s">
        <v>3510</v>
      </c>
      <c r="F1067" t="s">
        <v>14</v>
      </c>
      <c r="G1067" s="1">
        <v>12000</v>
      </c>
      <c r="H1067" t="s">
        <v>126</v>
      </c>
      <c r="I1067" t="s">
        <v>156</v>
      </c>
      <c r="J1067" t="s">
        <v>180</v>
      </c>
    </row>
    <row r="1068" spans="1:10">
      <c r="A1068">
        <v>129784</v>
      </c>
      <c r="B1068" t="s">
        <v>446</v>
      </c>
      <c r="C1068" t="s">
        <v>3511</v>
      </c>
      <c r="D1068" t="s">
        <v>12</v>
      </c>
      <c r="E1068" t="s">
        <v>3512</v>
      </c>
      <c r="F1068" t="s">
        <v>14</v>
      </c>
      <c r="G1068" s="1">
        <v>12000</v>
      </c>
      <c r="H1068" t="s">
        <v>85</v>
      </c>
      <c r="I1068" t="s">
        <v>1937</v>
      </c>
      <c r="J1068" t="s">
        <v>3513</v>
      </c>
    </row>
    <row r="1069" spans="1:10">
      <c r="A1069">
        <v>151022</v>
      </c>
      <c r="B1069" t="s">
        <v>446</v>
      </c>
      <c r="C1069" t="s">
        <v>3514</v>
      </c>
      <c r="D1069" t="s">
        <v>124</v>
      </c>
      <c r="E1069" t="s">
        <v>3515</v>
      </c>
      <c r="F1069" t="s">
        <v>14</v>
      </c>
      <c r="G1069" s="1">
        <v>12000</v>
      </c>
      <c r="H1069" t="s">
        <v>126</v>
      </c>
      <c r="I1069" t="s">
        <v>3516</v>
      </c>
      <c r="J1069" t="s">
        <v>3517</v>
      </c>
    </row>
    <row r="1070" spans="1:10">
      <c r="A1070">
        <v>112529</v>
      </c>
      <c r="B1070" t="s">
        <v>446</v>
      </c>
      <c r="C1070" t="s">
        <v>3518</v>
      </c>
      <c r="D1070" t="s">
        <v>124</v>
      </c>
      <c r="E1070" t="s">
        <v>3519</v>
      </c>
      <c r="F1070" t="s">
        <v>14</v>
      </c>
      <c r="G1070" s="1">
        <v>12000</v>
      </c>
      <c r="H1070" t="s">
        <v>918</v>
      </c>
      <c r="I1070" t="s">
        <v>3520</v>
      </c>
      <c r="J1070" t="s">
        <v>3521</v>
      </c>
    </row>
    <row r="1071" spans="1:10">
      <c r="A1071">
        <v>151634</v>
      </c>
      <c r="B1071" t="s">
        <v>446</v>
      </c>
      <c r="C1071" t="s">
        <v>3522</v>
      </c>
      <c r="D1071" t="s">
        <v>124</v>
      </c>
      <c r="E1071" t="s">
        <v>3523</v>
      </c>
      <c r="F1071" t="s">
        <v>14</v>
      </c>
      <c r="G1071" s="1">
        <v>12000</v>
      </c>
      <c r="H1071" t="s">
        <v>126</v>
      </c>
      <c r="I1071" t="s">
        <v>156</v>
      </c>
      <c r="J1071" t="s">
        <v>180</v>
      </c>
    </row>
    <row r="1072" spans="1:10">
      <c r="A1072">
        <v>147086</v>
      </c>
      <c r="B1072" t="s">
        <v>446</v>
      </c>
      <c r="C1072" t="s">
        <v>3524</v>
      </c>
      <c r="D1072" t="s">
        <v>12</v>
      </c>
      <c r="E1072" t="s">
        <v>3525</v>
      </c>
      <c r="F1072" t="s">
        <v>14</v>
      </c>
      <c r="G1072" s="1">
        <v>11965.74</v>
      </c>
      <c r="H1072" t="s">
        <v>232</v>
      </c>
      <c r="I1072" t="s">
        <v>233</v>
      </c>
      <c r="J1072" t="s">
        <v>3526</v>
      </c>
    </row>
    <row r="1073" spans="1:10">
      <c r="A1073">
        <v>150511</v>
      </c>
      <c r="B1073" t="s">
        <v>446</v>
      </c>
      <c r="C1073" t="s">
        <v>3527</v>
      </c>
      <c r="D1073" t="s">
        <v>12</v>
      </c>
      <c r="E1073" t="s">
        <v>3528</v>
      </c>
      <c r="F1073" t="s">
        <v>14</v>
      </c>
      <c r="G1073" s="1">
        <v>11932.68</v>
      </c>
      <c r="H1073" t="s">
        <v>131</v>
      </c>
      <c r="I1073" t="s">
        <v>3529</v>
      </c>
      <c r="J1073" t="s">
        <v>3530</v>
      </c>
    </row>
    <row r="1074" spans="1:10">
      <c r="A1074">
        <v>116936</v>
      </c>
      <c r="B1074" t="s">
        <v>446</v>
      </c>
      <c r="C1074" t="s">
        <v>3531</v>
      </c>
      <c r="D1074" t="s">
        <v>12</v>
      </c>
      <c r="E1074" t="s">
        <v>3532</v>
      </c>
      <c r="F1074" t="s">
        <v>14</v>
      </c>
      <c r="G1074" s="1">
        <v>11926.03</v>
      </c>
      <c r="H1074" t="s">
        <v>140</v>
      </c>
      <c r="I1074" t="s">
        <v>3533</v>
      </c>
      <c r="J1074" t="s">
        <v>3534</v>
      </c>
    </row>
    <row r="1075" spans="1:10">
      <c r="A1075">
        <v>106388</v>
      </c>
      <c r="B1075" t="s">
        <v>446</v>
      </c>
      <c r="C1075" t="s">
        <v>3535</v>
      </c>
      <c r="D1075" t="s">
        <v>124</v>
      </c>
      <c r="E1075" t="s">
        <v>3536</v>
      </c>
      <c r="F1075" t="s">
        <v>14</v>
      </c>
      <c r="G1075" s="1">
        <v>11910</v>
      </c>
      <c r="H1075" t="s">
        <v>126</v>
      </c>
      <c r="I1075" t="s">
        <v>156</v>
      </c>
      <c r="J1075" t="s">
        <v>356</v>
      </c>
    </row>
    <row r="1076" spans="1:10">
      <c r="A1076">
        <v>128185</v>
      </c>
      <c r="B1076" t="s">
        <v>446</v>
      </c>
      <c r="C1076" t="s">
        <v>3537</v>
      </c>
      <c r="D1076" t="s">
        <v>12</v>
      </c>
      <c r="E1076" t="s">
        <v>3538</v>
      </c>
      <c r="F1076" t="s">
        <v>14</v>
      </c>
      <c r="G1076" s="1">
        <v>11859.73</v>
      </c>
      <c r="H1076" t="s">
        <v>232</v>
      </c>
      <c r="I1076" t="s">
        <v>3539</v>
      </c>
      <c r="J1076" t="s">
        <v>3540</v>
      </c>
    </row>
    <row r="1077" spans="1:10">
      <c r="A1077">
        <v>124147</v>
      </c>
      <c r="B1077" t="s">
        <v>446</v>
      </c>
      <c r="C1077" t="s">
        <v>3541</v>
      </c>
      <c r="D1077" t="s">
        <v>12</v>
      </c>
      <c r="E1077" t="s">
        <v>3542</v>
      </c>
      <c r="F1077" t="s">
        <v>14</v>
      </c>
      <c r="G1077" s="1">
        <v>11839.2</v>
      </c>
      <c r="H1077" t="s">
        <v>1017</v>
      </c>
      <c r="I1077" t="s">
        <v>3543</v>
      </c>
      <c r="J1077" t="s">
        <v>3544</v>
      </c>
    </row>
    <row r="1078" spans="1:10">
      <c r="A1078">
        <v>105360</v>
      </c>
      <c r="B1078" t="s">
        <v>446</v>
      </c>
      <c r="C1078" t="s">
        <v>3545</v>
      </c>
      <c r="D1078" t="s">
        <v>124</v>
      </c>
      <c r="E1078" t="s">
        <v>3546</v>
      </c>
      <c r="F1078" t="s">
        <v>14</v>
      </c>
      <c r="G1078" s="1">
        <v>11832.77</v>
      </c>
      <c r="H1078" t="s">
        <v>126</v>
      </c>
      <c r="I1078" t="s">
        <v>156</v>
      </c>
      <c r="J1078" t="s">
        <v>202</v>
      </c>
    </row>
    <row r="1079" spans="1:10">
      <c r="A1079">
        <v>131909</v>
      </c>
      <c r="B1079" t="s">
        <v>446</v>
      </c>
      <c r="C1079" t="s">
        <v>3547</v>
      </c>
      <c r="D1079" t="s">
        <v>12</v>
      </c>
      <c r="E1079" t="s">
        <v>3548</v>
      </c>
      <c r="F1079" t="s">
        <v>14</v>
      </c>
      <c r="G1079" s="1">
        <v>11734.82</v>
      </c>
      <c r="H1079" t="s">
        <v>36</v>
      </c>
      <c r="I1079" t="s">
        <v>2491</v>
      </c>
      <c r="J1079" t="s">
        <v>3549</v>
      </c>
    </row>
    <row r="1080" spans="1:10">
      <c r="A1080">
        <v>151088</v>
      </c>
      <c r="B1080" t="s">
        <v>446</v>
      </c>
      <c r="C1080" t="s">
        <v>3550</v>
      </c>
      <c r="D1080" t="s">
        <v>12</v>
      </c>
      <c r="E1080" t="s">
        <v>3551</v>
      </c>
      <c r="F1080" t="s">
        <v>14</v>
      </c>
      <c r="G1080" s="1">
        <v>11721.93</v>
      </c>
      <c r="H1080" t="s">
        <v>375</v>
      </c>
      <c r="I1080" t="s">
        <v>3552</v>
      </c>
      <c r="J1080" t="s">
        <v>3553</v>
      </c>
    </row>
    <row r="1081" spans="1:10">
      <c r="A1081">
        <v>113235</v>
      </c>
      <c r="B1081" t="s">
        <v>446</v>
      </c>
      <c r="C1081" t="s">
        <v>3554</v>
      </c>
      <c r="D1081" t="s">
        <v>12</v>
      </c>
      <c r="E1081" t="s">
        <v>3555</v>
      </c>
      <c r="F1081" t="s">
        <v>14</v>
      </c>
      <c r="G1081" s="1">
        <v>11710.42</v>
      </c>
      <c r="H1081" t="s">
        <v>27</v>
      </c>
      <c r="I1081" t="s">
        <v>947</v>
      </c>
      <c r="J1081" t="s">
        <v>948</v>
      </c>
    </row>
    <row r="1082" spans="1:10">
      <c r="A1082">
        <v>128254</v>
      </c>
      <c r="B1082" t="s">
        <v>446</v>
      </c>
      <c r="C1082" t="s">
        <v>3556</v>
      </c>
      <c r="D1082" t="s">
        <v>12</v>
      </c>
      <c r="E1082" t="s">
        <v>3557</v>
      </c>
      <c r="F1082" t="s">
        <v>14</v>
      </c>
      <c r="G1082" s="1">
        <v>11670</v>
      </c>
      <c r="H1082" t="s">
        <v>72</v>
      </c>
      <c r="I1082" t="s">
        <v>3558</v>
      </c>
      <c r="J1082" t="s">
        <v>3559</v>
      </c>
    </row>
    <row r="1083" spans="1:10">
      <c r="A1083">
        <v>127873</v>
      </c>
      <c r="B1083" t="s">
        <v>446</v>
      </c>
      <c r="C1083" t="s">
        <v>3560</v>
      </c>
      <c r="D1083" t="s">
        <v>12</v>
      </c>
      <c r="E1083" t="s">
        <v>3561</v>
      </c>
      <c r="F1083" t="s">
        <v>14</v>
      </c>
      <c r="G1083" s="1">
        <v>11664</v>
      </c>
      <c r="H1083" t="s">
        <v>918</v>
      </c>
      <c r="I1083" t="s">
        <v>919</v>
      </c>
      <c r="J1083" t="s">
        <v>3562</v>
      </c>
    </row>
    <row r="1084" spans="1:10">
      <c r="A1084">
        <v>104791</v>
      </c>
      <c r="B1084" t="s">
        <v>446</v>
      </c>
      <c r="C1084" t="s">
        <v>3563</v>
      </c>
      <c r="D1084" t="s">
        <v>12</v>
      </c>
      <c r="E1084" t="s">
        <v>3564</v>
      </c>
      <c r="F1084" t="s">
        <v>14</v>
      </c>
      <c r="G1084" s="1">
        <v>11649.64</v>
      </c>
      <c r="H1084" t="s">
        <v>1378</v>
      </c>
      <c r="I1084" t="s">
        <v>3565</v>
      </c>
      <c r="J1084" t="s">
        <v>3566</v>
      </c>
    </row>
    <row r="1085" spans="1:10">
      <c r="A1085">
        <v>149500</v>
      </c>
      <c r="B1085" t="s">
        <v>446</v>
      </c>
      <c r="C1085" t="s">
        <v>3567</v>
      </c>
      <c r="D1085" t="s">
        <v>12</v>
      </c>
      <c r="E1085" t="s">
        <v>3568</v>
      </c>
      <c r="F1085" t="s">
        <v>14</v>
      </c>
      <c r="G1085" s="1">
        <v>11637.96</v>
      </c>
      <c r="H1085" t="s">
        <v>777</v>
      </c>
      <c r="I1085" t="s">
        <v>2021</v>
      </c>
      <c r="J1085" t="s">
        <v>2022</v>
      </c>
    </row>
    <row r="1086" spans="1:10">
      <c r="A1086">
        <v>112539</v>
      </c>
      <c r="B1086" t="s">
        <v>446</v>
      </c>
      <c r="C1086" t="s">
        <v>3569</v>
      </c>
      <c r="D1086" t="s">
        <v>512</v>
      </c>
      <c r="E1086" t="s">
        <v>3570</v>
      </c>
      <c r="F1086" t="s">
        <v>14</v>
      </c>
      <c r="G1086" s="1">
        <v>11530.74</v>
      </c>
      <c r="H1086" t="s">
        <v>553</v>
      </c>
      <c r="I1086" t="s">
        <v>1971</v>
      </c>
      <c r="J1086" t="s">
        <v>3571</v>
      </c>
    </row>
    <row r="1087" spans="1:10">
      <c r="A1087">
        <v>141922</v>
      </c>
      <c r="B1087" t="s">
        <v>446</v>
      </c>
      <c r="C1087" t="s">
        <v>3572</v>
      </c>
      <c r="D1087" t="s">
        <v>12</v>
      </c>
      <c r="E1087" t="s">
        <v>3573</v>
      </c>
      <c r="F1087" t="s">
        <v>14</v>
      </c>
      <c r="G1087" s="1">
        <v>11513.19</v>
      </c>
      <c r="H1087" t="s">
        <v>918</v>
      </c>
      <c r="I1087" t="s">
        <v>3004</v>
      </c>
      <c r="J1087" t="s">
        <v>3574</v>
      </c>
    </row>
    <row r="1088" spans="1:10">
      <c r="A1088">
        <v>147520</v>
      </c>
      <c r="B1088" t="s">
        <v>446</v>
      </c>
      <c r="C1088" t="s">
        <v>3575</v>
      </c>
      <c r="D1088" t="s">
        <v>331</v>
      </c>
      <c r="E1088" t="s">
        <v>3576</v>
      </c>
      <c r="F1088" t="s">
        <v>14</v>
      </c>
      <c r="G1088" s="1">
        <v>11510.85</v>
      </c>
      <c r="H1088" t="s">
        <v>333</v>
      </c>
      <c r="I1088" t="s">
        <v>3577</v>
      </c>
      <c r="J1088" t="s">
        <v>3578</v>
      </c>
    </row>
    <row r="1089" spans="1:10">
      <c r="A1089">
        <v>150013</v>
      </c>
      <c r="B1089" t="s">
        <v>446</v>
      </c>
      <c r="C1089" t="s">
        <v>3579</v>
      </c>
      <c r="D1089" t="s">
        <v>12</v>
      </c>
      <c r="E1089" t="s">
        <v>3580</v>
      </c>
      <c r="F1089" t="s">
        <v>14</v>
      </c>
      <c r="G1089" s="1">
        <v>11489.04</v>
      </c>
      <c r="H1089" t="s">
        <v>848</v>
      </c>
      <c r="I1089" t="s">
        <v>2449</v>
      </c>
      <c r="J1089" t="s">
        <v>3581</v>
      </c>
    </row>
    <row r="1090" spans="1:10">
      <c r="A1090">
        <v>110699</v>
      </c>
      <c r="B1090" t="s">
        <v>446</v>
      </c>
      <c r="C1090" t="s">
        <v>3582</v>
      </c>
      <c r="D1090" t="s">
        <v>12</v>
      </c>
      <c r="E1090" t="s">
        <v>3583</v>
      </c>
      <c r="F1090" t="s">
        <v>14</v>
      </c>
      <c r="G1090" s="1">
        <v>11469.13</v>
      </c>
      <c r="H1090" t="s">
        <v>36</v>
      </c>
      <c r="I1090" t="s">
        <v>77</v>
      </c>
      <c r="J1090" t="s">
        <v>3584</v>
      </c>
    </row>
    <row r="1091" spans="1:10">
      <c r="A1091">
        <v>143399</v>
      </c>
      <c r="B1091" t="s">
        <v>446</v>
      </c>
      <c r="C1091" t="s">
        <v>3585</v>
      </c>
      <c r="D1091" t="s">
        <v>12</v>
      </c>
      <c r="E1091" t="s">
        <v>3586</v>
      </c>
      <c r="F1091" t="s">
        <v>14</v>
      </c>
      <c r="G1091" s="1">
        <v>11440</v>
      </c>
      <c r="H1091" t="s">
        <v>777</v>
      </c>
      <c r="I1091" t="s">
        <v>2021</v>
      </c>
      <c r="J1091" t="s">
        <v>3587</v>
      </c>
    </row>
    <row r="1092" spans="1:10">
      <c r="A1092">
        <v>119084</v>
      </c>
      <c r="B1092" t="s">
        <v>446</v>
      </c>
      <c r="C1092" t="s">
        <v>3588</v>
      </c>
      <c r="D1092" t="s">
        <v>12</v>
      </c>
      <c r="E1092" t="s">
        <v>3589</v>
      </c>
      <c r="F1092" t="s">
        <v>14</v>
      </c>
      <c r="G1092" s="1">
        <v>11425</v>
      </c>
      <c r="H1092" t="s">
        <v>2083</v>
      </c>
      <c r="I1092" t="s">
        <v>3590</v>
      </c>
      <c r="J1092" t="s">
        <v>3591</v>
      </c>
    </row>
    <row r="1093" spans="1:10">
      <c r="A1093">
        <v>143857</v>
      </c>
      <c r="B1093" t="s">
        <v>446</v>
      </c>
      <c r="C1093" t="s">
        <v>3592</v>
      </c>
      <c r="D1093" t="s">
        <v>12</v>
      </c>
      <c r="E1093" t="s">
        <v>3593</v>
      </c>
      <c r="F1093" t="s">
        <v>14</v>
      </c>
      <c r="G1093" s="1">
        <v>11400</v>
      </c>
      <c r="H1093" t="s">
        <v>1017</v>
      </c>
      <c r="I1093" t="s">
        <v>3594</v>
      </c>
      <c r="J1093" t="s">
        <v>3595</v>
      </c>
    </row>
    <row r="1094" spans="1:10">
      <c r="A1094">
        <v>125538</v>
      </c>
      <c r="B1094" t="s">
        <v>446</v>
      </c>
      <c r="C1094" t="s">
        <v>3596</v>
      </c>
      <c r="D1094" t="s">
        <v>12</v>
      </c>
      <c r="E1094" t="s">
        <v>3597</v>
      </c>
      <c r="F1094" t="s">
        <v>14</v>
      </c>
      <c r="G1094" s="1">
        <v>11348.52</v>
      </c>
      <c r="H1094" t="s">
        <v>36</v>
      </c>
      <c r="I1094" t="s">
        <v>2491</v>
      </c>
      <c r="J1094" t="s">
        <v>3598</v>
      </c>
    </row>
    <row r="1095" spans="1:10">
      <c r="A1095">
        <v>148476</v>
      </c>
      <c r="B1095" t="s">
        <v>446</v>
      </c>
      <c r="C1095" t="s">
        <v>3599</v>
      </c>
      <c r="D1095" t="s">
        <v>124</v>
      </c>
      <c r="E1095" t="s">
        <v>3600</v>
      </c>
      <c r="F1095" t="s">
        <v>14</v>
      </c>
      <c r="G1095" s="1">
        <v>11325</v>
      </c>
      <c r="H1095" t="s">
        <v>1263</v>
      </c>
      <c r="I1095" t="s">
        <v>2833</v>
      </c>
      <c r="J1095" t="s">
        <v>3601</v>
      </c>
    </row>
    <row r="1096" spans="1:10">
      <c r="A1096">
        <v>125247</v>
      </c>
      <c r="B1096" t="s">
        <v>446</v>
      </c>
      <c r="C1096" t="s">
        <v>3602</v>
      </c>
      <c r="D1096" t="s">
        <v>12</v>
      </c>
      <c r="E1096" t="s">
        <v>3603</v>
      </c>
      <c r="F1096" t="s">
        <v>14</v>
      </c>
      <c r="G1096" s="1">
        <v>11306.19</v>
      </c>
      <c r="H1096" t="s">
        <v>140</v>
      </c>
      <c r="I1096" t="s">
        <v>1361</v>
      </c>
      <c r="J1096" t="s">
        <v>3604</v>
      </c>
    </row>
    <row r="1097" spans="1:10">
      <c r="A1097">
        <v>129091</v>
      </c>
      <c r="B1097" t="s">
        <v>446</v>
      </c>
      <c r="C1097" t="s">
        <v>3605</v>
      </c>
      <c r="D1097" t="s">
        <v>12</v>
      </c>
      <c r="E1097" t="s">
        <v>3606</v>
      </c>
      <c r="F1097" t="s">
        <v>14</v>
      </c>
      <c r="G1097" s="1">
        <v>11300</v>
      </c>
      <c r="H1097" t="s">
        <v>232</v>
      </c>
      <c r="I1097" t="s">
        <v>3607</v>
      </c>
      <c r="J1097" t="s">
        <v>3608</v>
      </c>
    </row>
    <row r="1098" spans="1:10">
      <c r="A1098">
        <v>150463</v>
      </c>
      <c r="B1098" t="s">
        <v>446</v>
      </c>
      <c r="C1098" t="s">
        <v>3609</v>
      </c>
      <c r="D1098" t="s">
        <v>12</v>
      </c>
      <c r="E1098" t="s">
        <v>3610</v>
      </c>
      <c r="F1098" t="s">
        <v>14</v>
      </c>
      <c r="G1098" s="1">
        <v>11285.43</v>
      </c>
      <c r="H1098" t="s">
        <v>928</v>
      </c>
      <c r="I1098" t="s">
        <v>929</v>
      </c>
      <c r="J1098" t="s">
        <v>3611</v>
      </c>
    </row>
    <row r="1099" spans="1:10">
      <c r="A1099">
        <v>114437</v>
      </c>
      <c r="B1099" t="s">
        <v>446</v>
      </c>
      <c r="C1099" t="s">
        <v>3612</v>
      </c>
      <c r="D1099" t="s">
        <v>12</v>
      </c>
      <c r="E1099" t="s">
        <v>3613</v>
      </c>
      <c r="F1099" t="s">
        <v>14</v>
      </c>
      <c r="G1099" s="1">
        <v>11277.3</v>
      </c>
      <c r="H1099" t="s">
        <v>72</v>
      </c>
      <c r="I1099" t="s">
        <v>3614</v>
      </c>
      <c r="J1099" t="s">
        <v>3615</v>
      </c>
    </row>
    <row r="1100" spans="1:10">
      <c r="A1100">
        <v>144650</v>
      </c>
      <c r="B1100" t="s">
        <v>446</v>
      </c>
      <c r="C1100" t="s">
        <v>3616</v>
      </c>
      <c r="D1100" t="s">
        <v>12</v>
      </c>
      <c r="E1100" t="s">
        <v>3617</v>
      </c>
      <c r="F1100" t="s">
        <v>14</v>
      </c>
      <c r="G1100" s="1">
        <v>11262.63</v>
      </c>
      <c r="H1100" t="s">
        <v>85</v>
      </c>
      <c r="I1100" t="s">
        <v>3618</v>
      </c>
      <c r="J1100" t="s">
        <v>3619</v>
      </c>
    </row>
    <row r="1101" spans="1:10">
      <c r="A1101">
        <v>100744</v>
      </c>
      <c r="B1101" t="s">
        <v>446</v>
      </c>
      <c r="C1101" t="s">
        <v>3620</v>
      </c>
      <c r="D1101" t="s">
        <v>25</v>
      </c>
      <c r="E1101" t="s">
        <v>3621</v>
      </c>
      <c r="F1101" t="s">
        <v>14</v>
      </c>
      <c r="G1101" s="1">
        <v>11257.39</v>
      </c>
      <c r="H1101" t="s">
        <v>140</v>
      </c>
      <c r="I1101" t="s">
        <v>505</v>
      </c>
      <c r="J1101" t="s">
        <v>506</v>
      </c>
    </row>
    <row r="1102" spans="1:10">
      <c r="A1102">
        <v>121525</v>
      </c>
      <c r="B1102" t="s">
        <v>446</v>
      </c>
      <c r="C1102" t="s">
        <v>3622</v>
      </c>
      <c r="D1102" t="s">
        <v>12</v>
      </c>
      <c r="E1102" t="s">
        <v>3623</v>
      </c>
      <c r="F1102" t="s">
        <v>14</v>
      </c>
      <c r="G1102" s="1">
        <v>11250</v>
      </c>
      <c r="H1102" t="s">
        <v>85</v>
      </c>
      <c r="I1102" t="s">
        <v>3624</v>
      </c>
      <c r="J1102" t="s">
        <v>3625</v>
      </c>
    </row>
    <row r="1103" spans="1:10">
      <c r="A1103">
        <v>147088</v>
      </c>
      <c r="B1103" t="s">
        <v>446</v>
      </c>
      <c r="C1103" t="s">
        <v>3626</v>
      </c>
      <c r="D1103" t="s">
        <v>12</v>
      </c>
      <c r="E1103" t="s">
        <v>3627</v>
      </c>
      <c r="F1103" t="s">
        <v>14</v>
      </c>
      <c r="G1103" s="1">
        <v>11184.49</v>
      </c>
      <c r="H1103" t="s">
        <v>777</v>
      </c>
      <c r="I1103" t="s">
        <v>3628</v>
      </c>
      <c r="J1103" t="s">
        <v>3629</v>
      </c>
    </row>
    <row r="1104" spans="1:10">
      <c r="A1104">
        <v>129952</v>
      </c>
      <c r="B1104" t="s">
        <v>446</v>
      </c>
      <c r="C1104" t="s">
        <v>3630</v>
      </c>
      <c r="D1104" t="s">
        <v>124</v>
      </c>
      <c r="E1104" t="s">
        <v>3631</v>
      </c>
      <c r="F1104" t="s">
        <v>14</v>
      </c>
      <c r="G1104" s="1">
        <v>11171.46</v>
      </c>
      <c r="H1104" t="s">
        <v>126</v>
      </c>
      <c r="I1104" t="s">
        <v>156</v>
      </c>
      <c r="J1104" t="s">
        <v>3632</v>
      </c>
    </row>
    <row r="1105" spans="1:10">
      <c r="A1105">
        <v>145414</v>
      </c>
      <c r="B1105" t="s">
        <v>446</v>
      </c>
      <c r="C1105" t="s">
        <v>3633</v>
      </c>
      <c r="D1105" t="s">
        <v>12</v>
      </c>
      <c r="E1105" t="s">
        <v>3634</v>
      </c>
      <c r="F1105" t="s">
        <v>14</v>
      </c>
      <c r="G1105" s="1">
        <v>11101.69</v>
      </c>
      <c r="H1105" t="s">
        <v>553</v>
      </c>
      <c r="I1105" t="s">
        <v>1971</v>
      </c>
      <c r="J1105" t="s">
        <v>1972</v>
      </c>
    </row>
    <row r="1106" spans="1:10">
      <c r="A1106">
        <v>132472</v>
      </c>
      <c r="B1106" t="s">
        <v>446</v>
      </c>
      <c r="C1106" t="s">
        <v>3635</v>
      </c>
      <c r="D1106" t="s">
        <v>12</v>
      </c>
      <c r="E1106" t="s">
        <v>3636</v>
      </c>
      <c r="F1106" t="s">
        <v>14</v>
      </c>
      <c r="G1106" s="1">
        <v>11094</v>
      </c>
      <c r="H1106" t="s">
        <v>140</v>
      </c>
      <c r="I1106" t="s">
        <v>669</v>
      </c>
      <c r="J1106" t="s">
        <v>670</v>
      </c>
    </row>
    <row r="1107" spans="1:10">
      <c r="A1107">
        <v>142350</v>
      </c>
      <c r="B1107" t="s">
        <v>446</v>
      </c>
      <c r="C1107" t="s">
        <v>3637</v>
      </c>
      <c r="D1107" t="s">
        <v>124</v>
      </c>
      <c r="E1107" t="s">
        <v>987</v>
      </c>
      <c r="F1107" t="s">
        <v>14</v>
      </c>
      <c r="G1107" s="1">
        <v>11079.6</v>
      </c>
      <c r="H1107" t="s">
        <v>126</v>
      </c>
      <c r="I1107" t="s">
        <v>156</v>
      </c>
      <c r="J1107" t="s">
        <v>3638</v>
      </c>
    </row>
    <row r="1108" spans="1:10">
      <c r="A1108">
        <v>149817</v>
      </c>
      <c r="B1108" t="s">
        <v>446</v>
      </c>
      <c r="C1108" t="s">
        <v>3639</v>
      </c>
      <c r="D1108" t="s">
        <v>12</v>
      </c>
      <c r="E1108" t="s">
        <v>3640</v>
      </c>
      <c r="F1108" t="s">
        <v>14</v>
      </c>
      <c r="G1108" s="1">
        <v>11040</v>
      </c>
      <c r="H1108" t="s">
        <v>437</v>
      </c>
      <c r="I1108" t="s">
        <v>3641</v>
      </c>
      <c r="J1108" t="s">
        <v>3642</v>
      </c>
    </row>
    <row r="1109" spans="1:10">
      <c r="A1109">
        <v>150309</v>
      </c>
      <c r="B1109" t="s">
        <v>446</v>
      </c>
      <c r="C1109" t="s">
        <v>3643</v>
      </c>
      <c r="D1109" t="s">
        <v>12</v>
      </c>
      <c r="E1109" t="s">
        <v>3644</v>
      </c>
      <c r="F1109" t="s">
        <v>168</v>
      </c>
      <c r="G1109" s="1">
        <v>10972.44</v>
      </c>
      <c r="H1109" t="s">
        <v>777</v>
      </c>
      <c r="I1109" t="s">
        <v>2021</v>
      </c>
      <c r="J1109" t="s">
        <v>3645</v>
      </c>
    </row>
    <row r="1110" spans="1:10">
      <c r="A1110">
        <v>151771</v>
      </c>
      <c r="B1110" t="s">
        <v>446</v>
      </c>
      <c r="C1110" t="s">
        <v>3646</v>
      </c>
      <c r="D1110" t="s">
        <v>12</v>
      </c>
      <c r="E1110" t="s">
        <v>3647</v>
      </c>
      <c r="F1110" t="s">
        <v>14</v>
      </c>
      <c r="G1110" s="1">
        <v>10968.3</v>
      </c>
      <c r="H1110" t="s">
        <v>140</v>
      </c>
      <c r="I1110" t="s">
        <v>3485</v>
      </c>
      <c r="J1110" t="s">
        <v>506</v>
      </c>
    </row>
    <row r="1111" spans="1:10">
      <c r="A1111">
        <v>130406</v>
      </c>
      <c r="B1111" t="s">
        <v>446</v>
      </c>
      <c r="C1111" t="s">
        <v>3648</v>
      </c>
      <c r="D1111" t="s">
        <v>12</v>
      </c>
      <c r="E1111" t="s">
        <v>3649</v>
      </c>
      <c r="F1111" t="s">
        <v>14</v>
      </c>
      <c r="G1111" s="1">
        <v>10967.21</v>
      </c>
      <c r="H1111" t="s">
        <v>499</v>
      </c>
      <c r="I1111" t="s">
        <v>3650</v>
      </c>
      <c r="J1111" t="s">
        <v>3651</v>
      </c>
    </row>
    <row r="1112" spans="1:10">
      <c r="A1112">
        <v>140012</v>
      </c>
      <c r="B1112" t="s">
        <v>446</v>
      </c>
      <c r="C1112" t="s">
        <v>3652</v>
      </c>
      <c r="D1112" t="s">
        <v>12</v>
      </c>
      <c r="E1112" t="s">
        <v>3653</v>
      </c>
      <c r="F1112" t="s">
        <v>14</v>
      </c>
      <c r="G1112" s="1">
        <v>10948</v>
      </c>
      <c r="H1112" t="s">
        <v>85</v>
      </c>
      <c r="I1112" t="s">
        <v>3654</v>
      </c>
      <c r="J1112" t="s">
        <v>3655</v>
      </c>
    </row>
    <row r="1113" spans="1:10">
      <c r="A1113">
        <v>131312</v>
      </c>
      <c r="B1113" t="s">
        <v>446</v>
      </c>
      <c r="C1113" t="s">
        <v>3656</v>
      </c>
      <c r="D1113" t="s">
        <v>12</v>
      </c>
      <c r="E1113" t="s">
        <v>3657</v>
      </c>
      <c r="F1113" t="s">
        <v>14</v>
      </c>
      <c r="G1113" s="1">
        <v>10875</v>
      </c>
      <c r="H1113" t="s">
        <v>777</v>
      </c>
      <c r="I1113" t="s">
        <v>2021</v>
      </c>
      <c r="J1113" t="s">
        <v>3262</v>
      </c>
    </row>
    <row r="1114" spans="1:10">
      <c r="A1114">
        <v>150401</v>
      </c>
      <c r="B1114" t="s">
        <v>446</v>
      </c>
      <c r="C1114" t="s">
        <v>3658</v>
      </c>
      <c r="D1114" t="s">
        <v>12</v>
      </c>
      <c r="E1114" t="s">
        <v>3659</v>
      </c>
      <c r="F1114" t="s">
        <v>168</v>
      </c>
      <c r="G1114" s="1">
        <v>10841.63</v>
      </c>
      <c r="H1114" t="s">
        <v>36</v>
      </c>
      <c r="I1114" t="s">
        <v>3660</v>
      </c>
      <c r="J1114" t="s">
        <v>3661</v>
      </c>
    </row>
    <row r="1115" spans="1:10">
      <c r="A1115" t="s">
        <v>3662</v>
      </c>
      <c r="B1115" t="s">
        <v>446</v>
      </c>
      <c r="C1115" t="s">
        <v>3663</v>
      </c>
      <c r="D1115" t="s">
        <v>12</v>
      </c>
      <c r="E1115" t="s">
        <v>3664</v>
      </c>
      <c r="F1115" t="s">
        <v>168</v>
      </c>
      <c r="G1115" s="1">
        <v>10819.96</v>
      </c>
      <c r="H1115" t="s">
        <v>437</v>
      </c>
      <c r="I1115" t="s">
        <v>3235</v>
      </c>
      <c r="J1115" t="s">
        <v>3665</v>
      </c>
    </row>
    <row r="1116" spans="1:10">
      <c r="A1116">
        <v>125390</v>
      </c>
      <c r="B1116" t="s">
        <v>446</v>
      </c>
      <c r="C1116" t="s">
        <v>3666</v>
      </c>
      <c r="D1116" t="s">
        <v>12</v>
      </c>
      <c r="E1116" t="s">
        <v>3667</v>
      </c>
      <c r="F1116" t="s">
        <v>14</v>
      </c>
      <c r="G1116" s="1">
        <v>10819.25</v>
      </c>
      <c r="H1116" t="s">
        <v>918</v>
      </c>
      <c r="I1116" t="s">
        <v>919</v>
      </c>
      <c r="J1116" t="s">
        <v>3668</v>
      </c>
    </row>
    <row r="1117" spans="1:10">
      <c r="A1117">
        <v>120020</v>
      </c>
      <c r="B1117" t="s">
        <v>446</v>
      </c>
      <c r="C1117" t="s">
        <v>3669</v>
      </c>
      <c r="D1117" t="s">
        <v>12</v>
      </c>
      <c r="E1117" t="s">
        <v>3670</v>
      </c>
      <c r="F1117" t="s">
        <v>14</v>
      </c>
      <c r="G1117" s="1">
        <v>10795.82</v>
      </c>
      <c r="H1117" t="s">
        <v>777</v>
      </c>
      <c r="I1117" t="s">
        <v>2021</v>
      </c>
      <c r="J1117" t="s">
        <v>3671</v>
      </c>
    </row>
    <row r="1118" spans="1:10">
      <c r="A1118">
        <v>141594</v>
      </c>
      <c r="B1118" t="s">
        <v>446</v>
      </c>
      <c r="C1118" t="s">
        <v>3672</v>
      </c>
      <c r="D1118" t="s">
        <v>12</v>
      </c>
      <c r="E1118" t="s">
        <v>3673</v>
      </c>
      <c r="F1118" t="s">
        <v>14</v>
      </c>
      <c r="G1118" s="1">
        <v>10767.85</v>
      </c>
      <c r="H1118" t="s">
        <v>1378</v>
      </c>
      <c r="I1118" t="s">
        <v>2295</v>
      </c>
      <c r="J1118" t="s">
        <v>3674</v>
      </c>
    </row>
    <row r="1119" spans="1:10">
      <c r="A1119" t="s">
        <v>3675</v>
      </c>
      <c r="B1119" t="s">
        <v>446</v>
      </c>
      <c r="C1119" t="s">
        <v>3676</v>
      </c>
      <c r="D1119" t="s">
        <v>12</v>
      </c>
      <c r="E1119" t="s">
        <v>3677</v>
      </c>
      <c r="F1119" t="s">
        <v>168</v>
      </c>
      <c r="G1119" s="1">
        <v>10649.5</v>
      </c>
      <c r="H1119" t="s">
        <v>56</v>
      </c>
      <c r="I1119" t="s">
        <v>3678</v>
      </c>
      <c r="J1119" t="s">
        <v>3679</v>
      </c>
    </row>
    <row r="1120" spans="1:10">
      <c r="A1120">
        <v>151312</v>
      </c>
      <c r="B1120" t="s">
        <v>446</v>
      </c>
      <c r="C1120" t="s">
        <v>3680</v>
      </c>
      <c r="D1120" t="s">
        <v>12</v>
      </c>
      <c r="E1120" t="s">
        <v>3681</v>
      </c>
      <c r="F1120" t="s">
        <v>14</v>
      </c>
      <c r="G1120" s="1">
        <v>10625</v>
      </c>
      <c r="H1120" t="s">
        <v>95</v>
      </c>
      <c r="I1120" t="s">
        <v>506</v>
      </c>
      <c r="J1120" t="s">
        <v>1522</v>
      </c>
    </row>
    <row r="1121" spans="1:10">
      <c r="A1121">
        <v>132278</v>
      </c>
      <c r="B1121" t="s">
        <v>446</v>
      </c>
      <c r="C1121" t="s">
        <v>3682</v>
      </c>
      <c r="D1121" t="s">
        <v>12</v>
      </c>
      <c r="E1121" t="s">
        <v>3683</v>
      </c>
      <c r="F1121" t="s">
        <v>14</v>
      </c>
      <c r="G1121" s="1">
        <v>10620</v>
      </c>
      <c r="H1121" t="s">
        <v>918</v>
      </c>
      <c r="I1121" t="s">
        <v>919</v>
      </c>
      <c r="J1121" t="s">
        <v>3684</v>
      </c>
    </row>
    <row r="1122" spans="1:10">
      <c r="A1122" t="s">
        <v>3685</v>
      </c>
      <c r="B1122" t="s">
        <v>446</v>
      </c>
      <c r="C1122" t="s">
        <v>3686</v>
      </c>
      <c r="D1122" t="s">
        <v>12</v>
      </c>
      <c r="E1122" t="s">
        <v>3687</v>
      </c>
      <c r="F1122" t="s">
        <v>168</v>
      </c>
      <c r="G1122" s="1">
        <v>10605.49</v>
      </c>
      <c r="H1122" t="s">
        <v>1017</v>
      </c>
      <c r="I1122" t="s">
        <v>3688</v>
      </c>
      <c r="J1122" t="s">
        <v>3689</v>
      </c>
    </row>
    <row r="1123" spans="1:10">
      <c r="A1123">
        <v>148515</v>
      </c>
      <c r="B1123" t="s">
        <v>446</v>
      </c>
      <c r="C1123" t="s">
        <v>3690</v>
      </c>
      <c r="D1123" t="s">
        <v>12</v>
      </c>
      <c r="E1123" t="s">
        <v>3691</v>
      </c>
      <c r="F1123" t="s">
        <v>14</v>
      </c>
      <c r="G1123" s="1">
        <v>10594</v>
      </c>
      <c r="H1123" t="s">
        <v>1917</v>
      </c>
      <c r="I1123" t="s">
        <v>1917</v>
      </c>
      <c r="J1123" t="s">
        <v>3692</v>
      </c>
    </row>
    <row r="1124" spans="1:10">
      <c r="A1124">
        <v>109999</v>
      </c>
      <c r="B1124" t="s">
        <v>446</v>
      </c>
      <c r="C1124" t="s">
        <v>3693</v>
      </c>
      <c r="D1124" t="s">
        <v>12</v>
      </c>
      <c r="E1124" t="s">
        <v>3694</v>
      </c>
      <c r="F1124" t="s">
        <v>14</v>
      </c>
      <c r="G1124" s="1">
        <v>10593.85</v>
      </c>
      <c r="H1124" t="s">
        <v>437</v>
      </c>
      <c r="I1124" t="s">
        <v>3695</v>
      </c>
      <c r="J1124" t="s">
        <v>3696</v>
      </c>
    </row>
    <row r="1125" spans="1:10">
      <c r="A1125">
        <v>102002</v>
      </c>
      <c r="B1125" t="s">
        <v>446</v>
      </c>
      <c r="C1125" t="s">
        <v>3697</v>
      </c>
      <c r="D1125" t="s">
        <v>12</v>
      </c>
      <c r="E1125" t="s">
        <v>3698</v>
      </c>
      <c r="F1125" t="s">
        <v>14</v>
      </c>
      <c r="G1125" s="1">
        <v>10590</v>
      </c>
      <c r="H1125" t="s">
        <v>514</v>
      </c>
      <c r="I1125" t="s">
        <v>3699</v>
      </c>
      <c r="J1125" t="s">
        <v>3700</v>
      </c>
    </row>
    <row r="1126" spans="1:10">
      <c r="A1126">
        <v>146765</v>
      </c>
      <c r="B1126" t="s">
        <v>446</v>
      </c>
      <c r="C1126" t="s">
        <v>3701</v>
      </c>
      <c r="D1126" t="s">
        <v>12</v>
      </c>
      <c r="E1126" t="s">
        <v>3702</v>
      </c>
      <c r="F1126" t="s">
        <v>14</v>
      </c>
      <c r="G1126" s="1">
        <v>10568</v>
      </c>
      <c r="H1126" t="s">
        <v>56</v>
      </c>
      <c r="I1126" t="s">
        <v>3703</v>
      </c>
      <c r="J1126" t="s">
        <v>3704</v>
      </c>
    </row>
    <row r="1127" spans="1:10">
      <c r="A1127">
        <v>131908</v>
      </c>
      <c r="B1127" t="s">
        <v>446</v>
      </c>
      <c r="C1127" t="s">
        <v>3705</v>
      </c>
      <c r="D1127" t="s">
        <v>12</v>
      </c>
      <c r="E1127" t="s">
        <v>3706</v>
      </c>
      <c r="F1127" t="s">
        <v>14</v>
      </c>
      <c r="G1127" s="1">
        <v>10552.15</v>
      </c>
      <c r="H1127" t="s">
        <v>15</v>
      </c>
      <c r="I1127" t="s">
        <v>3707</v>
      </c>
      <c r="J1127" t="s">
        <v>3708</v>
      </c>
    </row>
    <row r="1128" spans="1:10">
      <c r="A1128">
        <v>130926</v>
      </c>
      <c r="B1128" t="s">
        <v>446</v>
      </c>
      <c r="C1128" t="s">
        <v>3709</v>
      </c>
      <c r="D1128" t="s">
        <v>12</v>
      </c>
      <c r="E1128" t="s">
        <v>3710</v>
      </c>
      <c r="F1128" t="s">
        <v>14</v>
      </c>
      <c r="G1128" s="1">
        <v>10550</v>
      </c>
      <c r="H1128" t="s">
        <v>95</v>
      </c>
      <c r="I1128" t="s">
        <v>369</v>
      </c>
      <c r="J1128" t="s">
        <v>3711</v>
      </c>
    </row>
    <row r="1129" spans="1:10">
      <c r="A1129">
        <v>150940</v>
      </c>
      <c r="B1129" t="s">
        <v>446</v>
      </c>
      <c r="C1129" t="s">
        <v>3712</v>
      </c>
      <c r="D1129" t="s">
        <v>124</v>
      </c>
      <c r="E1129" t="s">
        <v>3713</v>
      </c>
      <c r="F1129" t="s">
        <v>14</v>
      </c>
      <c r="G1129" s="1">
        <v>10500</v>
      </c>
      <c r="H1129" t="s">
        <v>126</v>
      </c>
      <c r="I1129" t="s">
        <v>3714</v>
      </c>
    </row>
    <row r="1130" spans="1:10">
      <c r="A1130">
        <v>145388</v>
      </c>
      <c r="B1130" t="s">
        <v>446</v>
      </c>
      <c r="C1130" t="s">
        <v>3715</v>
      </c>
      <c r="D1130" t="s">
        <v>12</v>
      </c>
      <c r="E1130" t="s">
        <v>3716</v>
      </c>
      <c r="F1130" t="s">
        <v>14</v>
      </c>
      <c r="G1130" s="1">
        <v>10458.89</v>
      </c>
      <c r="H1130" t="s">
        <v>777</v>
      </c>
      <c r="I1130" t="s">
        <v>777</v>
      </c>
      <c r="J1130" t="s">
        <v>3717</v>
      </c>
    </row>
    <row r="1131" spans="1:10">
      <c r="A1131">
        <v>144001</v>
      </c>
      <c r="B1131" t="s">
        <v>446</v>
      </c>
      <c r="C1131" t="s">
        <v>3718</v>
      </c>
      <c r="D1131" t="s">
        <v>12</v>
      </c>
      <c r="E1131" t="s">
        <v>3719</v>
      </c>
      <c r="F1131" t="s">
        <v>14</v>
      </c>
      <c r="G1131" s="1">
        <v>10400</v>
      </c>
      <c r="H1131" t="s">
        <v>140</v>
      </c>
      <c r="I1131" t="s">
        <v>1993</v>
      </c>
      <c r="J1131" t="s">
        <v>1994</v>
      </c>
    </row>
    <row r="1132" spans="1:10">
      <c r="A1132">
        <v>106540</v>
      </c>
      <c r="B1132" t="s">
        <v>446</v>
      </c>
      <c r="C1132" t="s">
        <v>3720</v>
      </c>
      <c r="D1132" t="s">
        <v>12</v>
      </c>
      <c r="E1132" t="s">
        <v>3721</v>
      </c>
      <c r="F1132" t="s">
        <v>14</v>
      </c>
      <c r="G1132" s="1">
        <v>10373.56</v>
      </c>
      <c r="H1132" t="s">
        <v>140</v>
      </c>
      <c r="I1132" t="s">
        <v>3722</v>
      </c>
      <c r="J1132" t="s">
        <v>3723</v>
      </c>
    </row>
    <row r="1133" spans="1:10">
      <c r="A1133">
        <v>140543</v>
      </c>
      <c r="B1133" t="s">
        <v>446</v>
      </c>
      <c r="C1133" t="s">
        <v>3724</v>
      </c>
      <c r="D1133" t="s">
        <v>12</v>
      </c>
      <c r="E1133" t="s">
        <v>3725</v>
      </c>
      <c r="F1133" t="s">
        <v>14</v>
      </c>
      <c r="G1133" s="1">
        <v>10365.17</v>
      </c>
      <c r="H1133" t="s">
        <v>232</v>
      </c>
      <c r="I1133" t="s">
        <v>3726</v>
      </c>
      <c r="J1133" t="s">
        <v>3727</v>
      </c>
    </row>
    <row r="1134" spans="1:10">
      <c r="A1134">
        <v>151063</v>
      </c>
      <c r="B1134" t="s">
        <v>446</v>
      </c>
      <c r="C1134" t="s">
        <v>3728</v>
      </c>
      <c r="D1134" t="s">
        <v>25</v>
      </c>
      <c r="E1134" t="s">
        <v>3729</v>
      </c>
      <c r="F1134" t="s">
        <v>168</v>
      </c>
      <c r="G1134" s="1">
        <v>10305</v>
      </c>
      <c r="H1134" t="s">
        <v>27</v>
      </c>
      <c r="I1134" t="s">
        <v>27</v>
      </c>
      <c r="J1134" t="s">
        <v>3730</v>
      </c>
    </row>
    <row r="1135" spans="1:10">
      <c r="A1135">
        <v>111813</v>
      </c>
      <c r="B1135" t="s">
        <v>446</v>
      </c>
      <c r="C1135" t="s">
        <v>3731</v>
      </c>
      <c r="D1135" t="s">
        <v>12</v>
      </c>
      <c r="E1135" t="s">
        <v>3732</v>
      </c>
      <c r="F1135" t="s">
        <v>14</v>
      </c>
      <c r="G1135" s="1">
        <v>10269.66</v>
      </c>
      <c r="H1135" t="s">
        <v>777</v>
      </c>
      <c r="I1135" t="s">
        <v>2418</v>
      </c>
      <c r="J1135" t="s">
        <v>3733</v>
      </c>
    </row>
    <row r="1136" spans="1:10">
      <c r="A1136">
        <v>150373</v>
      </c>
      <c r="B1136" t="s">
        <v>446</v>
      </c>
      <c r="C1136" t="s">
        <v>3734</v>
      </c>
      <c r="D1136" t="s">
        <v>12</v>
      </c>
      <c r="E1136" t="s">
        <v>3735</v>
      </c>
      <c r="F1136" t="s">
        <v>14</v>
      </c>
      <c r="G1136" s="1">
        <v>10245</v>
      </c>
      <c r="H1136" t="s">
        <v>140</v>
      </c>
      <c r="I1136" t="s">
        <v>669</v>
      </c>
      <c r="J1136" t="s">
        <v>285</v>
      </c>
    </row>
    <row r="1137" spans="1:10">
      <c r="A1137">
        <v>132084</v>
      </c>
      <c r="B1137" t="s">
        <v>446</v>
      </c>
      <c r="C1137" t="s">
        <v>3736</v>
      </c>
      <c r="D1137" t="s">
        <v>12</v>
      </c>
      <c r="E1137" t="s">
        <v>3737</v>
      </c>
      <c r="F1137" t="s">
        <v>14</v>
      </c>
      <c r="G1137" s="1">
        <v>10205</v>
      </c>
      <c r="H1137" t="s">
        <v>85</v>
      </c>
      <c r="I1137" t="s">
        <v>3738</v>
      </c>
      <c r="J1137" t="s">
        <v>3739</v>
      </c>
    </row>
    <row r="1138" spans="1:10">
      <c r="A1138">
        <v>132500</v>
      </c>
      <c r="B1138" t="s">
        <v>446</v>
      </c>
      <c r="C1138" t="s">
        <v>3740</v>
      </c>
      <c r="D1138" t="s">
        <v>12</v>
      </c>
      <c r="E1138" t="s">
        <v>3741</v>
      </c>
      <c r="F1138" t="s">
        <v>14</v>
      </c>
      <c r="G1138" s="1">
        <v>10180</v>
      </c>
      <c r="H1138" t="s">
        <v>140</v>
      </c>
      <c r="I1138" t="s">
        <v>3742</v>
      </c>
      <c r="J1138" t="s">
        <v>3743</v>
      </c>
    </row>
    <row r="1139" spans="1:10">
      <c r="A1139" t="s">
        <v>3744</v>
      </c>
      <c r="B1139" t="s">
        <v>446</v>
      </c>
      <c r="C1139" t="s">
        <v>3745</v>
      </c>
      <c r="D1139" t="s">
        <v>512</v>
      </c>
      <c r="E1139" t="s">
        <v>3746</v>
      </c>
      <c r="F1139" t="s">
        <v>168</v>
      </c>
      <c r="G1139" s="1">
        <v>10154.299999999999</v>
      </c>
      <c r="H1139" t="s">
        <v>553</v>
      </c>
      <c r="I1139" t="s">
        <v>1971</v>
      </c>
      <c r="J1139" t="s">
        <v>3747</v>
      </c>
    </row>
    <row r="1140" spans="1:10">
      <c r="A1140">
        <v>150267</v>
      </c>
      <c r="B1140" t="s">
        <v>446</v>
      </c>
      <c r="C1140" t="s">
        <v>3748</v>
      </c>
      <c r="D1140" t="s">
        <v>12</v>
      </c>
      <c r="E1140" t="s">
        <v>3749</v>
      </c>
      <c r="F1140" t="s">
        <v>14</v>
      </c>
      <c r="G1140" s="1">
        <v>10130.59</v>
      </c>
      <c r="H1140" t="s">
        <v>777</v>
      </c>
      <c r="I1140" t="s">
        <v>3750</v>
      </c>
      <c r="J1140" t="s">
        <v>3751</v>
      </c>
    </row>
    <row r="1141" spans="1:10">
      <c r="A1141">
        <v>111178</v>
      </c>
      <c r="B1141" t="s">
        <v>446</v>
      </c>
      <c r="C1141" t="s">
        <v>3752</v>
      </c>
      <c r="D1141" t="s">
        <v>12</v>
      </c>
      <c r="E1141" t="s">
        <v>3753</v>
      </c>
      <c r="F1141" t="s">
        <v>14</v>
      </c>
      <c r="G1141" s="1">
        <v>10107.790000000001</v>
      </c>
      <c r="H1141" t="s">
        <v>140</v>
      </c>
      <c r="I1141" t="s">
        <v>3754</v>
      </c>
      <c r="J1141" t="s">
        <v>3755</v>
      </c>
    </row>
    <row r="1142" spans="1:10">
      <c r="A1142" t="s">
        <v>3756</v>
      </c>
      <c r="B1142" t="s">
        <v>446</v>
      </c>
      <c r="C1142" t="s">
        <v>3757</v>
      </c>
      <c r="D1142" t="s">
        <v>12</v>
      </c>
      <c r="E1142" t="s">
        <v>3758</v>
      </c>
      <c r="F1142" t="s">
        <v>168</v>
      </c>
      <c r="G1142" s="1">
        <v>10088.700000000001</v>
      </c>
      <c r="H1142" t="s">
        <v>777</v>
      </c>
      <c r="I1142" t="s">
        <v>3759</v>
      </c>
      <c r="J1142" t="s">
        <v>3760</v>
      </c>
    </row>
    <row r="1143" spans="1:10">
      <c r="A1143">
        <v>142106</v>
      </c>
      <c r="B1143" t="s">
        <v>446</v>
      </c>
      <c r="C1143" t="s">
        <v>3761</v>
      </c>
      <c r="D1143" t="s">
        <v>124</v>
      </c>
      <c r="E1143" t="s">
        <v>3762</v>
      </c>
      <c r="F1143" t="s">
        <v>14</v>
      </c>
      <c r="G1143" s="1">
        <v>10050</v>
      </c>
      <c r="H1143" t="s">
        <v>126</v>
      </c>
      <c r="I1143" t="s">
        <v>868</v>
      </c>
      <c r="J1143" t="s">
        <v>3763</v>
      </c>
    </row>
    <row r="1144" spans="1:10">
      <c r="A1144">
        <v>152351</v>
      </c>
      <c r="B1144" t="s">
        <v>446</v>
      </c>
      <c r="C1144" t="s">
        <v>3764</v>
      </c>
      <c r="D1144" t="s">
        <v>12</v>
      </c>
      <c r="E1144" t="s">
        <v>3765</v>
      </c>
      <c r="F1144" t="s">
        <v>14</v>
      </c>
      <c r="G1144" s="1">
        <v>10029</v>
      </c>
      <c r="H1144" t="s">
        <v>36</v>
      </c>
      <c r="I1144" t="s">
        <v>3766</v>
      </c>
      <c r="J1144" t="s">
        <v>3767</v>
      </c>
    </row>
    <row r="1145" spans="1:10">
      <c r="A1145">
        <v>151285</v>
      </c>
      <c r="B1145" t="s">
        <v>446</v>
      </c>
      <c r="C1145" t="s">
        <v>3768</v>
      </c>
      <c r="D1145" t="s">
        <v>12</v>
      </c>
      <c r="E1145" t="s">
        <v>3769</v>
      </c>
      <c r="F1145" t="s">
        <v>14</v>
      </c>
      <c r="G1145" s="1">
        <v>10022.76</v>
      </c>
      <c r="H1145" t="s">
        <v>777</v>
      </c>
      <c r="I1145" t="s">
        <v>3770</v>
      </c>
      <c r="J1145" t="s">
        <v>3771</v>
      </c>
    </row>
    <row r="1146" spans="1:10">
      <c r="A1146">
        <v>125022</v>
      </c>
      <c r="B1146" t="s">
        <v>446</v>
      </c>
      <c r="C1146" t="s">
        <v>3772</v>
      </c>
      <c r="D1146" t="s">
        <v>12</v>
      </c>
      <c r="E1146" t="s">
        <v>3773</v>
      </c>
      <c r="F1146" t="s">
        <v>14</v>
      </c>
      <c r="G1146" s="1">
        <v>10000</v>
      </c>
      <c r="H1146" t="s">
        <v>56</v>
      </c>
      <c r="I1146" t="s">
        <v>3774</v>
      </c>
      <c r="J1146" t="s">
        <v>3775</v>
      </c>
    </row>
    <row r="1147" spans="1:10">
      <c r="A1147">
        <v>151114</v>
      </c>
      <c r="B1147" t="s">
        <v>446</v>
      </c>
      <c r="C1147" t="s">
        <v>3776</v>
      </c>
      <c r="D1147" t="s">
        <v>12</v>
      </c>
      <c r="E1147" t="s">
        <v>31</v>
      </c>
      <c r="F1147" t="s">
        <v>14</v>
      </c>
      <c r="G1147" s="1">
        <v>10000</v>
      </c>
      <c r="H1147" t="s">
        <v>140</v>
      </c>
      <c r="I1147" t="s">
        <v>505</v>
      </c>
      <c r="J1147" t="s">
        <v>506</v>
      </c>
    </row>
    <row r="1148" spans="1:10">
      <c r="A1148">
        <v>152101</v>
      </c>
      <c r="B1148" t="s">
        <v>446</v>
      </c>
      <c r="C1148" t="s">
        <v>3777</v>
      </c>
      <c r="D1148" t="s">
        <v>12</v>
      </c>
      <c r="E1148" t="s">
        <v>3778</v>
      </c>
      <c r="F1148" t="s">
        <v>14</v>
      </c>
      <c r="G1148" s="1">
        <v>10000</v>
      </c>
      <c r="H1148" t="s">
        <v>15</v>
      </c>
      <c r="I1148" t="s">
        <v>3779</v>
      </c>
      <c r="J1148" t="s">
        <v>3780</v>
      </c>
    </row>
    <row r="1149" spans="1:10">
      <c r="A1149">
        <v>148655</v>
      </c>
      <c r="B1149" t="s">
        <v>446</v>
      </c>
      <c r="C1149" t="s">
        <v>3781</v>
      </c>
      <c r="D1149" t="s">
        <v>12</v>
      </c>
      <c r="E1149" t="s">
        <v>3782</v>
      </c>
      <c r="F1149" t="s">
        <v>14</v>
      </c>
      <c r="G1149" s="1">
        <v>10000</v>
      </c>
      <c r="H1149" t="s">
        <v>777</v>
      </c>
      <c r="I1149" t="s">
        <v>3783</v>
      </c>
      <c r="J1149" t="s">
        <v>3784</v>
      </c>
    </row>
    <row r="1150" spans="1:10">
      <c r="A1150">
        <v>150770</v>
      </c>
      <c r="B1150" t="s">
        <v>446</v>
      </c>
      <c r="C1150" t="s">
        <v>3785</v>
      </c>
      <c r="D1150" t="s">
        <v>12</v>
      </c>
      <c r="E1150" t="s">
        <v>3786</v>
      </c>
      <c r="F1150" t="s">
        <v>14</v>
      </c>
      <c r="G1150" s="1">
        <v>10000</v>
      </c>
      <c r="H1150" t="s">
        <v>425</v>
      </c>
      <c r="I1150" t="s">
        <v>3787</v>
      </c>
      <c r="J1150" t="s">
        <v>3788</v>
      </c>
    </row>
    <row r="1151" spans="1:10">
      <c r="A1151">
        <v>146809</v>
      </c>
      <c r="B1151" t="s">
        <v>446</v>
      </c>
      <c r="C1151" t="s">
        <v>3789</v>
      </c>
      <c r="D1151" t="s">
        <v>12</v>
      </c>
      <c r="E1151" t="s">
        <v>3790</v>
      </c>
      <c r="F1151" t="s">
        <v>14</v>
      </c>
      <c r="G1151" s="1">
        <v>9996</v>
      </c>
      <c r="H1151" t="s">
        <v>437</v>
      </c>
      <c r="I1151" t="s">
        <v>3791</v>
      </c>
      <c r="J1151" t="s">
        <v>3792</v>
      </c>
    </row>
    <row r="1152" spans="1:10">
      <c r="A1152" t="s">
        <v>3793</v>
      </c>
      <c r="B1152" t="s">
        <v>446</v>
      </c>
      <c r="C1152" t="s">
        <v>3794</v>
      </c>
      <c r="D1152" t="s">
        <v>12</v>
      </c>
      <c r="E1152" t="s">
        <v>3795</v>
      </c>
      <c r="F1152" t="s">
        <v>168</v>
      </c>
      <c r="G1152" s="1">
        <v>9979.41</v>
      </c>
      <c r="H1152" t="s">
        <v>232</v>
      </c>
      <c r="I1152" t="s">
        <v>3796</v>
      </c>
      <c r="J1152" t="s">
        <v>3797</v>
      </c>
    </row>
    <row r="1153" spans="1:10">
      <c r="A1153">
        <v>148213</v>
      </c>
      <c r="B1153" t="s">
        <v>446</v>
      </c>
      <c r="C1153" t="s">
        <v>3798</v>
      </c>
      <c r="D1153" t="s">
        <v>12</v>
      </c>
      <c r="E1153" t="s">
        <v>3799</v>
      </c>
      <c r="F1153" t="s">
        <v>14</v>
      </c>
      <c r="G1153" s="1">
        <v>9965</v>
      </c>
      <c r="H1153" t="s">
        <v>232</v>
      </c>
      <c r="I1153" t="s">
        <v>3800</v>
      </c>
      <c r="J1153" t="s">
        <v>3801</v>
      </c>
    </row>
    <row r="1154" spans="1:10">
      <c r="A1154">
        <v>123511</v>
      </c>
      <c r="B1154" t="s">
        <v>446</v>
      </c>
      <c r="C1154" t="s">
        <v>3802</v>
      </c>
      <c r="D1154" t="s">
        <v>12</v>
      </c>
      <c r="E1154" t="s">
        <v>3803</v>
      </c>
      <c r="F1154" t="s">
        <v>14</v>
      </c>
      <c r="G1154" s="1">
        <v>9929</v>
      </c>
      <c r="H1154" t="s">
        <v>777</v>
      </c>
      <c r="I1154" t="s">
        <v>2021</v>
      </c>
      <c r="J1154" t="s">
        <v>3804</v>
      </c>
    </row>
    <row r="1155" spans="1:10">
      <c r="A1155">
        <v>151314</v>
      </c>
      <c r="B1155" t="s">
        <v>446</v>
      </c>
      <c r="C1155" t="s">
        <v>3805</v>
      </c>
      <c r="D1155" t="s">
        <v>12</v>
      </c>
      <c r="E1155" t="s">
        <v>3806</v>
      </c>
      <c r="F1155" t="s">
        <v>14</v>
      </c>
      <c r="G1155" s="1">
        <v>9898</v>
      </c>
      <c r="H1155" t="s">
        <v>140</v>
      </c>
      <c r="I1155" t="s">
        <v>3807</v>
      </c>
      <c r="J1155" t="s">
        <v>3808</v>
      </c>
    </row>
    <row r="1156" spans="1:10">
      <c r="A1156">
        <v>131278</v>
      </c>
      <c r="B1156" t="s">
        <v>446</v>
      </c>
      <c r="C1156" t="s">
        <v>3809</v>
      </c>
      <c r="D1156" t="s">
        <v>12</v>
      </c>
      <c r="E1156" t="s">
        <v>3810</v>
      </c>
      <c r="F1156" t="s">
        <v>14</v>
      </c>
      <c r="G1156" s="1">
        <v>9878.57</v>
      </c>
      <c r="H1156" t="s">
        <v>140</v>
      </c>
      <c r="I1156" t="s">
        <v>639</v>
      </c>
      <c r="J1156" t="s">
        <v>3811</v>
      </c>
    </row>
    <row r="1157" spans="1:10">
      <c r="A1157">
        <v>151453</v>
      </c>
      <c r="B1157" t="s">
        <v>446</v>
      </c>
      <c r="C1157" t="s">
        <v>3812</v>
      </c>
      <c r="D1157" t="s">
        <v>124</v>
      </c>
      <c r="E1157" t="s">
        <v>3813</v>
      </c>
      <c r="F1157" t="s">
        <v>14</v>
      </c>
      <c r="G1157" s="1">
        <v>9870.9699999999993</v>
      </c>
      <c r="H1157" t="s">
        <v>126</v>
      </c>
      <c r="I1157" t="s">
        <v>3814</v>
      </c>
      <c r="J1157" t="s">
        <v>3815</v>
      </c>
    </row>
    <row r="1158" spans="1:10">
      <c r="A1158">
        <v>149819</v>
      </c>
      <c r="B1158" t="s">
        <v>446</v>
      </c>
      <c r="C1158" t="s">
        <v>3816</v>
      </c>
      <c r="D1158" t="s">
        <v>12</v>
      </c>
      <c r="E1158" t="s">
        <v>3817</v>
      </c>
      <c r="F1158" t="s">
        <v>14</v>
      </c>
      <c r="G1158" s="1">
        <v>9840</v>
      </c>
      <c r="H1158" t="s">
        <v>437</v>
      </c>
      <c r="I1158" t="s">
        <v>3818</v>
      </c>
      <c r="J1158" t="s">
        <v>3819</v>
      </c>
    </row>
    <row r="1159" spans="1:10">
      <c r="A1159">
        <v>142775</v>
      </c>
      <c r="B1159" t="s">
        <v>446</v>
      </c>
      <c r="C1159" t="s">
        <v>3820</v>
      </c>
      <c r="D1159" t="s">
        <v>12</v>
      </c>
      <c r="E1159" t="s">
        <v>3821</v>
      </c>
      <c r="F1159" t="s">
        <v>14</v>
      </c>
      <c r="G1159" s="1">
        <v>9831.0400000000009</v>
      </c>
      <c r="H1159" t="s">
        <v>36</v>
      </c>
      <c r="I1159" t="s">
        <v>3822</v>
      </c>
      <c r="J1159" t="s">
        <v>3823</v>
      </c>
    </row>
    <row r="1160" spans="1:10">
      <c r="A1160">
        <v>132522</v>
      </c>
      <c r="B1160" t="s">
        <v>446</v>
      </c>
      <c r="C1160" t="s">
        <v>3824</v>
      </c>
      <c r="D1160" t="s">
        <v>12</v>
      </c>
      <c r="E1160" t="s">
        <v>3825</v>
      </c>
      <c r="F1160" t="s">
        <v>14</v>
      </c>
      <c r="G1160" s="1">
        <v>9827.99</v>
      </c>
      <c r="H1160" t="s">
        <v>1017</v>
      </c>
      <c r="I1160" t="s">
        <v>3826</v>
      </c>
      <c r="J1160" t="s">
        <v>3827</v>
      </c>
    </row>
    <row r="1161" spans="1:10">
      <c r="A1161">
        <v>102978</v>
      </c>
      <c r="B1161" t="s">
        <v>446</v>
      </c>
      <c r="C1161" t="s">
        <v>3828</v>
      </c>
      <c r="D1161" t="s">
        <v>12</v>
      </c>
      <c r="E1161" t="s">
        <v>3829</v>
      </c>
      <c r="F1161" t="s">
        <v>14</v>
      </c>
      <c r="G1161" s="1">
        <v>9794.74</v>
      </c>
      <c r="H1161" t="s">
        <v>85</v>
      </c>
      <c r="I1161" t="s">
        <v>3830</v>
      </c>
      <c r="J1161" t="s">
        <v>3831</v>
      </c>
    </row>
    <row r="1162" spans="1:10">
      <c r="A1162">
        <v>116086</v>
      </c>
      <c r="B1162" t="s">
        <v>446</v>
      </c>
      <c r="C1162" t="s">
        <v>3832</v>
      </c>
      <c r="D1162" t="s">
        <v>12</v>
      </c>
      <c r="E1162" t="s">
        <v>3833</v>
      </c>
      <c r="F1162" t="s">
        <v>14</v>
      </c>
      <c r="G1162" s="1">
        <v>9783.44</v>
      </c>
      <c r="H1162" t="s">
        <v>126</v>
      </c>
      <c r="I1162" t="s">
        <v>156</v>
      </c>
      <c r="J1162" t="s">
        <v>180</v>
      </c>
    </row>
    <row r="1163" spans="1:10">
      <c r="A1163">
        <v>150951</v>
      </c>
      <c r="B1163" t="s">
        <v>446</v>
      </c>
      <c r="C1163" t="s">
        <v>3834</v>
      </c>
      <c r="D1163" t="s">
        <v>12</v>
      </c>
      <c r="E1163" t="s">
        <v>3835</v>
      </c>
      <c r="F1163" t="s">
        <v>14</v>
      </c>
      <c r="G1163" s="1">
        <v>9737.81</v>
      </c>
      <c r="H1163" t="s">
        <v>56</v>
      </c>
      <c r="I1163" t="s">
        <v>3836</v>
      </c>
      <c r="J1163" t="s">
        <v>3837</v>
      </c>
    </row>
    <row r="1164" spans="1:10">
      <c r="A1164">
        <v>145661</v>
      </c>
      <c r="B1164" t="s">
        <v>446</v>
      </c>
      <c r="C1164" t="s">
        <v>3838</v>
      </c>
      <c r="D1164" t="s">
        <v>12</v>
      </c>
      <c r="E1164" t="s">
        <v>3839</v>
      </c>
      <c r="F1164" t="s">
        <v>14</v>
      </c>
      <c r="G1164" s="1">
        <v>9723.6</v>
      </c>
      <c r="H1164" t="s">
        <v>85</v>
      </c>
      <c r="I1164" t="s">
        <v>3840</v>
      </c>
      <c r="J1164" t="s">
        <v>3841</v>
      </c>
    </row>
    <row r="1165" spans="1:10">
      <c r="A1165">
        <v>140342</v>
      </c>
      <c r="B1165" t="s">
        <v>446</v>
      </c>
      <c r="C1165" t="s">
        <v>3842</v>
      </c>
      <c r="D1165" t="s">
        <v>12</v>
      </c>
      <c r="E1165" t="s">
        <v>3843</v>
      </c>
      <c r="F1165" t="s">
        <v>14</v>
      </c>
      <c r="G1165" s="1">
        <v>9714.2800000000007</v>
      </c>
      <c r="H1165" t="s">
        <v>499</v>
      </c>
      <c r="I1165" t="s">
        <v>3844</v>
      </c>
      <c r="J1165" t="s">
        <v>3845</v>
      </c>
    </row>
    <row r="1166" spans="1:10">
      <c r="A1166">
        <v>141306</v>
      </c>
      <c r="B1166" t="s">
        <v>446</v>
      </c>
      <c r="C1166" t="s">
        <v>3846</v>
      </c>
      <c r="D1166" t="s">
        <v>12</v>
      </c>
      <c r="E1166" t="s">
        <v>3847</v>
      </c>
      <c r="F1166" t="s">
        <v>14</v>
      </c>
      <c r="G1166" s="1">
        <v>9705.3700000000008</v>
      </c>
      <c r="H1166" t="s">
        <v>1378</v>
      </c>
      <c r="I1166" t="s">
        <v>3848</v>
      </c>
      <c r="J1166" t="s">
        <v>3849</v>
      </c>
    </row>
    <row r="1167" spans="1:10">
      <c r="A1167">
        <v>111461</v>
      </c>
      <c r="B1167" t="s">
        <v>446</v>
      </c>
      <c r="C1167" t="s">
        <v>3850</v>
      </c>
      <c r="D1167" t="s">
        <v>124</v>
      </c>
      <c r="E1167" t="s">
        <v>3851</v>
      </c>
      <c r="F1167" t="s">
        <v>14</v>
      </c>
      <c r="G1167" s="1">
        <v>9700</v>
      </c>
      <c r="H1167" t="s">
        <v>126</v>
      </c>
      <c r="I1167" t="s">
        <v>156</v>
      </c>
      <c r="J1167" t="s">
        <v>180</v>
      </c>
    </row>
    <row r="1168" spans="1:10">
      <c r="A1168">
        <v>151192</v>
      </c>
      <c r="B1168" t="s">
        <v>446</v>
      </c>
      <c r="C1168" t="s">
        <v>3852</v>
      </c>
      <c r="D1168" t="s">
        <v>12</v>
      </c>
      <c r="E1168" t="s">
        <v>3853</v>
      </c>
      <c r="F1168" t="s">
        <v>14</v>
      </c>
      <c r="G1168" s="1">
        <v>9670.76</v>
      </c>
      <c r="H1168" t="s">
        <v>1124</v>
      </c>
      <c r="I1168" t="s">
        <v>3854</v>
      </c>
      <c r="J1168" t="s">
        <v>3855</v>
      </c>
    </row>
    <row r="1169" spans="1:10">
      <c r="A1169">
        <v>140974</v>
      </c>
      <c r="B1169" t="s">
        <v>446</v>
      </c>
      <c r="C1169" t="s">
        <v>3856</v>
      </c>
      <c r="D1169" t="s">
        <v>12</v>
      </c>
      <c r="E1169" t="s">
        <v>3857</v>
      </c>
      <c r="F1169" t="s">
        <v>14</v>
      </c>
      <c r="G1169" s="1">
        <v>9600</v>
      </c>
      <c r="H1169" t="s">
        <v>85</v>
      </c>
      <c r="I1169" t="s">
        <v>3858</v>
      </c>
      <c r="J1169" t="s">
        <v>3859</v>
      </c>
    </row>
    <row r="1170" spans="1:10">
      <c r="A1170">
        <v>150306</v>
      </c>
      <c r="B1170" t="s">
        <v>446</v>
      </c>
      <c r="C1170" t="s">
        <v>3860</v>
      </c>
      <c r="D1170" t="s">
        <v>12</v>
      </c>
      <c r="E1170" t="s">
        <v>3861</v>
      </c>
      <c r="F1170" t="s">
        <v>14</v>
      </c>
      <c r="G1170" s="1">
        <v>9600</v>
      </c>
      <c r="H1170" t="s">
        <v>918</v>
      </c>
      <c r="I1170" t="s">
        <v>3862</v>
      </c>
      <c r="J1170" t="s">
        <v>3863</v>
      </c>
    </row>
    <row r="1171" spans="1:10">
      <c r="A1171">
        <v>147937</v>
      </c>
      <c r="B1171" t="s">
        <v>446</v>
      </c>
      <c r="C1171" t="s">
        <v>3864</v>
      </c>
      <c r="D1171" t="s">
        <v>12</v>
      </c>
      <c r="E1171" t="s">
        <v>3865</v>
      </c>
      <c r="F1171" t="s">
        <v>14</v>
      </c>
      <c r="G1171" s="1">
        <v>9578.2000000000007</v>
      </c>
      <c r="H1171" t="s">
        <v>499</v>
      </c>
      <c r="I1171" t="s">
        <v>3866</v>
      </c>
      <c r="J1171" t="s">
        <v>3867</v>
      </c>
    </row>
    <row r="1172" spans="1:10">
      <c r="A1172">
        <v>128867</v>
      </c>
      <c r="B1172" t="s">
        <v>446</v>
      </c>
      <c r="C1172" t="s">
        <v>3868</v>
      </c>
      <c r="D1172" t="s">
        <v>12</v>
      </c>
      <c r="E1172" t="s">
        <v>3869</v>
      </c>
      <c r="F1172" t="s">
        <v>14</v>
      </c>
      <c r="G1172" s="1">
        <v>9575</v>
      </c>
      <c r="H1172" t="s">
        <v>777</v>
      </c>
      <c r="I1172" t="s">
        <v>2021</v>
      </c>
      <c r="J1172" t="s">
        <v>2022</v>
      </c>
    </row>
    <row r="1173" spans="1:10">
      <c r="A1173" t="s">
        <v>3870</v>
      </c>
      <c r="B1173" t="s">
        <v>446</v>
      </c>
      <c r="C1173" t="s">
        <v>3871</v>
      </c>
      <c r="D1173" t="s">
        <v>12</v>
      </c>
      <c r="E1173" t="s">
        <v>3872</v>
      </c>
      <c r="F1173" t="s">
        <v>168</v>
      </c>
      <c r="G1173" s="1">
        <v>9571.93</v>
      </c>
      <c r="H1173" t="s">
        <v>553</v>
      </c>
      <c r="I1173" t="s">
        <v>3873</v>
      </c>
      <c r="J1173" t="s">
        <v>3874</v>
      </c>
    </row>
    <row r="1174" spans="1:10">
      <c r="A1174">
        <v>111265</v>
      </c>
      <c r="B1174" t="s">
        <v>446</v>
      </c>
      <c r="C1174" t="s">
        <v>3875</v>
      </c>
      <c r="D1174" t="s">
        <v>12</v>
      </c>
      <c r="E1174" t="s">
        <v>3876</v>
      </c>
      <c r="F1174" t="s">
        <v>14</v>
      </c>
      <c r="G1174" s="1">
        <v>9552.31</v>
      </c>
      <c r="H1174" t="s">
        <v>777</v>
      </c>
      <c r="I1174" t="s">
        <v>3877</v>
      </c>
      <c r="J1174" t="s">
        <v>3878</v>
      </c>
    </row>
    <row r="1175" spans="1:10">
      <c r="A1175">
        <v>148348</v>
      </c>
      <c r="B1175" t="s">
        <v>446</v>
      </c>
      <c r="C1175" t="s">
        <v>3879</v>
      </c>
      <c r="D1175" t="s">
        <v>12</v>
      </c>
      <c r="E1175" t="s">
        <v>3880</v>
      </c>
      <c r="F1175" t="s">
        <v>14</v>
      </c>
      <c r="G1175" s="1">
        <v>9540</v>
      </c>
      <c r="H1175" t="s">
        <v>85</v>
      </c>
      <c r="I1175" t="s">
        <v>3881</v>
      </c>
      <c r="J1175" t="s">
        <v>3882</v>
      </c>
    </row>
    <row r="1176" spans="1:10">
      <c r="A1176">
        <v>148202</v>
      </c>
      <c r="B1176" t="s">
        <v>446</v>
      </c>
      <c r="C1176" t="s">
        <v>3883</v>
      </c>
      <c r="D1176" t="s">
        <v>12</v>
      </c>
      <c r="E1176" t="s">
        <v>3884</v>
      </c>
      <c r="F1176" t="s">
        <v>14</v>
      </c>
      <c r="G1176" s="1">
        <v>9500</v>
      </c>
      <c r="H1176" t="s">
        <v>140</v>
      </c>
      <c r="I1176" t="s">
        <v>3885</v>
      </c>
      <c r="J1176" t="s">
        <v>3886</v>
      </c>
    </row>
    <row r="1177" spans="1:10">
      <c r="A1177">
        <v>148869</v>
      </c>
      <c r="B1177" t="s">
        <v>446</v>
      </c>
      <c r="C1177" t="s">
        <v>3887</v>
      </c>
      <c r="D1177" t="s">
        <v>12</v>
      </c>
      <c r="E1177" t="s">
        <v>3888</v>
      </c>
      <c r="F1177" t="s">
        <v>14</v>
      </c>
      <c r="G1177" s="1">
        <v>9470</v>
      </c>
      <c r="H1177" t="s">
        <v>777</v>
      </c>
      <c r="I1177" t="s">
        <v>2274</v>
      </c>
      <c r="J1177" t="s">
        <v>3889</v>
      </c>
    </row>
    <row r="1178" spans="1:10">
      <c r="A1178">
        <v>130149</v>
      </c>
      <c r="B1178" t="s">
        <v>446</v>
      </c>
      <c r="C1178" t="s">
        <v>3890</v>
      </c>
      <c r="D1178" t="s">
        <v>12</v>
      </c>
      <c r="E1178" t="s">
        <v>3891</v>
      </c>
      <c r="F1178" t="s">
        <v>14</v>
      </c>
      <c r="G1178" s="1">
        <v>9468.2000000000007</v>
      </c>
      <c r="H1178" t="s">
        <v>777</v>
      </c>
      <c r="I1178" t="s">
        <v>3892</v>
      </c>
      <c r="J1178" t="s">
        <v>3893</v>
      </c>
    </row>
    <row r="1179" spans="1:10">
      <c r="A1179">
        <v>143570</v>
      </c>
      <c r="B1179" t="s">
        <v>446</v>
      </c>
      <c r="C1179" t="s">
        <v>3894</v>
      </c>
      <c r="D1179" t="s">
        <v>12</v>
      </c>
      <c r="E1179" t="s">
        <v>3895</v>
      </c>
      <c r="F1179" t="s">
        <v>14</v>
      </c>
      <c r="G1179" s="1">
        <v>9444.99</v>
      </c>
      <c r="H1179" t="s">
        <v>1378</v>
      </c>
      <c r="I1179" t="s">
        <v>3896</v>
      </c>
      <c r="J1179" t="s">
        <v>3897</v>
      </c>
    </row>
    <row r="1180" spans="1:10">
      <c r="A1180">
        <v>126486</v>
      </c>
      <c r="B1180" t="s">
        <v>446</v>
      </c>
      <c r="C1180" t="s">
        <v>3898</v>
      </c>
      <c r="D1180" t="s">
        <v>512</v>
      </c>
      <c r="E1180" t="s">
        <v>3899</v>
      </c>
      <c r="F1180" t="s">
        <v>14</v>
      </c>
      <c r="G1180" s="1">
        <v>9409.42</v>
      </c>
      <c r="H1180" t="s">
        <v>553</v>
      </c>
      <c r="I1180" t="s">
        <v>1971</v>
      </c>
      <c r="J1180" t="s">
        <v>1972</v>
      </c>
    </row>
    <row r="1181" spans="1:10">
      <c r="A1181">
        <v>146112</v>
      </c>
      <c r="B1181" t="s">
        <v>446</v>
      </c>
      <c r="C1181" t="s">
        <v>3900</v>
      </c>
      <c r="D1181" t="s">
        <v>12</v>
      </c>
      <c r="E1181" t="s">
        <v>3901</v>
      </c>
      <c r="F1181" t="s">
        <v>14</v>
      </c>
      <c r="G1181" s="1">
        <v>9304.51</v>
      </c>
      <c r="H1181" t="s">
        <v>27</v>
      </c>
      <c r="I1181" t="s">
        <v>3902</v>
      </c>
      <c r="J1181" t="s">
        <v>3903</v>
      </c>
    </row>
    <row r="1182" spans="1:10">
      <c r="A1182">
        <v>131689</v>
      </c>
      <c r="B1182" t="s">
        <v>446</v>
      </c>
      <c r="C1182" t="s">
        <v>3904</v>
      </c>
      <c r="D1182" t="s">
        <v>12</v>
      </c>
      <c r="E1182" t="s">
        <v>3905</v>
      </c>
      <c r="F1182" t="s">
        <v>14</v>
      </c>
      <c r="G1182" s="1">
        <v>9260.56</v>
      </c>
      <c r="H1182" t="s">
        <v>232</v>
      </c>
      <c r="I1182" t="s">
        <v>3906</v>
      </c>
      <c r="J1182" t="s">
        <v>3907</v>
      </c>
    </row>
    <row r="1183" spans="1:10">
      <c r="A1183">
        <v>123312</v>
      </c>
      <c r="B1183" t="s">
        <v>446</v>
      </c>
      <c r="C1183" t="s">
        <v>3908</v>
      </c>
      <c r="D1183" t="s">
        <v>12</v>
      </c>
      <c r="E1183" t="s">
        <v>3909</v>
      </c>
      <c r="F1183" t="s">
        <v>14</v>
      </c>
      <c r="G1183" s="1">
        <v>9248.56</v>
      </c>
      <c r="H1183" t="s">
        <v>777</v>
      </c>
      <c r="I1183" t="s">
        <v>2021</v>
      </c>
      <c r="J1183" t="s">
        <v>3645</v>
      </c>
    </row>
    <row r="1184" spans="1:10">
      <c r="A1184">
        <v>141944</v>
      </c>
      <c r="B1184" t="s">
        <v>446</v>
      </c>
      <c r="C1184" t="s">
        <v>3910</v>
      </c>
      <c r="D1184" t="s">
        <v>12</v>
      </c>
      <c r="E1184" t="s">
        <v>3911</v>
      </c>
      <c r="F1184" t="s">
        <v>14</v>
      </c>
      <c r="G1184" s="1">
        <v>9225</v>
      </c>
      <c r="H1184" t="s">
        <v>777</v>
      </c>
      <c r="I1184" t="s">
        <v>2021</v>
      </c>
      <c r="J1184" t="s">
        <v>3645</v>
      </c>
    </row>
    <row r="1185" spans="1:10">
      <c r="A1185">
        <v>150218</v>
      </c>
      <c r="B1185" t="s">
        <v>446</v>
      </c>
      <c r="C1185" t="s">
        <v>3912</v>
      </c>
      <c r="D1185" t="s">
        <v>12</v>
      </c>
      <c r="E1185" t="s">
        <v>3913</v>
      </c>
      <c r="F1185" t="s">
        <v>14</v>
      </c>
      <c r="G1185" s="1">
        <v>9211.98</v>
      </c>
      <c r="H1185" t="s">
        <v>140</v>
      </c>
      <c r="I1185" t="s">
        <v>3485</v>
      </c>
      <c r="J1185" t="s">
        <v>506</v>
      </c>
    </row>
    <row r="1186" spans="1:10">
      <c r="A1186">
        <v>129695</v>
      </c>
      <c r="B1186" t="s">
        <v>446</v>
      </c>
      <c r="C1186" t="s">
        <v>3914</v>
      </c>
      <c r="D1186" t="s">
        <v>12</v>
      </c>
      <c r="E1186" t="s">
        <v>3915</v>
      </c>
      <c r="F1186" t="s">
        <v>14</v>
      </c>
      <c r="G1186" s="1">
        <v>9178.3700000000008</v>
      </c>
      <c r="H1186" t="s">
        <v>1378</v>
      </c>
      <c r="I1186" t="s">
        <v>3916</v>
      </c>
      <c r="J1186" t="s">
        <v>3917</v>
      </c>
    </row>
    <row r="1187" spans="1:10">
      <c r="A1187">
        <v>150037</v>
      </c>
      <c r="B1187" t="s">
        <v>446</v>
      </c>
      <c r="C1187" t="s">
        <v>3918</v>
      </c>
      <c r="D1187" t="s">
        <v>12</v>
      </c>
      <c r="E1187" t="s">
        <v>3919</v>
      </c>
      <c r="F1187" t="s">
        <v>14</v>
      </c>
      <c r="G1187" s="1">
        <v>9154.8700000000008</v>
      </c>
      <c r="H1187" t="s">
        <v>777</v>
      </c>
      <c r="I1187" t="s">
        <v>2418</v>
      </c>
      <c r="J1187" t="s">
        <v>3920</v>
      </c>
    </row>
    <row r="1188" spans="1:10">
      <c r="A1188">
        <v>100154</v>
      </c>
      <c r="B1188" t="s">
        <v>446</v>
      </c>
      <c r="C1188" t="s">
        <v>3921</v>
      </c>
      <c r="D1188" t="s">
        <v>12</v>
      </c>
      <c r="E1188" t="s">
        <v>3922</v>
      </c>
      <c r="F1188" t="s">
        <v>14</v>
      </c>
      <c r="G1188" s="1">
        <v>9132.2800000000007</v>
      </c>
      <c r="H1188" t="s">
        <v>232</v>
      </c>
      <c r="I1188" t="s">
        <v>3923</v>
      </c>
      <c r="J1188" t="s">
        <v>3924</v>
      </c>
    </row>
    <row r="1189" spans="1:10">
      <c r="A1189">
        <v>152200</v>
      </c>
      <c r="B1189" t="s">
        <v>446</v>
      </c>
      <c r="C1189" t="s">
        <v>3925</v>
      </c>
      <c r="D1189" t="s">
        <v>12</v>
      </c>
      <c r="E1189" t="s">
        <v>3926</v>
      </c>
      <c r="F1189" t="s">
        <v>14</v>
      </c>
      <c r="G1189" s="1">
        <v>9100</v>
      </c>
      <c r="H1189" t="s">
        <v>499</v>
      </c>
      <c r="I1189" t="s">
        <v>1878</v>
      </c>
      <c r="J1189" t="s">
        <v>3927</v>
      </c>
    </row>
    <row r="1190" spans="1:10">
      <c r="A1190">
        <v>145321</v>
      </c>
      <c r="B1190" t="s">
        <v>446</v>
      </c>
      <c r="C1190" t="s">
        <v>3928</v>
      </c>
      <c r="D1190" t="s">
        <v>12</v>
      </c>
      <c r="E1190" t="s">
        <v>3929</v>
      </c>
      <c r="F1190" t="s">
        <v>168</v>
      </c>
      <c r="G1190" s="1">
        <v>9028.7999999999993</v>
      </c>
      <c r="H1190" t="s">
        <v>553</v>
      </c>
      <c r="I1190" t="s">
        <v>3930</v>
      </c>
      <c r="J1190" t="s">
        <v>3931</v>
      </c>
    </row>
    <row r="1191" spans="1:10">
      <c r="A1191">
        <v>142354</v>
      </c>
      <c r="B1191" t="s">
        <v>446</v>
      </c>
      <c r="C1191" t="s">
        <v>3932</v>
      </c>
      <c r="D1191" t="s">
        <v>124</v>
      </c>
      <c r="E1191" t="s">
        <v>3933</v>
      </c>
      <c r="F1191" t="s">
        <v>14</v>
      </c>
      <c r="G1191" s="1">
        <v>9000</v>
      </c>
      <c r="H1191" t="s">
        <v>126</v>
      </c>
      <c r="I1191" t="s">
        <v>156</v>
      </c>
      <c r="J1191" t="s">
        <v>3934</v>
      </c>
    </row>
    <row r="1192" spans="1:10">
      <c r="A1192">
        <v>104417</v>
      </c>
      <c r="B1192" t="s">
        <v>446</v>
      </c>
      <c r="C1192" t="s">
        <v>3935</v>
      </c>
      <c r="D1192" t="s">
        <v>124</v>
      </c>
      <c r="E1192" t="s">
        <v>3936</v>
      </c>
      <c r="F1192" t="s">
        <v>14</v>
      </c>
      <c r="G1192" s="1">
        <v>9000</v>
      </c>
      <c r="H1192" t="s">
        <v>126</v>
      </c>
      <c r="I1192" t="s">
        <v>156</v>
      </c>
      <c r="J1192" t="s">
        <v>1037</v>
      </c>
    </row>
    <row r="1193" spans="1:10">
      <c r="A1193">
        <v>147979</v>
      </c>
      <c r="B1193" t="s">
        <v>446</v>
      </c>
      <c r="C1193" t="s">
        <v>3937</v>
      </c>
      <c r="D1193" t="s">
        <v>124</v>
      </c>
      <c r="E1193" t="s">
        <v>3938</v>
      </c>
      <c r="F1193" t="s">
        <v>14</v>
      </c>
      <c r="G1193" s="1">
        <v>9000</v>
      </c>
      <c r="H1193" t="s">
        <v>126</v>
      </c>
      <c r="I1193" t="s">
        <v>156</v>
      </c>
      <c r="J1193" t="s">
        <v>187</v>
      </c>
    </row>
    <row r="1194" spans="1:10">
      <c r="A1194">
        <v>123177</v>
      </c>
      <c r="B1194" t="s">
        <v>446</v>
      </c>
      <c r="C1194" t="s">
        <v>3939</v>
      </c>
      <c r="D1194" t="s">
        <v>124</v>
      </c>
      <c r="E1194" t="s">
        <v>3940</v>
      </c>
      <c r="F1194" t="s">
        <v>14</v>
      </c>
      <c r="G1194" s="1">
        <v>9000</v>
      </c>
      <c r="H1194" t="s">
        <v>3941</v>
      </c>
      <c r="I1194" t="s">
        <v>3942</v>
      </c>
      <c r="J1194" t="s">
        <v>3943</v>
      </c>
    </row>
    <row r="1195" spans="1:10">
      <c r="A1195">
        <v>150357</v>
      </c>
      <c r="B1195" t="s">
        <v>446</v>
      </c>
      <c r="C1195" t="s">
        <v>3944</v>
      </c>
      <c r="D1195" t="s">
        <v>12</v>
      </c>
      <c r="E1195" t="s">
        <v>3945</v>
      </c>
      <c r="F1195" t="s">
        <v>14</v>
      </c>
      <c r="G1195" s="1">
        <v>9000</v>
      </c>
      <c r="H1195" t="s">
        <v>140</v>
      </c>
      <c r="I1195" t="s">
        <v>669</v>
      </c>
      <c r="J1195" t="s">
        <v>285</v>
      </c>
    </row>
    <row r="1196" spans="1:10">
      <c r="A1196">
        <v>148809</v>
      </c>
      <c r="B1196" t="s">
        <v>446</v>
      </c>
      <c r="C1196" t="s">
        <v>3946</v>
      </c>
      <c r="D1196" t="s">
        <v>12</v>
      </c>
      <c r="E1196" t="s">
        <v>3947</v>
      </c>
      <c r="F1196" t="s">
        <v>14</v>
      </c>
      <c r="G1196" s="1">
        <v>9000</v>
      </c>
      <c r="H1196" t="s">
        <v>425</v>
      </c>
      <c r="I1196" t="s">
        <v>3948</v>
      </c>
      <c r="J1196" t="s">
        <v>3949</v>
      </c>
    </row>
    <row r="1197" spans="1:10">
      <c r="A1197">
        <v>152620</v>
      </c>
      <c r="B1197" t="s">
        <v>446</v>
      </c>
      <c r="C1197" t="s">
        <v>3950</v>
      </c>
      <c r="D1197" t="s">
        <v>12</v>
      </c>
      <c r="E1197" t="s">
        <v>3951</v>
      </c>
      <c r="F1197" t="s">
        <v>14</v>
      </c>
      <c r="G1197" s="1">
        <v>9000</v>
      </c>
      <c r="H1197" t="s">
        <v>56</v>
      </c>
      <c r="I1197" t="s">
        <v>3952</v>
      </c>
      <c r="J1197" t="s">
        <v>3953</v>
      </c>
    </row>
    <row r="1198" spans="1:10">
      <c r="A1198">
        <v>118088</v>
      </c>
      <c r="B1198" t="s">
        <v>446</v>
      </c>
      <c r="C1198" t="s">
        <v>3954</v>
      </c>
      <c r="D1198" t="s">
        <v>12</v>
      </c>
      <c r="E1198" t="s">
        <v>3955</v>
      </c>
      <c r="F1198" t="s">
        <v>14</v>
      </c>
      <c r="G1198" s="1">
        <v>8985</v>
      </c>
      <c r="H1198" t="s">
        <v>85</v>
      </c>
      <c r="I1198" t="s">
        <v>3956</v>
      </c>
      <c r="J1198" t="s">
        <v>3957</v>
      </c>
    </row>
    <row r="1199" spans="1:10">
      <c r="A1199">
        <v>143275</v>
      </c>
      <c r="B1199" t="s">
        <v>446</v>
      </c>
      <c r="C1199" t="s">
        <v>3958</v>
      </c>
      <c r="D1199" t="s">
        <v>12</v>
      </c>
      <c r="E1199" t="s">
        <v>3959</v>
      </c>
      <c r="F1199" t="s">
        <v>14</v>
      </c>
      <c r="G1199" s="1">
        <v>8944.08</v>
      </c>
      <c r="H1199" t="s">
        <v>140</v>
      </c>
      <c r="I1199" t="s">
        <v>3960</v>
      </c>
      <c r="J1199" t="s">
        <v>3961</v>
      </c>
    </row>
    <row r="1200" spans="1:10">
      <c r="A1200">
        <v>128170</v>
      </c>
      <c r="B1200" t="s">
        <v>446</v>
      </c>
      <c r="C1200" t="s">
        <v>3962</v>
      </c>
      <c r="D1200" t="s">
        <v>12</v>
      </c>
      <c r="E1200" t="s">
        <v>3963</v>
      </c>
      <c r="F1200" t="s">
        <v>14</v>
      </c>
      <c r="G1200" s="1">
        <v>8940</v>
      </c>
      <c r="H1200" t="s">
        <v>140</v>
      </c>
      <c r="I1200" t="s">
        <v>1993</v>
      </c>
      <c r="J1200" t="s">
        <v>1994</v>
      </c>
    </row>
    <row r="1201" spans="1:10">
      <c r="A1201">
        <v>142907</v>
      </c>
      <c r="B1201" t="s">
        <v>446</v>
      </c>
      <c r="C1201" t="s">
        <v>3964</v>
      </c>
      <c r="D1201" t="s">
        <v>12</v>
      </c>
      <c r="E1201" t="s">
        <v>3965</v>
      </c>
      <c r="F1201" t="s">
        <v>14</v>
      </c>
      <c r="G1201" s="1">
        <v>8880.8700000000008</v>
      </c>
      <c r="H1201" t="s">
        <v>15</v>
      </c>
      <c r="I1201" t="s">
        <v>3966</v>
      </c>
      <c r="J1201" t="s">
        <v>3967</v>
      </c>
    </row>
    <row r="1202" spans="1:10">
      <c r="A1202">
        <v>152491</v>
      </c>
      <c r="B1202" t="s">
        <v>446</v>
      </c>
      <c r="C1202" t="s">
        <v>3968</v>
      </c>
      <c r="D1202" t="s">
        <v>12</v>
      </c>
      <c r="E1202" t="s">
        <v>3969</v>
      </c>
      <c r="F1202" t="s">
        <v>14</v>
      </c>
      <c r="G1202" s="1">
        <v>8850</v>
      </c>
      <c r="H1202" t="s">
        <v>3970</v>
      </c>
      <c r="I1202" t="s">
        <v>3971</v>
      </c>
      <c r="J1202" t="s">
        <v>3972</v>
      </c>
    </row>
    <row r="1203" spans="1:10">
      <c r="A1203">
        <v>151731</v>
      </c>
      <c r="B1203" t="s">
        <v>446</v>
      </c>
      <c r="C1203" t="s">
        <v>3973</v>
      </c>
      <c r="D1203" t="s">
        <v>12</v>
      </c>
      <c r="E1203" t="s">
        <v>3974</v>
      </c>
      <c r="F1203" t="s">
        <v>14</v>
      </c>
      <c r="G1203" s="1">
        <v>8819.26</v>
      </c>
      <c r="H1203" t="s">
        <v>21</v>
      </c>
      <c r="I1203" t="s">
        <v>3975</v>
      </c>
      <c r="J1203" t="s">
        <v>3976</v>
      </c>
    </row>
    <row r="1204" spans="1:10">
      <c r="A1204">
        <v>115132</v>
      </c>
      <c r="B1204" t="s">
        <v>446</v>
      </c>
      <c r="C1204" t="s">
        <v>3977</v>
      </c>
      <c r="D1204" t="s">
        <v>12</v>
      </c>
      <c r="E1204" t="s">
        <v>3978</v>
      </c>
      <c r="F1204" t="s">
        <v>14</v>
      </c>
      <c r="G1204" s="1">
        <v>8800.15</v>
      </c>
      <c r="H1204" t="s">
        <v>333</v>
      </c>
      <c r="I1204" t="s">
        <v>3979</v>
      </c>
      <c r="J1204" t="s">
        <v>3980</v>
      </c>
    </row>
    <row r="1205" spans="1:10">
      <c r="A1205">
        <v>129838</v>
      </c>
      <c r="B1205" t="s">
        <v>446</v>
      </c>
      <c r="C1205" t="s">
        <v>3981</v>
      </c>
      <c r="D1205" t="s">
        <v>12</v>
      </c>
      <c r="E1205" t="s">
        <v>3982</v>
      </c>
      <c r="F1205" t="s">
        <v>14</v>
      </c>
      <c r="G1205" s="1">
        <v>8792.7000000000007</v>
      </c>
      <c r="H1205" t="s">
        <v>777</v>
      </c>
      <c r="I1205" t="s">
        <v>2021</v>
      </c>
      <c r="J1205" t="s">
        <v>3262</v>
      </c>
    </row>
    <row r="1206" spans="1:10">
      <c r="A1206">
        <v>112793</v>
      </c>
      <c r="B1206" t="s">
        <v>446</v>
      </c>
      <c r="C1206" t="s">
        <v>3983</v>
      </c>
      <c r="D1206" t="s">
        <v>12</v>
      </c>
      <c r="E1206" t="s">
        <v>3984</v>
      </c>
      <c r="F1206" t="s">
        <v>14</v>
      </c>
      <c r="G1206" s="1">
        <v>8723.3700000000008</v>
      </c>
      <c r="H1206" t="s">
        <v>36</v>
      </c>
      <c r="I1206" t="s">
        <v>2435</v>
      </c>
      <c r="J1206" t="s">
        <v>3985</v>
      </c>
    </row>
    <row r="1207" spans="1:10">
      <c r="A1207">
        <v>148296</v>
      </c>
      <c r="B1207" t="s">
        <v>446</v>
      </c>
      <c r="C1207" t="s">
        <v>3986</v>
      </c>
      <c r="D1207" t="s">
        <v>12</v>
      </c>
      <c r="E1207" t="s">
        <v>3987</v>
      </c>
      <c r="F1207" t="s">
        <v>14</v>
      </c>
      <c r="G1207" s="1">
        <v>8710.3700000000008</v>
      </c>
      <c r="H1207" t="s">
        <v>232</v>
      </c>
      <c r="I1207" t="s">
        <v>233</v>
      </c>
      <c r="J1207" t="s">
        <v>3988</v>
      </c>
    </row>
    <row r="1208" spans="1:10">
      <c r="A1208">
        <v>150233</v>
      </c>
      <c r="B1208" t="s">
        <v>446</v>
      </c>
      <c r="C1208" t="s">
        <v>3989</v>
      </c>
      <c r="D1208" t="s">
        <v>12</v>
      </c>
      <c r="E1208" t="s">
        <v>3990</v>
      </c>
      <c r="F1208" t="s">
        <v>14</v>
      </c>
      <c r="G1208" s="1">
        <v>8700</v>
      </c>
      <c r="H1208" t="s">
        <v>140</v>
      </c>
      <c r="I1208" t="s">
        <v>505</v>
      </c>
      <c r="J1208" t="s">
        <v>506</v>
      </c>
    </row>
    <row r="1209" spans="1:10">
      <c r="A1209">
        <v>152291</v>
      </c>
      <c r="B1209" t="s">
        <v>446</v>
      </c>
      <c r="C1209" t="s">
        <v>3991</v>
      </c>
      <c r="D1209" t="s">
        <v>124</v>
      </c>
      <c r="E1209" t="s">
        <v>3992</v>
      </c>
      <c r="F1209" t="s">
        <v>14</v>
      </c>
      <c r="G1209" s="1">
        <v>8693.5499999999993</v>
      </c>
      <c r="H1209" t="s">
        <v>126</v>
      </c>
      <c r="I1209" t="s">
        <v>156</v>
      </c>
      <c r="J1209" t="s">
        <v>974</v>
      </c>
    </row>
    <row r="1210" spans="1:10">
      <c r="A1210">
        <v>151226</v>
      </c>
      <c r="B1210" t="s">
        <v>446</v>
      </c>
      <c r="C1210" t="s">
        <v>3993</v>
      </c>
      <c r="D1210" t="s">
        <v>124</v>
      </c>
      <c r="E1210" t="s">
        <v>3994</v>
      </c>
      <c r="F1210" t="s">
        <v>14</v>
      </c>
      <c r="G1210" s="1">
        <v>8645.16</v>
      </c>
      <c r="H1210" t="s">
        <v>126</v>
      </c>
      <c r="I1210" t="s">
        <v>156</v>
      </c>
      <c r="J1210" t="s">
        <v>180</v>
      </c>
    </row>
    <row r="1211" spans="1:10">
      <c r="A1211">
        <v>125677</v>
      </c>
      <c r="B1211" t="s">
        <v>446</v>
      </c>
      <c r="C1211" t="s">
        <v>3995</v>
      </c>
      <c r="D1211" t="s">
        <v>124</v>
      </c>
      <c r="E1211" t="s">
        <v>3996</v>
      </c>
      <c r="F1211" t="s">
        <v>14</v>
      </c>
      <c r="G1211" s="1">
        <v>8640</v>
      </c>
      <c r="H1211" t="s">
        <v>126</v>
      </c>
      <c r="I1211" t="s">
        <v>156</v>
      </c>
      <c r="J1211" t="s">
        <v>187</v>
      </c>
    </row>
    <row r="1212" spans="1:10">
      <c r="A1212">
        <v>152643</v>
      </c>
      <c r="B1212" t="s">
        <v>446</v>
      </c>
      <c r="C1212" t="s">
        <v>3997</v>
      </c>
      <c r="D1212" t="s">
        <v>12</v>
      </c>
      <c r="E1212" t="s">
        <v>3998</v>
      </c>
      <c r="F1212" t="s">
        <v>14</v>
      </c>
      <c r="G1212" s="1">
        <v>8627</v>
      </c>
      <c r="H1212" t="s">
        <v>95</v>
      </c>
      <c r="I1212" t="s">
        <v>506</v>
      </c>
      <c r="J1212" t="s">
        <v>1522</v>
      </c>
    </row>
    <row r="1213" spans="1:10">
      <c r="A1213">
        <v>151385</v>
      </c>
      <c r="B1213" t="s">
        <v>446</v>
      </c>
      <c r="C1213" t="s">
        <v>3999</v>
      </c>
      <c r="D1213" t="s">
        <v>12</v>
      </c>
      <c r="E1213" t="s">
        <v>4000</v>
      </c>
      <c r="F1213" t="s">
        <v>14</v>
      </c>
      <c r="G1213" s="1">
        <v>8611</v>
      </c>
      <c r="H1213" t="s">
        <v>499</v>
      </c>
      <c r="I1213" t="s">
        <v>1878</v>
      </c>
      <c r="J1213" t="s">
        <v>4001</v>
      </c>
    </row>
    <row r="1214" spans="1:10">
      <c r="A1214">
        <v>151792</v>
      </c>
      <c r="B1214" t="s">
        <v>446</v>
      </c>
      <c r="C1214" t="s">
        <v>4002</v>
      </c>
      <c r="D1214" t="s">
        <v>12</v>
      </c>
      <c r="E1214" t="s">
        <v>4003</v>
      </c>
      <c r="F1214" t="s">
        <v>14</v>
      </c>
      <c r="G1214" s="1">
        <v>8599</v>
      </c>
      <c r="H1214" t="s">
        <v>777</v>
      </c>
      <c r="I1214" t="s">
        <v>2054</v>
      </c>
      <c r="J1214" t="s">
        <v>4004</v>
      </c>
    </row>
    <row r="1215" spans="1:10">
      <c r="A1215">
        <v>150675</v>
      </c>
      <c r="B1215" t="s">
        <v>446</v>
      </c>
      <c r="C1215" t="s">
        <v>4005</v>
      </c>
      <c r="D1215" t="s">
        <v>124</v>
      </c>
      <c r="E1215" t="s">
        <v>4006</v>
      </c>
      <c r="F1215" t="s">
        <v>14</v>
      </c>
      <c r="G1215" s="1">
        <v>8583.2999999999993</v>
      </c>
      <c r="H1215" t="s">
        <v>126</v>
      </c>
      <c r="I1215" t="s">
        <v>156</v>
      </c>
      <c r="J1215" t="s">
        <v>4007</v>
      </c>
    </row>
    <row r="1216" spans="1:10">
      <c r="A1216">
        <v>151604</v>
      </c>
      <c r="B1216" t="s">
        <v>446</v>
      </c>
      <c r="C1216" t="s">
        <v>4008</v>
      </c>
      <c r="D1216" t="s">
        <v>12</v>
      </c>
      <c r="E1216" t="s">
        <v>4009</v>
      </c>
      <c r="F1216" t="s">
        <v>14</v>
      </c>
      <c r="G1216" s="1">
        <v>8571.26</v>
      </c>
      <c r="H1216" t="s">
        <v>21</v>
      </c>
      <c r="I1216" t="s">
        <v>4010</v>
      </c>
      <c r="J1216" t="s">
        <v>4011</v>
      </c>
    </row>
    <row r="1217" spans="1:10">
      <c r="A1217">
        <v>147770</v>
      </c>
      <c r="B1217" t="s">
        <v>446</v>
      </c>
      <c r="C1217" t="s">
        <v>4012</v>
      </c>
      <c r="D1217" t="s">
        <v>12</v>
      </c>
      <c r="E1217" t="s">
        <v>4013</v>
      </c>
      <c r="F1217" t="s">
        <v>14</v>
      </c>
      <c r="G1217" s="1">
        <v>8534.9599999999991</v>
      </c>
      <c r="H1217" t="s">
        <v>553</v>
      </c>
      <c r="I1217" t="s">
        <v>4014</v>
      </c>
      <c r="J1217" t="s">
        <v>4015</v>
      </c>
    </row>
    <row r="1218" spans="1:10">
      <c r="A1218">
        <v>150366</v>
      </c>
      <c r="B1218" t="s">
        <v>446</v>
      </c>
      <c r="C1218" t="s">
        <v>4016</v>
      </c>
      <c r="D1218" t="s">
        <v>12</v>
      </c>
      <c r="E1218" t="s">
        <v>4017</v>
      </c>
      <c r="F1218" t="s">
        <v>14</v>
      </c>
      <c r="G1218" s="1">
        <v>8500</v>
      </c>
      <c r="H1218" t="s">
        <v>140</v>
      </c>
      <c r="I1218" t="s">
        <v>4018</v>
      </c>
      <c r="J1218" t="s">
        <v>4019</v>
      </c>
    </row>
    <row r="1219" spans="1:10">
      <c r="A1219">
        <v>147149</v>
      </c>
      <c r="B1219" t="s">
        <v>446</v>
      </c>
      <c r="C1219" t="s">
        <v>4020</v>
      </c>
      <c r="D1219" t="s">
        <v>12</v>
      </c>
      <c r="E1219" t="s">
        <v>4021</v>
      </c>
      <c r="F1219" t="s">
        <v>14</v>
      </c>
      <c r="G1219" s="1">
        <v>8464.5499999999993</v>
      </c>
      <c r="H1219" t="s">
        <v>1017</v>
      </c>
      <c r="I1219" t="s">
        <v>1943</v>
      </c>
      <c r="J1219" t="s">
        <v>4022</v>
      </c>
    </row>
    <row r="1220" spans="1:10">
      <c r="A1220">
        <v>109966</v>
      </c>
      <c r="B1220" t="s">
        <v>446</v>
      </c>
      <c r="C1220" t="s">
        <v>4023</v>
      </c>
      <c r="D1220" t="s">
        <v>12</v>
      </c>
      <c r="E1220" t="s">
        <v>4024</v>
      </c>
      <c r="F1220" t="s">
        <v>14</v>
      </c>
      <c r="G1220" s="1">
        <v>8453.15</v>
      </c>
      <c r="H1220" t="s">
        <v>140</v>
      </c>
      <c r="I1220" t="s">
        <v>4025</v>
      </c>
      <c r="J1220" t="s">
        <v>4026</v>
      </c>
    </row>
    <row r="1221" spans="1:10">
      <c r="A1221">
        <v>129937</v>
      </c>
      <c r="B1221" t="s">
        <v>446</v>
      </c>
      <c r="C1221" t="s">
        <v>4027</v>
      </c>
      <c r="D1221" t="s">
        <v>12</v>
      </c>
      <c r="E1221" t="s">
        <v>4028</v>
      </c>
      <c r="F1221" t="s">
        <v>14</v>
      </c>
      <c r="G1221" s="1">
        <v>8400</v>
      </c>
      <c r="H1221" t="s">
        <v>777</v>
      </c>
      <c r="I1221" t="s">
        <v>2021</v>
      </c>
      <c r="J1221" t="s">
        <v>3645</v>
      </c>
    </row>
    <row r="1222" spans="1:10">
      <c r="A1222">
        <v>122657</v>
      </c>
      <c r="B1222" t="s">
        <v>446</v>
      </c>
      <c r="C1222" t="s">
        <v>4029</v>
      </c>
      <c r="D1222" t="s">
        <v>124</v>
      </c>
      <c r="E1222" t="s">
        <v>4030</v>
      </c>
      <c r="F1222" t="s">
        <v>14</v>
      </c>
      <c r="G1222" s="1">
        <v>8400</v>
      </c>
      <c r="H1222" t="s">
        <v>126</v>
      </c>
      <c r="I1222" t="s">
        <v>156</v>
      </c>
      <c r="J1222" t="s">
        <v>180</v>
      </c>
    </row>
    <row r="1223" spans="1:10">
      <c r="A1223">
        <v>140575</v>
      </c>
      <c r="B1223" t="s">
        <v>446</v>
      </c>
      <c r="C1223" t="s">
        <v>4031</v>
      </c>
      <c r="D1223" t="s">
        <v>124</v>
      </c>
      <c r="E1223" t="s">
        <v>4032</v>
      </c>
      <c r="F1223" t="s">
        <v>14</v>
      </c>
      <c r="G1223" s="1">
        <v>8400</v>
      </c>
      <c r="H1223" t="s">
        <v>56</v>
      </c>
      <c r="I1223" t="s">
        <v>4033</v>
      </c>
    </row>
    <row r="1224" spans="1:10">
      <c r="A1224">
        <v>140318</v>
      </c>
      <c r="B1224" t="s">
        <v>446</v>
      </c>
      <c r="C1224" t="s">
        <v>4034</v>
      </c>
      <c r="D1224" t="s">
        <v>12</v>
      </c>
      <c r="E1224" t="s">
        <v>4035</v>
      </c>
      <c r="F1224" t="s">
        <v>14</v>
      </c>
      <c r="G1224" s="1">
        <v>8360.86</v>
      </c>
      <c r="H1224" t="s">
        <v>553</v>
      </c>
      <c r="I1224" t="s">
        <v>1971</v>
      </c>
      <c r="J1224" t="s">
        <v>2525</v>
      </c>
    </row>
    <row r="1225" spans="1:10">
      <c r="A1225">
        <v>125308</v>
      </c>
      <c r="B1225" t="s">
        <v>446</v>
      </c>
      <c r="C1225" t="s">
        <v>4036</v>
      </c>
      <c r="D1225" t="s">
        <v>12</v>
      </c>
      <c r="E1225" t="s">
        <v>4037</v>
      </c>
      <c r="F1225" t="s">
        <v>14</v>
      </c>
      <c r="G1225" s="1">
        <v>8357.52</v>
      </c>
      <c r="H1225" t="s">
        <v>777</v>
      </c>
      <c r="I1225" t="s">
        <v>2021</v>
      </c>
      <c r="J1225" t="s">
        <v>4038</v>
      </c>
    </row>
    <row r="1226" spans="1:10">
      <c r="A1226" t="s">
        <v>4039</v>
      </c>
      <c r="B1226" t="s">
        <v>446</v>
      </c>
      <c r="C1226" t="s">
        <v>4040</v>
      </c>
      <c r="D1226" t="s">
        <v>124</v>
      </c>
      <c r="E1226" t="s">
        <v>4041</v>
      </c>
      <c r="F1226" t="s">
        <v>168</v>
      </c>
      <c r="G1226" s="1">
        <v>8356.91</v>
      </c>
      <c r="H1226" t="s">
        <v>126</v>
      </c>
      <c r="I1226" t="s">
        <v>2407</v>
      </c>
      <c r="J1226" t="s">
        <v>4042</v>
      </c>
    </row>
    <row r="1227" spans="1:10">
      <c r="A1227">
        <v>149588</v>
      </c>
      <c r="B1227" t="s">
        <v>446</v>
      </c>
      <c r="C1227" t="s">
        <v>4043</v>
      </c>
      <c r="D1227" t="s">
        <v>12</v>
      </c>
      <c r="E1227" t="s">
        <v>4044</v>
      </c>
      <c r="F1227" t="s">
        <v>14</v>
      </c>
      <c r="G1227" s="1">
        <v>8350</v>
      </c>
      <c r="H1227" t="s">
        <v>3970</v>
      </c>
      <c r="I1227" t="s">
        <v>3971</v>
      </c>
      <c r="J1227" t="s">
        <v>4045</v>
      </c>
    </row>
    <row r="1228" spans="1:10">
      <c r="A1228">
        <v>100633</v>
      </c>
      <c r="B1228" t="s">
        <v>446</v>
      </c>
      <c r="C1228" t="s">
        <v>4046</v>
      </c>
      <c r="D1228" t="s">
        <v>12</v>
      </c>
      <c r="E1228" t="s">
        <v>4047</v>
      </c>
      <c r="F1228" t="s">
        <v>14</v>
      </c>
      <c r="G1228" s="1">
        <v>8345.85</v>
      </c>
      <c r="H1228" t="s">
        <v>95</v>
      </c>
      <c r="I1228" t="s">
        <v>506</v>
      </c>
      <c r="J1228" t="s">
        <v>1522</v>
      </c>
    </row>
    <row r="1229" spans="1:10">
      <c r="A1229">
        <v>146720</v>
      </c>
      <c r="B1229" t="s">
        <v>446</v>
      </c>
      <c r="C1229" t="s">
        <v>4048</v>
      </c>
      <c r="D1229" t="s">
        <v>12</v>
      </c>
      <c r="E1229" t="s">
        <v>4049</v>
      </c>
      <c r="F1229" t="s">
        <v>14</v>
      </c>
      <c r="G1229" s="1">
        <v>8296.02</v>
      </c>
      <c r="H1229" t="s">
        <v>140</v>
      </c>
      <c r="I1229" t="s">
        <v>1361</v>
      </c>
      <c r="J1229" t="s">
        <v>4050</v>
      </c>
    </row>
    <row r="1230" spans="1:10">
      <c r="A1230">
        <v>118946</v>
      </c>
      <c r="B1230" t="s">
        <v>446</v>
      </c>
      <c r="C1230" t="s">
        <v>4051</v>
      </c>
      <c r="D1230" t="s">
        <v>12</v>
      </c>
      <c r="E1230" t="s">
        <v>4052</v>
      </c>
      <c r="F1230" t="s">
        <v>14</v>
      </c>
      <c r="G1230" s="1">
        <v>8250</v>
      </c>
      <c r="H1230" t="s">
        <v>85</v>
      </c>
      <c r="I1230" t="s">
        <v>4053</v>
      </c>
      <c r="J1230" t="s">
        <v>4054</v>
      </c>
    </row>
    <row r="1231" spans="1:10">
      <c r="A1231">
        <v>150890</v>
      </c>
      <c r="B1231" t="s">
        <v>446</v>
      </c>
      <c r="C1231" t="s">
        <v>4055</v>
      </c>
      <c r="D1231" t="s">
        <v>12</v>
      </c>
      <c r="E1231" t="s">
        <v>4056</v>
      </c>
      <c r="F1231" t="s">
        <v>14</v>
      </c>
      <c r="G1231" s="1">
        <v>8235.01</v>
      </c>
      <c r="H1231" t="s">
        <v>36</v>
      </c>
      <c r="I1231" t="s">
        <v>77</v>
      </c>
      <c r="J1231" t="s">
        <v>4057</v>
      </c>
    </row>
    <row r="1232" spans="1:10">
      <c r="A1232">
        <v>141170</v>
      </c>
      <c r="B1232" t="s">
        <v>446</v>
      </c>
      <c r="C1232" t="s">
        <v>4058</v>
      </c>
      <c r="D1232" t="s">
        <v>12</v>
      </c>
      <c r="E1232" t="s">
        <v>4059</v>
      </c>
      <c r="F1232" t="s">
        <v>14</v>
      </c>
      <c r="G1232" s="1">
        <v>8207.58</v>
      </c>
      <c r="H1232" t="s">
        <v>777</v>
      </c>
      <c r="I1232" t="s">
        <v>2307</v>
      </c>
      <c r="J1232" t="s">
        <v>4060</v>
      </c>
    </row>
    <row r="1233" spans="1:10">
      <c r="A1233" t="s">
        <v>4061</v>
      </c>
      <c r="B1233" t="s">
        <v>446</v>
      </c>
      <c r="C1233" t="s">
        <v>4062</v>
      </c>
      <c r="D1233" t="s">
        <v>12</v>
      </c>
      <c r="E1233" t="s">
        <v>4063</v>
      </c>
      <c r="F1233" t="s">
        <v>168</v>
      </c>
      <c r="G1233" s="1">
        <v>8195.5400000000009</v>
      </c>
      <c r="H1233" t="s">
        <v>232</v>
      </c>
      <c r="I1233" t="s">
        <v>233</v>
      </c>
      <c r="J1233" t="s">
        <v>4064</v>
      </c>
    </row>
    <row r="1234" spans="1:10">
      <c r="A1234" t="s">
        <v>4065</v>
      </c>
      <c r="B1234" t="s">
        <v>446</v>
      </c>
      <c r="C1234" t="s">
        <v>4066</v>
      </c>
      <c r="D1234" t="s">
        <v>12</v>
      </c>
      <c r="E1234" t="s">
        <v>4067</v>
      </c>
      <c r="F1234" t="s">
        <v>168</v>
      </c>
      <c r="G1234" s="1">
        <v>8168.8</v>
      </c>
      <c r="H1234" t="s">
        <v>140</v>
      </c>
      <c r="I1234" t="s">
        <v>284</v>
      </c>
      <c r="J1234" t="s">
        <v>4068</v>
      </c>
    </row>
    <row r="1235" spans="1:10">
      <c r="A1235">
        <v>147706</v>
      </c>
      <c r="B1235" t="s">
        <v>446</v>
      </c>
      <c r="C1235" t="s">
        <v>4069</v>
      </c>
      <c r="D1235" t="s">
        <v>12</v>
      </c>
      <c r="E1235" t="s">
        <v>4070</v>
      </c>
      <c r="F1235" t="s">
        <v>14</v>
      </c>
      <c r="G1235" s="1">
        <v>8088.41</v>
      </c>
      <c r="H1235" t="s">
        <v>140</v>
      </c>
      <c r="I1235" t="s">
        <v>1704</v>
      </c>
      <c r="J1235" t="s">
        <v>4071</v>
      </c>
    </row>
    <row r="1236" spans="1:10">
      <c r="A1236">
        <v>142220</v>
      </c>
      <c r="B1236" t="s">
        <v>446</v>
      </c>
      <c r="C1236" t="s">
        <v>4072</v>
      </c>
      <c r="D1236" t="s">
        <v>12</v>
      </c>
      <c r="E1236" t="s">
        <v>4073</v>
      </c>
      <c r="F1236" t="s">
        <v>14</v>
      </c>
      <c r="G1236" s="1">
        <v>8078.5</v>
      </c>
      <c r="H1236" t="s">
        <v>85</v>
      </c>
      <c r="I1236" t="s">
        <v>4074</v>
      </c>
      <c r="J1236" t="s">
        <v>4075</v>
      </c>
    </row>
    <row r="1237" spans="1:10">
      <c r="A1237">
        <v>146227</v>
      </c>
      <c r="B1237" t="s">
        <v>446</v>
      </c>
      <c r="C1237" t="s">
        <v>4076</v>
      </c>
      <c r="D1237" t="s">
        <v>12</v>
      </c>
      <c r="E1237" t="s">
        <v>4077</v>
      </c>
      <c r="F1237" t="s">
        <v>14</v>
      </c>
      <c r="G1237" s="1">
        <v>8050</v>
      </c>
      <c r="H1237" t="s">
        <v>852</v>
      </c>
      <c r="I1237" t="s">
        <v>4078</v>
      </c>
      <c r="J1237" t="s">
        <v>4079</v>
      </c>
    </row>
    <row r="1238" spans="1:10">
      <c r="A1238">
        <v>149763</v>
      </c>
      <c r="B1238" t="s">
        <v>446</v>
      </c>
      <c r="C1238" t="s">
        <v>4080</v>
      </c>
      <c r="D1238" t="s">
        <v>12</v>
      </c>
      <c r="E1238" t="s">
        <v>4081</v>
      </c>
      <c r="F1238" t="s">
        <v>14</v>
      </c>
      <c r="G1238" s="1">
        <v>8043</v>
      </c>
      <c r="H1238" t="s">
        <v>140</v>
      </c>
      <c r="I1238" t="s">
        <v>1993</v>
      </c>
      <c r="J1238" t="s">
        <v>1994</v>
      </c>
    </row>
    <row r="1239" spans="1:10">
      <c r="A1239">
        <v>122777</v>
      </c>
      <c r="B1239" t="s">
        <v>446</v>
      </c>
      <c r="C1239" t="s">
        <v>4082</v>
      </c>
      <c r="D1239" t="s">
        <v>124</v>
      </c>
      <c r="E1239" t="s">
        <v>4083</v>
      </c>
      <c r="F1239" t="s">
        <v>14</v>
      </c>
      <c r="G1239" s="1">
        <v>8034</v>
      </c>
      <c r="H1239" t="s">
        <v>126</v>
      </c>
      <c r="I1239" t="s">
        <v>156</v>
      </c>
      <c r="J1239" t="s">
        <v>180</v>
      </c>
    </row>
    <row r="1240" spans="1:10">
      <c r="A1240">
        <v>146612</v>
      </c>
      <c r="B1240" t="s">
        <v>446</v>
      </c>
      <c r="C1240" t="s">
        <v>4084</v>
      </c>
      <c r="D1240" t="s">
        <v>12</v>
      </c>
      <c r="E1240" t="s">
        <v>4085</v>
      </c>
      <c r="F1240" t="s">
        <v>14</v>
      </c>
      <c r="G1240" s="1">
        <v>8031.65</v>
      </c>
      <c r="H1240" t="s">
        <v>56</v>
      </c>
      <c r="I1240" t="s">
        <v>4086</v>
      </c>
      <c r="J1240" t="s">
        <v>4087</v>
      </c>
    </row>
    <row r="1241" spans="1:10">
      <c r="A1241">
        <v>106765</v>
      </c>
      <c r="B1241" t="s">
        <v>446</v>
      </c>
      <c r="C1241" t="s">
        <v>4088</v>
      </c>
      <c r="D1241" t="s">
        <v>12</v>
      </c>
      <c r="E1241" t="s">
        <v>4089</v>
      </c>
      <c r="F1241" t="s">
        <v>14</v>
      </c>
      <c r="G1241" s="1">
        <v>8001</v>
      </c>
      <c r="H1241" t="s">
        <v>232</v>
      </c>
      <c r="I1241" t="s">
        <v>4090</v>
      </c>
      <c r="J1241" t="s">
        <v>4091</v>
      </c>
    </row>
    <row r="1242" spans="1:10">
      <c r="A1242">
        <v>101515</v>
      </c>
      <c r="B1242" t="s">
        <v>446</v>
      </c>
      <c r="C1242" t="s">
        <v>4092</v>
      </c>
      <c r="D1242" t="s">
        <v>12</v>
      </c>
      <c r="E1242" t="s">
        <v>4093</v>
      </c>
      <c r="F1242" t="s">
        <v>14</v>
      </c>
      <c r="G1242" s="1">
        <v>8000</v>
      </c>
      <c r="H1242" t="s">
        <v>85</v>
      </c>
      <c r="I1242" t="s">
        <v>4094</v>
      </c>
      <c r="J1242" t="s">
        <v>4095</v>
      </c>
    </row>
    <row r="1243" spans="1:10">
      <c r="A1243">
        <v>152196</v>
      </c>
      <c r="B1243" t="s">
        <v>446</v>
      </c>
      <c r="C1243" t="s">
        <v>4096</v>
      </c>
      <c r="D1243" t="s">
        <v>12</v>
      </c>
      <c r="E1243" t="s">
        <v>4097</v>
      </c>
      <c r="F1243" t="s">
        <v>14</v>
      </c>
      <c r="G1243" s="1">
        <v>8000</v>
      </c>
      <c r="H1243" t="s">
        <v>140</v>
      </c>
      <c r="I1243" t="s">
        <v>3742</v>
      </c>
      <c r="J1243" t="s">
        <v>4098</v>
      </c>
    </row>
    <row r="1244" spans="1:10">
      <c r="A1244">
        <v>151025</v>
      </c>
      <c r="B1244" t="s">
        <v>446</v>
      </c>
      <c r="C1244" t="s">
        <v>4099</v>
      </c>
      <c r="D1244" t="s">
        <v>12</v>
      </c>
      <c r="E1244" t="s">
        <v>4100</v>
      </c>
      <c r="F1244" t="s">
        <v>14</v>
      </c>
      <c r="G1244" s="1">
        <v>8000</v>
      </c>
      <c r="H1244" t="s">
        <v>95</v>
      </c>
      <c r="I1244" t="s">
        <v>506</v>
      </c>
      <c r="J1244" t="s">
        <v>1522</v>
      </c>
    </row>
    <row r="1245" spans="1:10">
      <c r="A1245">
        <v>127961</v>
      </c>
      <c r="B1245" t="s">
        <v>446</v>
      </c>
      <c r="C1245" t="s">
        <v>4101</v>
      </c>
      <c r="D1245" t="s">
        <v>12</v>
      </c>
      <c r="E1245" t="s">
        <v>4102</v>
      </c>
      <c r="F1245" t="s">
        <v>14</v>
      </c>
      <c r="G1245" s="1">
        <v>7954.43</v>
      </c>
      <c r="H1245" t="s">
        <v>140</v>
      </c>
      <c r="I1245" t="s">
        <v>1704</v>
      </c>
      <c r="J1245" t="s">
        <v>4103</v>
      </c>
    </row>
    <row r="1246" spans="1:10">
      <c r="A1246">
        <v>100459</v>
      </c>
      <c r="B1246" t="s">
        <v>446</v>
      </c>
      <c r="C1246" t="s">
        <v>4104</v>
      </c>
      <c r="D1246" t="s">
        <v>12</v>
      </c>
      <c r="E1246" t="s">
        <v>4105</v>
      </c>
      <c r="F1246" t="s">
        <v>14</v>
      </c>
      <c r="G1246" s="1">
        <v>7937.91</v>
      </c>
      <c r="H1246" t="s">
        <v>375</v>
      </c>
      <c r="I1246" t="s">
        <v>4106</v>
      </c>
      <c r="J1246" t="s">
        <v>4107</v>
      </c>
    </row>
    <row r="1247" spans="1:10">
      <c r="A1247">
        <v>107118</v>
      </c>
      <c r="B1247" t="s">
        <v>446</v>
      </c>
      <c r="C1247" t="s">
        <v>4108</v>
      </c>
      <c r="D1247" t="s">
        <v>2098</v>
      </c>
      <c r="E1247" t="s">
        <v>4109</v>
      </c>
      <c r="F1247" t="s">
        <v>14</v>
      </c>
      <c r="G1247" s="1">
        <v>7921.09</v>
      </c>
      <c r="H1247" t="s">
        <v>375</v>
      </c>
      <c r="I1247" t="s">
        <v>376</v>
      </c>
      <c r="J1247" t="s">
        <v>4110</v>
      </c>
    </row>
    <row r="1248" spans="1:10">
      <c r="A1248">
        <v>125061</v>
      </c>
      <c r="B1248" t="s">
        <v>446</v>
      </c>
      <c r="C1248" t="s">
        <v>4111</v>
      </c>
      <c r="D1248" t="s">
        <v>12</v>
      </c>
      <c r="E1248" t="s">
        <v>4112</v>
      </c>
      <c r="F1248" t="s">
        <v>14</v>
      </c>
      <c r="G1248" s="1">
        <v>7891.31</v>
      </c>
      <c r="H1248" t="s">
        <v>918</v>
      </c>
      <c r="I1248" t="s">
        <v>919</v>
      </c>
      <c r="J1248" t="s">
        <v>4113</v>
      </c>
    </row>
    <row r="1249" spans="1:10">
      <c r="A1249">
        <v>119057</v>
      </c>
      <c r="B1249" t="s">
        <v>446</v>
      </c>
      <c r="C1249" t="s">
        <v>4114</v>
      </c>
      <c r="D1249" t="s">
        <v>12</v>
      </c>
      <c r="E1249" t="s">
        <v>4115</v>
      </c>
      <c r="F1249" t="s">
        <v>14</v>
      </c>
      <c r="G1249" s="1">
        <v>7888.34</v>
      </c>
      <c r="H1249" t="s">
        <v>232</v>
      </c>
      <c r="I1249" t="s">
        <v>4116</v>
      </c>
      <c r="J1249" t="s">
        <v>4117</v>
      </c>
    </row>
    <row r="1250" spans="1:10">
      <c r="A1250">
        <v>103305</v>
      </c>
      <c r="B1250" t="s">
        <v>446</v>
      </c>
      <c r="C1250" t="s">
        <v>4118</v>
      </c>
      <c r="D1250" t="s">
        <v>1986</v>
      </c>
      <c r="E1250" t="s">
        <v>4119</v>
      </c>
      <c r="F1250" t="s">
        <v>14</v>
      </c>
      <c r="G1250" s="1">
        <v>7886.86</v>
      </c>
      <c r="H1250" t="s">
        <v>126</v>
      </c>
      <c r="I1250" t="s">
        <v>471</v>
      </c>
      <c r="J1250" t="s">
        <v>472</v>
      </c>
    </row>
    <row r="1251" spans="1:10">
      <c r="A1251">
        <v>120801</v>
      </c>
      <c r="B1251" t="s">
        <v>446</v>
      </c>
      <c r="C1251" t="s">
        <v>4120</v>
      </c>
      <c r="D1251" t="s">
        <v>124</v>
      </c>
      <c r="E1251" t="s">
        <v>4121</v>
      </c>
      <c r="F1251" t="s">
        <v>14</v>
      </c>
      <c r="G1251" s="1">
        <v>7822.58</v>
      </c>
      <c r="H1251" t="s">
        <v>126</v>
      </c>
      <c r="I1251" t="s">
        <v>156</v>
      </c>
      <c r="J1251" t="s">
        <v>180</v>
      </c>
    </row>
    <row r="1252" spans="1:10">
      <c r="A1252">
        <v>132017</v>
      </c>
      <c r="B1252" t="s">
        <v>446</v>
      </c>
      <c r="C1252" t="s">
        <v>4122</v>
      </c>
      <c r="D1252" t="s">
        <v>12</v>
      </c>
      <c r="E1252" t="s">
        <v>4123</v>
      </c>
      <c r="F1252" t="s">
        <v>14</v>
      </c>
      <c r="G1252" s="1">
        <v>7784.07</v>
      </c>
      <c r="H1252" t="s">
        <v>140</v>
      </c>
      <c r="I1252" t="s">
        <v>3807</v>
      </c>
      <c r="J1252" t="s">
        <v>4124</v>
      </c>
    </row>
    <row r="1253" spans="1:10">
      <c r="A1253">
        <v>144584</v>
      </c>
      <c r="B1253" t="s">
        <v>446</v>
      </c>
      <c r="C1253" t="s">
        <v>4125</v>
      </c>
      <c r="D1253" t="s">
        <v>12</v>
      </c>
      <c r="E1253" t="s">
        <v>4126</v>
      </c>
      <c r="F1253" t="s">
        <v>14</v>
      </c>
      <c r="G1253" s="1">
        <v>7737.65</v>
      </c>
      <c r="H1253" t="s">
        <v>777</v>
      </c>
      <c r="I1253" t="s">
        <v>2021</v>
      </c>
      <c r="J1253" t="s">
        <v>3671</v>
      </c>
    </row>
    <row r="1254" spans="1:10">
      <c r="A1254">
        <v>110959</v>
      </c>
      <c r="B1254" t="s">
        <v>446</v>
      </c>
      <c r="C1254" t="s">
        <v>4127</v>
      </c>
      <c r="D1254" t="s">
        <v>12</v>
      </c>
      <c r="E1254" t="s">
        <v>4128</v>
      </c>
      <c r="F1254" t="s">
        <v>14</v>
      </c>
      <c r="G1254" s="1">
        <v>7642.44</v>
      </c>
      <c r="H1254" t="s">
        <v>15</v>
      </c>
      <c r="I1254" t="s">
        <v>4129</v>
      </c>
      <c r="J1254" t="s">
        <v>4130</v>
      </c>
    </row>
    <row r="1255" spans="1:10">
      <c r="A1255">
        <v>140457</v>
      </c>
      <c r="B1255" t="s">
        <v>446</v>
      </c>
      <c r="C1255" t="s">
        <v>4131</v>
      </c>
      <c r="D1255" t="s">
        <v>12</v>
      </c>
      <c r="E1255" t="s">
        <v>4132</v>
      </c>
      <c r="F1255" t="s">
        <v>14</v>
      </c>
      <c r="G1255" s="1">
        <v>7609.5</v>
      </c>
      <c r="H1255" t="s">
        <v>777</v>
      </c>
      <c r="I1255" t="s">
        <v>4133</v>
      </c>
      <c r="J1255" t="s">
        <v>4134</v>
      </c>
    </row>
    <row r="1256" spans="1:10">
      <c r="A1256">
        <v>124607</v>
      </c>
      <c r="B1256" t="s">
        <v>446</v>
      </c>
      <c r="C1256" t="s">
        <v>4135</v>
      </c>
      <c r="D1256" t="s">
        <v>12</v>
      </c>
      <c r="E1256" t="s">
        <v>4136</v>
      </c>
      <c r="F1256" t="s">
        <v>14</v>
      </c>
      <c r="G1256" s="1">
        <v>7590</v>
      </c>
      <c r="H1256" t="s">
        <v>140</v>
      </c>
      <c r="I1256" t="s">
        <v>4137</v>
      </c>
      <c r="J1256" t="s">
        <v>4138</v>
      </c>
    </row>
    <row r="1257" spans="1:10">
      <c r="A1257">
        <v>147707</v>
      </c>
      <c r="B1257" t="s">
        <v>446</v>
      </c>
      <c r="C1257" t="s">
        <v>4139</v>
      </c>
      <c r="D1257" t="s">
        <v>12</v>
      </c>
      <c r="E1257" t="s">
        <v>4140</v>
      </c>
      <c r="F1257" t="s">
        <v>14</v>
      </c>
      <c r="G1257" s="1">
        <v>7560</v>
      </c>
      <c r="H1257" t="s">
        <v>777</v>
      </c>
      <c r="I1257" t="s">
        <v>4141</v>
      </c>
      <c r="J1257" t="s">
        <v>4142</v>
      </c>
    </row>
    <row r="1258" spans="1:10">
      <c r="A1258">
        <v>150248</v>
      </c>
      <c r="B1258" t="s">
        <v>446</v>
      </c>
      <c r="C1258" t="s">
        <v>4143</v>
      </c>
      <c r="D1258" t="s">
        <v>12</v>
      </c>
      <c r="E1258" t="s">
        <v>4144</v>
      </c>
      <c r="F1258" t="s">
        <v>14</v>
      </c>
      <c r="G1258" s="1">
        <v>7546.98</v>
      </c>
      <c r="H1258" t="s">
        <v>232</v>
      </c>
      <c r="I1258" t="s">
        <v>2881</v>
      </c>
      <c r="J1258" t="s">
        <v>4145</v>
      </c>
    </row>
    <row r="1259" spans="1:10">
      <c r="A1259">
        <v>112148</v>
      </c>
      <c r="B1259" t="s">
        <v>446</v>
      </c>
      <c r="C1259" t="s">
        <v>4146</v>
      </c>
      <c r="D1259" t="s">
        <v>12</v>
      </c>
      <c r="E1259" t="s">
        <v>4147</v>
      </c>
      <c r="F1259" t="s">
        <v>14</v>
      </c>
      <c r="G1259" s="1">
        <v>7527.67</v>
      </c>
      <c r="H1259" t="s">
        <v>72</v>
      </c>
      <c r="I1259" t="s">
        <v>2351</v>
      </c>
      <c r="J1259" t="s">
        <v>4148</v>
      </c>
    </row>
    <row r="1260" spans="1:10">
      <c r="A1260">
        <v>141080</v>
      </c>
      <c r="B1260" t="s">
        <v>446</v>
      </c>
      <c r="C1260" t="s">
        <v>4149</v>
      </c>
      <c r="D1260" t="s">
        <v>12</v>
      </c>
      <c r="E1260" t="s">
        <v>4150</v>
      </c>
      <c r="F1260" t="s">
        <v>14</v>
      </c>
      <c r="G1260" s="1">
        <v>7525</v>
      </c>
      <c r="H1260" t="s">
        <v>777</v>
      </c>
      <c r="I1260" t="s">
        <v>2021</v>
      </c>
      <c r="J1260" t="s">
        <v>2022</v>
      </c>
    </row>
    <row r="1261" spans="1:10">
      <c r="A1261">
        <v>110637</v>
      </c>
      <c r="B1261" t="s">
        <v>446</v>
      </c>
      <c r="C1261" t="s">
        <v>4151</v>
      </c>
      <c r="D1261" t="s">
        <v>124</v>
      </c>
      <c r="E1261" t="s">
        <v>4152</v>
      </c>
      <c r="F1261" t="s">
        <v>14</v>
      </c>
      <c r="G1261" s="1">
        <v>7500</v>
      </c>
      <c r="H1261" t="s">
        <v>126</v>
      </c>
      <c r="I1261" t="s">
        <v>156</v>
      </c>
      <c r="J1261" t="s">
        <v>4153</v>
      </c>
    </row>
    <row r="1262" spans="1:10">
      <c r="A1262">
        <v>130336</v>
      </c>
      <c r="B1262" t="s">
        <v>446</v>
      </c>
      <c r="C1262" t="s">
        <v>4154</v>
      </c>
      <c r="D1262" t="s">
        <v>12</v>
      </c>
      <c r="E1262" t="s">
        <v>4155</v>
      </c>
      <c r="F1262" t="s">
        <v>14</v>
      </c>
      <c r="G1262" s="1">
        <v>7500</v>
      </c>
      <c r="H1262" t="s">
        <v>85</v>
      </c>
      <c r="I1262" t="s">
        <v>4156</v>
      </c>
      <c r="J1262" t="s">
        <v>4157</v>
      </c>
    </row>
    <row r="1263" spans="1:10">
      <c r="A1263">
        <v>140532</v>
      </c>
      <c r="B1263" t="s">
        <v>446</v>
      </c>
      <c r="C1263" t="s">
        <v>4158</v>
      </c>
      <c r="D1263" t="s">
        <v>124</v>
      </c>
      <c r="E1263" t="s">
        <v>4159</v>
      </c>
      <c r="F1263" t="s">
        <v>14</v>
      </c>
      <c r="G1263" s="1">
        <v>7500</v>
      </c>
      <c r="H1263" t="s">
        <v>126</v>
      </c>
      <c r="I1263" t="s">
        <v>156</v>
      </c>
      <c r="J1263" t="s">
        <v>180</v>
      </c>
    </row>
    <row r="1264" spans="1:10">
      <c r="A1264">
        <v>151250</v>
      </c>
      <c r="B1264" t="s">
        <v>446</v>
      </c>
      <c r="C1264" t="s">
        <v>4160</v>
      </c>
      <c r="D1264" t="s">
        <v>12</v>
      </c>
      <c r="E1264" t="s">
        <v>4161</v>
      </c>
      <c r="F1264" t="s">
        <v>14</v>
      </c>
      <c r="G1264" s="1">
        <v>7481.46</v>
      </c>
      <c r="H1264" t="s">
        <v>95</v>
      </c>
      <c r="I1264" t="s">
        <v>506</v>
      </c>
      <c r="J1264" t="s">
        <v>1522</v>
      </c>
    </row>
    <row r="1265" spans="1:10">
      <c r="A1265" t="s">
        <v>4162</v>
      </c>
      <c r="B1265" t="s">
        <v>446</v>
      </c>
      <c r="C1265" t="s">
        <v>4163</v>
      </c>
      <c r="D1265" t="s">
        <v>12</v>
      </c>
      <c r="E1265" t="s">
        <v>4164</v>
      </c>
      <c r="F1265" t="s">
        <v>168</v>
      </c>
      <c r="G1265" s="1">
        <v>7471.48</v>
      </c>
      <c r="H1265" t="s">
        <v>36</v>
      </c>
      <c r="I1265" t="s">
        <v>4165</v>
      </c>
      <c r="J1265" t="s">
        <v>4166</v>
      </c>
    </row>
    <row r="1266" spans="1:10">
      <c r="A1266">
        <v>121536</v>
      </c>
      <c r="B1266" t="s">
        <v>446</v>
      </c>
      <c r="C1266" t="s">
        <v>4167</v>
      </c>
      <c r="D1266" t="s">
        <v>331</v>
      </c>
      <c r="E1266" t="s">
        <v>4168</v>
      </c>
      <c r="F1266" t="s">
        <v>14</v>
      </c>
      <c r="G1266" s="1">
        <v>7469.39</v>
      </c>
      <c r="H1266" t="s">
        <v>333</v>
      </c>
      <c r="I1266" t="s">
        <v>4169</v>
      </c>
      <c r="J1266" t="s">
        <v>4170</v>
      </c>
    </row>
    <row r="1267" spans="1:10">
      <c r="A1267">
        <v>146292</v>
      </c>
      <c r="B1267" t="s">
        <v>446</v>
      </c>
      <c r="C1267" t="s">
        <v>4171</v>
      </c>
      <c r="D1267" t="s">
        <v>12</v>
      </c>
      <c r="E1267" t="s">
        <v>4172</v>
      </c>
      <c r="F1267" t="s">
        <v>14</v>
      </c>
      <c r="G1267" s="1">
        <v>7439.9</v>
      </c>
      <c r="H1267" t="s">
        <v>232</v>
      </c>
      <c r="I1267" t="s">
        <v>1981</v>
      </c>
      <c r="J1267" t="s">
        <v>4173</v>
      </c>
    </row>
    <row r="1268" spans="1:10">
      <c r="A1268">
        <v>130711</v>
      </c>
      <c r="B1268" t="s">
        <v>446</v>
      </c>
      <c r="C1268" t="s">
        <v>4174</v>
      </c>
      <c r="D1268" t="s">
        <v>12</v>
      </c>
      <c r="E1268" t="s">
        <v>4175</v>
      </c>
      <c r="F1268" t="s">
        <v>14</v>
      </c>
      <c r="G1268" s="1">
        <v>7420.43</v>
      </c>
      <c r="H1268" t="s">
        <v>15</v>
      </c>
      <c r="I1268" t="s">
        <v>4176</v>
      </c>
      <c r="J1268" t="s">
        <v>4177</v>
      </c>
    </row>
    <row r="1269" spans="1:10">
      <c r="A1269">
        <v>132494</v>
      </c>
      <c r="B1269" t="s">
        <v>446</v>
      </c>
      <c r="C1269" t="s">
        <v>4178</v>
      </c>
      <c r="D1269" t="s">
        <v>12</v>
      </c>
      <c r="E1269" t="s">
        <v>4179</v>
      </c>
      <c r="F1269" t="s">
        <v>14</v>
      </c>
      <c r="G1269" s="1">
        <v>7400</v>
      </c>
      <c r="H1269" t="s">
        <v>777</v>
      </c>
      <c r="I1269" t="s">
        <v>2054</v>
      </c>
      <c r="J1269" t="s">
        <v>4180</v>
      </c>
    </row>
    <row r="1270" spans="1:10">
      <c r="A1270">
        <v>108058</v>
      </c>
      <c r="B1270" t="s">
        <v>446</v>
      </c>
      <c r="C1270" t="s">
        <v>4181</v>
      </c>
      <c r="D1270" t="s">
        <v>12</v>
      </c>
      <c r="E1270" t="s">
        <v>4182</v>
      </c>
      <c r="F1270" t="s">
        <v>14</v>
      </c>
      <c r="G1270" s="1">
        <v>7297.73</v>
      </c>
      <c r="H1270" t="s">
        <v>85</v>
      </c>
      <c r="I1270" t="s">
        <v>4183</v>
      </c>
      <c r="J1270" t="s">
        <v>4184</v>
      </c>
    </row>
    <row r="1271" spans="1:10">
      <c r="A1271">
        <v>128166</v>
      </c>
      <c r="B1271" t="s">
        <v>446</v>
      </c>
      <c r="C1271" t="s">
        <v>4185</v>
      </c>
      <c r="D1271" t="s">
        <v>12</v>
      </c>
      <c r="E1271" t="s">
        <v>4186</v>
      </c>
      <c r="F1271" t="s">
        <v>14</v>
      </c>
      <c r="G1271" s="1">
        <v>7290</v>
      </c>
      <c r="H1271" t="s">
        <v>777</v>
      </c>
      <c r="I1271" t="s">
        <v>2021</v>
      </c>
      <c r="J1271" t="s">
        <v>4187</v>
      </c>
    </row>
    <row r="1272" spans="1:10">
      <c r="A1272">
        <v>132469</v>
      </c>
      <c r="B1272" t="s">
        <v>446</v>
      </c>
      <c r="C1272" t="s">
        <v>4188</v>
      </c>
      <c r="D1272" t="s">
        <v>12</v>
      </c>
      <c r="E1272" t="s">
        <v>4189</v>
      </c>
      <c r="F1272" t="s">
        <v>14</v>
      </c>
      <c r="G1272" s="1">
        <v>7287.05</v>
      </c>
      <c r="H1272" t="s">
        <v>918</v>
      </c>
      <c r="I1272" t="s">
        <v>4190</v>
      </c>
      <c r="J1272" t="s">
        <v>4191</v>
      </c>
    </row>
    <row r="1273" spans="1:10">
      <c r="A1273">
        <v>119205</v>
      </c>
      <c r="B1273" t="s">
        <v>446</v>
      </c>
      <c r="C1273" t="s">
        <v>4192</v>
      </c>
      <c r="D1273" t="s">
        <v>12</v>
      </c>
      <c r="E1273" t="s">
        <v>4193</v>
      </c>
      <c r="F1273" t="s">
        <v>14</v>
      </c>
      <c r="G1273" s="1">
        <v>7271.82</v>
      </c>
      <c r="H1273" t="s">
        <v>1378</v>
      </c>
      <c r="I1273" t="s">
        <v>4194</v>
      </c>
      <c r="J1273" t="s">
        <v>4195</v>
      </c>
    </row>
    <row r="1274" spans="1:10">
      <c r="A1274">
        <v>119807</v>
      </c>
      <c r="B1274" t="s">
        <v>446</v>
      </c>
      <c r="C1274" t="s">
        <v>4196</v>
      </c>
      <c r="D1274" t="s">
        <v>124</v>
      </c>
      <c r="E1274" t="s">
        <v>4197</v>
      </c>
      <c r="F1274" t="s">
        <v>14</v>
      </c>
      <c r="G1274" s="1">
        <v>7200</v>
      </c>
      <c r="H1274" t="s">
        <v>126</v>
      </c>
      <c r="I1274" t="s">
        <v>156</v>
      </c>
      <c r="J1274" t="s">
        <v>180</v>
      </c>
    </row>
    <row r="1275" spans="1:10">
      <c r="A1275">
        <v>130205</v>
      </c>
      <c r="B1275" t="s">
        <v>446</v>
      </c>
      <c r="C1275" t="s">
        <v>4198</v>
      </c>
      <c r="D1275" t="s">
        <v>124</v>
      </c>
      <c r="E1275" t="s">
        <v>4199</v>
      </c>
      <c r="F1275" t="s">
        <v>14</v>
      </c>
      <c r="G1275" s="1">
        <v>7200</v>
      </c>
      <c r="H1275" t="s">
        <v>1263</v>
      </c>
      <c r="I1275" t="s">
        <v>4200</v>
      </c>
      <c r="J1275" t="s">
        <v>4201</v>
      </c>
    </row>
    <row r="1276" spans="1:10">
      <c r="A1276">
        <v>122300</v>
      </c>
      <c r="B1276" t="s">
        <v>446</v>
      </c>
      <c r="C1276" t="s">
        <v>4202</v>
      </c>
      <c r="D1276" t="s">
        <v>12</v>
      </c>
      <c r="E1276" t="s">
        <v>4203</v>
      </c>
      <c r="F1276" t="s">
        <v>14</v>
      </c>
      <c r="G1276" s="1">
        <v>7193.61</v>
      </c>
      <c r="H1276" t="s">
        <v>1017</v>
      </c>
      <c r="I1276" t="s">
        <v>1943</v>
      </c>
      <c r="J1276" t="s">
        <v>4204</v>
      </c>
    </row>
    <row r="1277" spans="1:10">
      <c r="A1277">
        <v>121140</v>
      </c>
      <c r="B1277" t="s">
        <v>446</v>
      </c>
      <c r="C1277" t="s">
        <v>4205</v>
      </c>
      <c r="D1277" t="s">
        <v>12</v>
      </c>
      <c r="E1277" t="s">
        <v>4206</v>
      </c>
      <c r="F1277" t="s">
        <v>14</v>
      </c>
      <c r="G1277" s="1">
        <v>7167</v>
      </c>
      <c r="H1277" t="s">
        <v>777</v>
      </c>
      <c r="I1277" t="s">
        <v>2021</v>
      </c>
      <c r="J1277" t="s">
        <v>3645</v>
      </c>
    </row>
    <row r="1278" spans="1:10">
      <c r="A1278">
        <v>144926</v>
      </c>
      <c r="B1278" t="s">
        <v>446</v>
      </c>
      <c r="C1278" t="s">
        <v>4207</v>
      </c>
      <c r="D1278" t="s">
        <v>12</v>
      </c>
      <c r="E1278" t="s">
        <v>4208</v>
      </c>
      <c r="F1278" t="s">
        <v>14</v>
      </c>
      <c r="G1278" s="1">
        <v>7150</v>
      </c>
      <c r="H1278" t="s">
        <v>918</v>
      </c>
      <c r="I1278" t="s">
        <v>4209</v>
      </c>
      <c r="J1278" t="s">
        <v>4210</v>
      </c>
    </row>
    <row r="1279" spans="1:10">
      <c r="A1279">
        <v>104339</v>
      </c>
      <c r="B1279" t="s">
        <v>446</v>
      </c>
      <c r="C1279" t="s">
        <v>4211</v>
      </c>
      <c r="D1279" t="s">
        <v>12</v>
      </c>
      <c r="E1279" t="s">
        <v>4212</v>
      </c>
      <c r="F1279" t="s">
        <v>14</v>
      </c>
      <c r="G1279" s="1">
        <v>7143.57</v>
      </c>
      <c r="H1279" t="s">
        <v>232</v>
      </c>
      <c r="I1279" t="s">
        <v>233</v>
      </c>
      <c r="J1279" t="s">
        <v>4213</v>
      </c>
    </row>
    <row r="1280" spans="1:10">
      <c r="A1280">
        <v>151261</v>
      </c>
      <c r="B1280" t="s">
        <v>446</v>
      </c>
      <c r="C1280" t="s">
        <v>4214</v>
      </c>
      <c r="D1280" t="s">
        <v>12</v>
      </c>
      <c r="E1280" t="s">
        <v>4215</v>
      </c>
      <c r="F1280" t="s">
        <v>14</v>
      </c>
      <c r="G1280" s="1">
        <v>7133.68</v>
      </c>
      <c r="H1280" t="s">
        <v>140</v>
      </c>
      <c r="I1280" t="s">
        <v>4216</v>
      </c>
      <c r="J1280" t="s">
        <v>4217</v>
      </c>
    </row>
    <row r="1281" spans="1:10">
      <c r="A1281">
        <v>128283</v>
      </c>
      <c r="B1281" t="s">
        <v>446</v>
      </c>
      <c r="C1281" t="s">
        <v>4218</v>
      </c>
      <c r="D1281" t="s">
        <v>12</v>
      </c>
      <c r="E1281" t="s">
        <v>4219</v>
      </c>
      <c r="F1281" t="s">
        <v>14</v>
      </c>
      <c r="G1281" s="1">
        <v>7100</v>
      </c>
      <c r="H1281" t="s">
        <v>777</v>
      </c>
      <c r="I1281" t="s">
        <v>4220</v>
      </c>
      <c r="J1281" t="s">
        <v>4221</v>
      </c>
    </row>
    <row r="1282" spans="1:10">
      <c r="A1282">
        <v>144712</v>
      </c>
      <c r="B1282" t="s">
        <v>446</v>
      </c>
      <c r="C1282" t="s">
        <v>4222</v>
      </c>
      <c r="D1282" t="s">
        <v>12</v>
      </c>
      <c r="E1282" t="s">
        <v>4223</v>
      </c>
      <c r="F1282" t="s">
        <v>14</v>
      </c>
      <c r="G1282" s="1">
        <v>7066.7</v>
      </c>
      <c r="H1282" t="s">
        <v>1378</v>
      </c>
      <c r="I1282" t="s">
        <v>4194</v>
      </c>
      <c r="J1282" t="s">
        <v>4224</v>
      </c>
    </row>
    <row r="1283" spans="1:10">
      <c r="A1283">
        <v>146294</v>
      </c>
      <c r="B1283" t="s">
        <v>446</v>
      </c>
      <c r="C1283" t="s">
        <v>4225</v>
      </c>
      <c r="D1283" t="s">
        <v>12</v>
      </c>
      <c r="E1283" t="s">
        <v>4226</v>
      </c>
      <c r="F1283" t="s">
        <v>14</v>
      </c>
      <c r="G1283" s="1">
        <v>7048.96</v>
      </c>
      <c r="H1283" t="s">
        <v>36</v>
      </c>
      <c r="I1283" t="s">
        <v>4227</v>
      </c>
      <c r="J1283" t="s">
        <v>4228</v>
      </c>
    </row>
    <row r="1284" spans="1:10">
      <c r="A1284">
        <v>150435</v>
      </c>
      <c r="B1284" t="s">
        <v>446</v>
      </c>
      <c r="C1284" t="s">
        <v>4229</v>
      </c>
      <c r="D1284" t="s">
        <v>12</v>
      </c>
      <c r="E1284" t="s">
        <v>4230</v>
      </c>
      <c r="F1284" t="s">
        <v>14</v>
      </c>
      <c r="G1284" s="1">
        <v>7047.15</v>
      </c>
      <c r="H1284" t="s">
        <v>232</v>
      </c>
      <c r="I1284" t="s">
        <v>2803</v>
      </c>
      <c r="J1284" t="s">
        <v>4231</v>
      </c>
    </row>
    <row r="1285" spans="1:10">
      <c r="A1285">
        <v>111595</v>
      </c>
      <c r="B1285" t="s">
        <v>446</v>
      </c>
      <c r="C1285" t="s">
        <v>4232</v>
      </c>
      <c r="D1285" t="s">
        <v>12</v>
      </c>
      <c r="E1285" t="s">
        <v>4233</v>
      </c>
      <c r="F1285" t="s">
        <v>14</v>
      </c>
      <c r="G1285" s="1">
        <v>7038.04</v>
      </c>
      <c r="H1285" t="s">
        <v>140</v>
      </c>
      <c r="I1285" t="s">
        <v>4234</v>
      </c>
      <c r="J1285" t="s">
        <v>4235</v>
      </c>
    </row>
    <row r="1286" spans="1:10">
      <c r="A1286">
        <v>128253</v>
      </c>
      <c r="B1286" t="s">
        <v>446</v>
      </c>
      <c r="C1286" t="s">
        <v>4236</v>
      </c>
      <c r="D1286" t="s">
        <v>12</v>
      </c>
      <c r="E1286" t="s">
        <v>4237</v>
      </c>
      <c r="F1286" t="s">
        <v>14</v>
      </c>
      <c r="G1286" s="1">
        <v>7025</v>
      </c>
      <c r="H1286" t="s">
        <v>437</v>
      </c>
      <c r="I1286" t="s">
        <v>1868</v>
      </c>
      <c r="J1286" t="s">
        <v>4238</v>
      </c>
    </row>
    <row r="1287" spans="1:10">
      <c r="A1287">
        <v>144856</v>
      </c>
      <c r="B1287" t="s">
        <v>446</v>
      </c>
      <c r="C1287" t="s">
        <v>4239</v>
      </c>
      <c r="D1287" t="s">
        <v>25</v>
      </c>
      <c r="E1287" t="s">
        <v>4240</v>
      </c>
      <c r="F1287" t="s">
        <v>14</v>
      </c>
      <c r="G1287" s="1">
        <v>6992</v>
      </c>
      <c r="H1287" t="s">
        <v>27</v>
      </c>
      <c r="I1287" t="s">
        <v>136</v>
      </c>
      <c r="J1287" t="s">
        <v>4241</v>
      </c>
    </row>
    <row r="1288" spans="1:10">
      <c r="A1288">
        <v>147124</v>
      </c>
      <c r="B1288" t="s">
        <v>446</v>
      </c>
      <c r="C1288" t="s">
        <v>4242</v>
      </c>
      <c r="D1288" t="s">
        <v>12</v>
      </c>
      <c r="E1288" t="s">
        <v>4243</v>
      </c>
      <c r="F1288" t="s">
        <v>14</v>
      </c>
      <c r="G1288" s="1">
        <v>6978</v>
      </c>
      <c r="H1288" t="s">
        <v>140</v>
      </c>
      <c r="I1288" t="s">
        <v>1006</v>
      </c>
      <c r="J1288" t="s">
        <v>4244</v>
      </c>
    </row>
    <row r="1289" spans="1:10">
      <c r="A1289" t="s">
        <v>4245</v>
      </c>
      <c r="B1289" t="s">
        <v>446</v>
      </c>
      <c r="C1289" t="s">
        <v>4246</v>
      </c>
      <c r="D1289" t="s">
        <v>12</v>
      </c>
      <c r="E1289" t="s">
        <v>4247</v>
      </c>
      <c r="F1289" t="s">
        <v>168</v>
      </c>
      <c r="G1289" s="1">
        <v>6972.33</v>
      </c>
      <c r="H1289" t="s">
        <v>1378</v>
      </c>
      <c r="I1289" t="s">
        <v>4248</v>
      </c>
      <c r="J1289" t="s">
        <v>4249</v>
      </c>
    </row>
    <row r="1290" spans="1:10">
      <c r="A1290">
        <v>145954</v>
      </c>
      <c r="B1290" t="s">
        <v>446</v>
      </c>
      <c r="C1290" t="s">
        <v>4250</v>
      </c>
      <c r="D1290" t="s">
        <v>12</v>
      </c>
      <c r="E1290" t="s">
        <v>4251</v>
      </c>
      <c r="F1290" t="s">
        <v>14</v>
      </c>
      <c r="G1290" s="1">
        <v>6931.25</v>
      </c>
      <c r="H1290" t="s">
        <v>140</v>
      </c>
      <c r="I1290" t="s">
        <v>1890</v>
      </c>
      <c r="J1290" t="s">
        <v>1596</v>
      </c>
    </row>
    <row r="1291" spans="1:10">
      <c r="A1291">
        <v>149475</v>
      </c>
      <c r="B1291" t="s">
        <v>446</v>
      </c>
      <c r="C1291" t="s">
        <v>4252</v>
      </c>
      <c r="D1291" t="s">
        <v>12</v>
      </c>
      <c r="E1291" t="s">
        <v>4253</v>
      </c>
      <c r="F1291" t="s">
        <v>14</v>
      </c>
      <c r="G1291" s="1">
        <v>6916.1</v>
      </c>
      <c r="H1291" t="s">
        <v>852</v>
      </c>
      <c r="I1291" t="s">
        <v>4254</v>
      </c>
      <c r="J1291" t="s">
        <v>4255</v>
      </c>
    </row>
    <row r="1292" spans="1:10">
      <c r="A1292">
        <v>150992</v>
      </c>
      <c r="B1292" t="s">
        <v>446</v>
      </c>
      <c r="C1292" t="s">
        <v>4256</v>
      </c>
      <c r="D1292" t="s">
        <v>12</v>
      </c>
      <c r="E1292" t="s">
        <v>4257</v>
      </c>
      <c r="F1292" t="s">
        <v>14</v>
      </c>
      <c r="G1292" s="1">
        <v>6900</v>
      </c>
      <c r="H1292" t="s">
        <v>56</v>
      </c>
      <c r="I1292" t="s">
        <v>4258</v>
      </c>
      <c r="J1292" t="s">
        <v>4259</v>
      </c>
    </row>
    <row r="1293" spans="1:10">
      <c r="A1293" t="s">
        <v>4260</v>
      </c>
      <c r="B1293" t="s">
        <v>446</v>
      </c>
      <c r="C1293" t="s">
        <v>4261</v>
      </c>
      <c r="D1293" t="s">
        <v>12</v>
      </c>
      <c r="E1293" t="s">
        <v>4262</v>
      </c>
      <c r="F1293" t="s">
        <v>168</v>
      </c>
      <c r="G1293" s="1">
        <v>6894.62</v>
      </c>
      <c r="H1293" t="s">
        <v>918</v>
      </c>
      <c r="I1293" t="s">
        <v>4263</v>
      </c>
      <c r="J1293" t="s">
        <v>4264</v>
      </c>
    </row>
    <row r="1294" spans="1:10">
      <c r="A1294">
        <v>144435</v>
      </c>
      <c r="B1294" t="s">
        <v>446</v>
      </c>
      <c r="C1294" t="s">
        <v>4265</v>
      </c>
      <c r="D1294" t="s">
        <v>12</v>
      </c>
      <c r="E1294" t="s">
        <v>4266</v>
      </c>
      <c r="F1294" t="s">
        <v>14</v>
      </c>
      <c r="G1294" s="1">
        <v>6850</v>
      </c>
      <c r="H1294" t="s">
        <v>777</v>
      </c>
      <c r="I1294" t="s">
        <v>4267</v>
      </c>
      <c r="J1294" t="s">
        <v>4268</v>
      </c>
    </row>
    <row r="1295" spans="1:10">
      <c r="A1295">
        <v>142410</v>
      </c>
      <c r="B1295" t="s">
        <v>446</v>
      </c>
      <c r="C1295" t="s">
        <v>4269</v>
      </c>
      <c r="D1295" t="s">
        <v>12</v>
      </c>
      <c r="E1295" t="s">
        <v>4270</v>
      </c>
      <c r="F1295" t="s">
        <v>14</v>
      </c>
      <c r="G1295" s="1">
        <v>6838.36</v>
      </c>
      <c r="H1295" t="s">
        <v>15</v>
      </c>
      <c r="I1295" t="s">
        <v>2291</v>
      </c>
      <c r="J1295" t="s">
        <v>4271</v>
      </c>
    </row>
    <row r="1296" spans="1:10">
      <c r="A1296">
        <v>144894</v>
      </c>
      <c r="B1296" t="s">
        <v>446</v>
      </c>
      <c r="C1296" t="s">
        <v>4272</v>
      </c>
      <c r="D1296" t="s">
        <v>12</v>
      </c>
      <c r="E1296" t="s">
        <v>4273</v>
      </c>
      <c r="F1296" t="s">
        <v>168</v>
      </c>
      <c r="G1296" s="1">
        <v>6813.45</v>
      </c>
      <c r="H1296" t="s">
        <v>777</v>
      </c>
      <c r="I1296" t="s">
        <v>4274</v>
      </c>
      <c r="J1296" t="s">
        <v>4275</v>
      </c>
    </row>
    <row r="1297" spans="1:10">
      <c r="A1297">
        <v>147550</v>
      </c>
      <c r="B1297" t="s">
        <v>446</v>
      </c>
      <c r="C1297" t="s">
        <v>4276</v>
      </c>
      <c r="D1297" t="s">
        <v>12</v>
      </c>
      <c r="E1297" t="s">
        <v>4277</v>
      </c>
      <c r="F1297" t="s">
        <v>14</v>
      </c>
      <c r="G1297" s="1">
        <v>6810.78</v>
      </c>
      <c r="H1297" t="s">
        <v>1917</v>
      </c>
      <c r="I1297" t="s">
        <v>4278</v>
      </c>
      <c r="J1297" t="s">
        <v>4279</v>
      </c>
    </row>
    <row r="1298" spans="1:10">
      <c r="A1298">
        <v>131170</v>
      </c>
      <c r="B1298" t="s">
        <v>446</v>
      </c>
      <c r="C1298" t="s">
        <v>4280</v>
      </c>
      <c r="D1298" t="s">
        <v>2098</v>
      </c>
      <c r="E1298" t="s">
        <v>4281</v>
      </c>
      <c r="F1298" t="s">
        <v>14</v>
      </c>
      <c r="G1298" s="1">
        <v>6801.04</v>
      </c>
      <c r="H1298" t="s">
        <v>140</v>
      </c>
      <c r="I1298" t="s">
        <v>1006</v>
      </c>
      <c r="J1298" t="s">
        <v>4282</v>
      </c>
    </row>
    <row r="1299" spans="1:10">
      <c r="A1299">
        <v>152038</v>
      </c>
      <c r="B1299" t="s">
        <v>446</v>
      </c>
      <c r="C1299" t="s">
        <v>4283</v>
      </c>
      <c r="D1299" t="s">
        <v>12</v>
      </c>
      <c r="E1299" t="s">
        <v>4284</v>
      </c>
      <c r="F1299" t="s">
        <v>14</v>
      </c>
      <c r="G1299" s="1">
        <v>6800</v>
      </c>
      <c r="H1299" t="s">
        <v>918</v>
      </c>
      <c r="I1299" t="s">
        <v>4285</v>
      </c>
      <c r="J1299" t="s">
        <v>4286</v>
      </c>
    </row>
    <row r="1300" spans="1:10">
      <c r="A1300">
        <v>149891</v>
      </c>
      <c r="B1300" t="s">
        <v>446</v>
      </c>
      <c r="C1300" t="s">
        <v>4287</v>
      </c>
      <c r="D1300" t="s">
        <v>12</v>
      </c>
      <c r="E1300" t="s">
        <v>4288</v>
      </c>
      <c r="F1300" t="s">
        <v>14</v>
      </c>
      <c r="G1300" s="1">
        <v>6792.12</v>
      </c>
      <c r="H1300" t="s">
        <v>232</v>
      </c>
      <c r="I1300" t="s">
        <v>4289</v>
      </c>
      <c r="J1300" t="s">
        <v>4290</v>
      </c>
    </row>
    <row r="1301" spans="1:10">
      <c r="A1301">
        <v>105962</v>
      </c>
      <c r="B1301" t="s">
        <v>446</v>
      </c>
      <c r="C1301" t="s">
        <v>4291</v>
      </c>
      <c r="D1301" t="s">
        <v>12</v>
      </c>
      <c r="E1301" t="s">
        <v>4292</v>
      </c>
      <c r="F1301" t="s">
        <v>14</v>
      </c>
      <c r="G1301" s="1">
        <v>6788.22</v>
      </c>
      <c r="H1301" t="s">
        <v>553</v>
      </c>
      <c r="I1301" t="s">
        <v>4293</v>
      </c>
      <c r="J1301" t="s">
        <v>4294</v>
      </c>
    </row>
    <row r="1302" spans="1:10">
      <c r="A1302">
        <v>141595</v>
      </c>
      <c r="B1302" t="s">
        <v>446</v>
      </c>
      <c r="C1302" t="s">
        <v>4295</v>
      </c>
      <c r="D1302" t="s">
        <v>12</v>
      </c>
      <c r="E1302" t="s">
        <v>4296</v>
      </c>
      <c r="F1302" t="s">
        <v>14</v>
      </c>
      <c r="G1302" s="1">
        <v>6772.64</v>
      </c>
      <c r="H1302" t="s">
        <v>15</v>
      </c>
      <c r="I1302" t="s">
        <v>4129</v>
      </c>
      <c r="J1302" t="s">
        <v>4297</v>
      </c>
    </row>
    <row r="1303" spans="1:10">
      <c r="A1303">
        <v>147058</v>
      </c>
      <c r="B1303" t="s">
        <v>446</v>
      </c>
      <c r="C1303" t="s">
        <v>4298</v>
      </c>
      <c r="D1303" t="s">
        <v>12</v>
      </c>
      <c r="E1303" t="s">
        <v>4299</v>
      </c>
      <c r="F1303" t="s">
        <v>14</v>
      </c>
      <c r="G1303" s="1">
        <v>6750</v>
      </c>
      <c r="H1303" t="s">
        <v>95</v>
      </c>
      <c r="I1303" t="s">
        <v>506</v>
      </c>
      <c r="J1303" t="s">
        <v>1522</v>
      </c>
    </row>
    <row r="1304" spans="1:10">
      <c r="A1304">
        <v>128072</v>
      </c>
      <c r="B1304" t="s">
        <v>446</v>
      </c>
      <c r="C1304" t="s">
        <v>4300</v>
      </c>
      <c r="D1304" t="s">
        <v>12</v>
      </c>
      <c r="E1304" t="s">
        <v>4301</v>
      </c>
      <c r="F1304" t="s">
        <v>14</v>
      </c>
      <c r="G1304" s="1">
        <v>6750</v>
      </c>
      <c r="H1304" t="s">
        <v>140</v>
      </c>
      <c r="I1304" t="s">
        <v>1006</v>
      </c>
      <c r="J1304" t="s">
        <v>4302</v>
      </c>
    </row>
    <row r="1305" spans="1:10">
      <c r="A1305">
        <v>108459</v>
      </c>
      <c r="B1305" t="s">
        <v>446</v>
      </c>
      <c r="C1305" t="s">
        <v>4303</v>
      </c>
      <c r="D1305" t="s">
        <v>12</v>
      </c>
      <c r="E1305" t="s">
        <v>4304</v>
      </c>
      <c r="F1305" t="s">
        <v>14</v>
      </c>
      <c r="G1305" s="1">
        <v>6737.25</v>
      </c>
      <c r="H1305" t="s">
        <v>1017</v>
      </c>
      <c r="I1305" t="s">
        <v>1943</v>
      </c>
      <c r="J1305" t="s">
        <v>4305</v>
      </c>
    </row>
    <row r="1306" spans="1:10">
      <c r="A1306">
        <v>122664</v>
      </c>
      <c r="B1306" t="s">
        <v>446</v>
      </c>
      <c r="C1306" t="s">
        <v>4306</v>
      </c>
      <c r="D1306" t="s">
        <v>12</v>
      </c>
      <c r="E1306" t="s">
        <v>4307</v>
      </c>
      <c r="F1306" t="s">
        <v>14</v>
      </c>
      <c r="G1306" s="1">
        <v>6732</v>
      </c>
      <c r="H1306" t="s">
        <v>777</v>
      </c>
      <c r="I1306" t="s">
        <v>4133</v>
      </c>
      <c r="J1306" t="s">
        <v>4308</v>
      </c>
    </row>
    <row r="1307" spans="1:10">
      <c r="A1307">
        <v>144699</v>
      </c>
      <c r="B1307" t="s">
        <v>446</v>
      </c>
      <c r="C1307" t="s">
        <v>4309</v>
      </c>
      <c r="D1307" t="s">
        <v>12</v>
      </c>
      <c r="E1307" t="s">
        <v>4310</v>
      </c>
      <c r="F1307" t="s">
        <v>14</v>
      </c>
      <c r="G1307" s="1">
        <v>6670</v>
      </c>
      <c r="H1307" t="s">
        <v>232</v>
      </c>
      <c r="I1307" t="s">
        <v>2803</v>
      </c>
      <c r="J1307" t="s">
        <v>4311</v>
      </c>
    </row>
    <row r="1308" spans="1:10">
      <c r="A1308">
        <v>148507</v>
      </c>
      <c r="B1308" t="s">
        <v>446</v>
      </c>
      <c r="C1308" t="s">
        <v>4312</v>
      </c>
      <c r="D1308" t="s">
        <v>124</v>
      </c>
      <c r="E1308" t="s">
        <v>4313</v>
      </c>
      <c r="F1308" t="s">
        <v>14</v>
      </c>
      <c r="G1308" s="1">
        <v>6600</v>
      </c>
      <c r="H1308" t="s">
        <v>126</v>
      </c>
      <c r="I1308" t="s">
        <v>156</v>
      </c>
      <c r="J1308" t="s">
        <v>180</v>
      </c>
    </row>
    <row r="1309" spans="1:10">
      <c r="A1309">
        <v>116146</v>
      </c>
      <c r="B1309" t="s">
        <v>446</v>
      </c>
      <c r="C1309" t="s">
        <v>4314</v>
      </c>
      <c r="D1309" t="s">
        <v>124</v>
      </c>
      <c r="E1309" t="s">
        <v>4315</v>
      </c>
      <c r="F1309" t="s">
        <v>14</v>
      </c>
      <c r="G1309" s="1">
        <v>6600</v>
      </c>
      <c r="H1309" t="s">
        <v>126</v>
      </c>
      <c r="I1309" t="s">
        <v>156</v>
      </c>
      <c r="J1309" t="s">
        <v>4316</v>
      </c>
    </row>
    <row r="1310" spans="1:10">
      <c r="A1310">
        <v>127003</v>
      </c>
      <c r="B1310" t="s">
        <v>446</v>
      </c>
      <c r="C1310" t="s">
        <v>4317</v>
      </c>
      <c r="D1310" t="s">
        <v>12</v>
      </c>
      <c r="E1310" t="s">
        <v>4318</v>
      </c>
      <c r="F1310" t="s">
        <v>14</v>
      </c>
      <c r="G1310" s="1">
        <v>6598.7</v>
      </c>
      <c r="H1310" t="s">
        <v>140</v>
      </c>
      <c r="I1310" t="s">
        <v>1704</v>
      </c>
      <c r="J1310" t="s">
        <v>4319</v>
      </c>
    </row>
    <row r="1311" spans="1:10">
      <c r="A1311">
        <v>142047</v>
      </c>
      <c r="B1311" t="s">
        <v>446</v>
      </c>
      <c r="C1311" t="s">
        <v>4320</v>
      </c>
      <c r="D1311" t="s">
        <v>12</v>
      </c>
      <c r="E1311" t="s">
        <v>4321</v>
      </c>
      <c r="F1311" t="s">
        <v>14</v>
      </c>
      <c r="G1311" s="1">
        <v>6540.67</v>
      </c>
      <c r="H1311" t="s">
        <v>1378</v>
      </c>
      <c r="I1311" t="s">
        <v>4194</v>
      </c>
      <c r="J1311" t="s">
        <v>4224</v>
      </c>
    </row>
    <row r="1312" spans="1:10">
      <c r="A1312">
        <v>140827</v>
      </c>
      <c r="B1312" t="s">
        <v>446</v>
      </c>
      <c r="C1312" t="s">
        <v>4322</v>
      </c>
      <c r="D1312" t="s">
        <v>12</v>
      </c>
      <c r="E1312" t="s">
        <v>4323</v>
      </c>
      <c r="F1312" t="s">
        <v>14</v>
      </c>
      <c r="G1312" s="1">
        <v>6510.27</v>
      </c>
      <c r="H1312" t="s">
        <v>36</v>
      </c>
      <c r="I1312" t="s">
        <v>1820</v>
      </c>
      <c r="J1312" t="s">
        <v>4324</v>
      </c>
    </row>
    <row r="1313" spans="1:10">
      <c r="A1313">
        <v>129466</v>
      </c>
      <c r="B1313" t="s">
        <v>446</v>
      </c>
      <c r="C1313" t="s">
        <v>4325</v>
      </c>
      <c r="D1313" t="s">
        <v>12</v>
      </c>
      <c r="E1313" t="s">
        <v>4326</v>
      </c>
      <c r="F1313" t="s">
        <v>14</v>
      </c>
      <c r="G1313" s="1">
        <v>6508</v>
      </c>
      <c r="H1313" t="s">
        <v>27</v>
      </c>
      <c r="I1313" t="s">
        <v>4327</v>
      </c>
      <c r="J1313" t="s">
        <v>4328</v>
      </c>
    </row>
    <row r="1314" spans="1:10">
      <c r="A1314">
        <v>130771</v>
      </c>
      <c r="B1314" t="s">
        <v>446</v>
      </c>
      <c r="C1314" t="s">
        <v>4329</v>
      </c>
      <c r="D1314" t="s">
        <v>12</v>
      </c>
      <c r="E1314" t="s">
        <v>4330</v>
      </c>
      <c r="F1314" t="s">
        <v>14</v>
      </c>
      <c r="G1314" s="1">
        <v>6500</v>
      </c>
      <c r="H1314" t="s">
        <v>777</v>
      </c>
      <c r="I1314" t="s">
        <v>2021</v>
      </c>
      <c r="J1314" t="s">
        <v>4331</v>
      </c>
    </row>
    <row r="1315" spans="1:10">
      <c r="A1315">
        <v>120674</v>
      </c>
      <c r="B1315" t="s">
        <v>446</v>
      </c>
      <c r="C1315" t="s">
        <v>4332</v>
      </c>
      <c r="D1315" t="s">
        <v>12</v>
      </c>
      <c r="E1315" t="s">
        <v>4333</v>
      </c>
      <c r="F1315" t="s">
        <v>14</v>
      </c>
      <c r="G1315" s="1">
        <v>6478.75</v>
      </c>
      <c r="H1315" t="s">
        <v>140</v>
      </c>
      <c r="I1315" t="s">
        <v>4334</v>
      </c>
      <c r="J1315" t="s">
        <v>4335</v>
      </c>
    </row>
    <row r="1316" spans="1:10">
      <c r="A1316">
        <v>151635</v>
      </c>
      <c r="B1316" t="s">
        <v>446</v>
      </c>
      <c r="C1316" t="s">
        <v>4336</v>
      </c>
      <c r="D1316" t="s">
        <v>331</v>
      </c>
      <c r="E1316" t="s">
        <v>4337</v>
      </c>
      <c r="F1316" t="s">
        <v>14</v>
      </c>
      <c r="G1316" s="1">
        <v>6472.5</v>
      </c>
      <c r="H1316" t="s">
        <v>333</v>
      </c>
      <c r="I1316" t="s">
        <v>333</v>
      </c>
      <c r="J1316" t="s">
        <v>4338</v>
      </c>
    </row>
    <row r="1317" spans="1:10">
      <c r="A1317">
        <v>130597</v>
      </c>
      <c r="B1317" t="s">
        <v>446</v>
      </c>
      <c r="C1317" t="s">
        <v>4339</v>
      </c>
      <c r="D1317" t="s">
        <v>12</v>
      </c>
      <c r="E1317" t="s">
        <v>4340</v>
      </c>
      <c r="F1317" t="s">
        <v>14</v>
      </c>
      <c r="G1317" s="1">
        <v>6434.24</v>
      </c>
      <c r="H1317" t="s">
        <v>777</v>
      </c>
      <c r="I1317" t="s">
        <v>2021</v>
      </c>
      <c r="J1317" t="s">
        <v>4341</v>
      </c>
    </row>
    <row r="1318" spans="1:10">
      <c r="A1318">
        <v>114174</v>
      </c>
      <c r="B1318" t="s">
        <v>446</v>
      </c>
      <c r="C1318" t="s">
        <v>4342</v>
      </c>
      <c r="D1318" t="s">
        <v>512</v>
      </c>
      <c r="E1318" t="s">
        <v>4343</v>
      </c>
      <c r="F1318" t="s">
        <v>14</v>
      </c>
      <c r="G1318" s="1">
        <v>6407.09</v>
      </c>
      <c r="H1318" t="s">
        <v>27</v>
      </c>
      <c r="I1318" t="s">
        <v>2860</v>
      </c>
      <c r="J1318" t="s">
        <v>2861</v>
      </c>
    </row>
    <row r="1319" spans="1:10">
      <c r="A1319">
        <v>129938</v>
      </c>
      <c r="B1319" t="s">
        <v>446</v>
      </c>
      <c r="C1319" t="s">
        <v>4344</v>
      </c>
      <c r="D1319" t="s">
        <v>12</v>
      </c>
      <c r="E1319" t="s">
        <v>4345</v>
      </c>
      <c r="F1319" t="s">
        <v>14</v>
      </c>
      <c r="G1319" s="1">
        <v>6401.07</v>
      </c>
      <c r="H1319" t="s">
        <v>499</v>
      </c>
      <c r="I1319" t="s">
        <v>4346</v>
      </c>
      <c r="J1319" t="s">
        <v>4347</v>
      </c>
    </row>
    <row r="1320" spans="1:10">
      <c r="A1320">
        <v>147752</v>
      </c>
      <c r="B1320" t="s">
        <v>446</v>
      </c>
      <c r="C1320" t="s">
        <v>4348</v>
      </c>
      <c r="D1320" t="s">
        <v>12</v>
      </c>
      <c r="E1320" t="s">
        <v>4349</v>
      </c>
      <c r="F1320" t="s">
        <v>14</v>
      </c>
      <c r="G1320" s="1">
        <v>6397.56</v>
      </c>
      <c r="H1320" t="s">
        <v>777</v>
      </c>
      <c r="I1320" t="s">
        <v>4350</v>
      </c>
      <c r="J1320" t="s">
        <v>4351</v>
      </c>
    </row>
    <row r="1321" spans="1:10">
      <c r="A1321">
        <v>152126</v>
      </c>
      <c r="B1321" t="s">
        <v>446</v>
      </c>
      <c r="C1321" t="s">
        <v>4352</v>
      </c>
      <c r="D1321" t="s">
        <v>331</v>
      </c>
      <c r="E1321" t="s">
        <v>4353</v>
      </c>
      <c r="F1321" t="s">
        <v>14</v>
      </c>
      <c r="G1321" s="1">
        <v>6380</v>
      </c>
      <c r="H1321" t="s">
        <v>333</v>
      </c>
      <c r="I1321" t="s">
        <v>334</v>
      </c>
      <c r="J1321" t="s">
        <v>4354</v>
      </c>
    </row>
    <row r="1322" spans="1:10">
      <c r="A1322">
        <v>103086</v>
      </c>
      <c r="B1322" t="s">
        <v>446</v>
      </c>
      <c r="C1322" t="s">
        <v>4355</v>
      </c>
      <c r="D1322" t="s">
        <v>12</v>
      </c>
      <c r="E1322" t="s">
        <v>4356</v>
      </c>
      <c r="F1322" t="s">
        <v>14</v>
      </c>
      <c r="G1322" s="1">
        <v>6374.79</v>
      </c>
      <c r="H1322" t="s">
        <v>131</v>
      </c>
      <c r="I1322" t="s">
        <v>4357</v>
      </c>
      <c r="J1322" t="s">
        <v>4358</v>
      </c>
    </row>
    <row r="1323" spans="1:10">
      <c r="A1323">
        <v>145088</v>
      </c>
      <c r="B1323" t="s">
        <v>446</v>
      </c>
      <c r="C1323" t="s">
        <v>4359</v>
      </c>
      <c r="D1323" t="s">
        <v>12</v>
      </c>
      <c r="E1323" t="s">
        <v>4360</v>
      </c>
      <c r="F1323" t="s">
        <v>14</v>
      </c>
      <c r="G1323" s="1">
        <v>6367.76</v>
      </c>
      <c r="H1323" t="s">
        <v>85</v>
      </c>
      <c r="I1323" t="s">
        <v>4361</v>
      </c>
      <c r="J1323" t="s">
        <v>4362</v>
      </c>
    </row>
    <row r="1324" spans="1:10">
      <c r="A1324">
        <v>145944</v>
      </c>
      <c r="B1324" t="s">
        <v>446</v>
      </c>
      <c r="C1324" t="s">
        <v>4363</v>
      </c>
      <c r="D1324" t="s">
        <v>12</v>
      </c>
      <c r="E1324" t="s">
        <v>4364</v>
      </c>
      <c r="F1324" t="s">
        <v>14</v>
      </c>
      <c r="G1324" s="1">
        <v>6364.97</v>
      </c>
      <c r="H1324" t="s">
        <v>852</v>
      </c>
      <c r="I1324" t="s">
        <v>4365</v>
      </c>
      <c r="J1324" t="s">
        <v>4366</v>
      </c>
    </row>
    <row r="1325" spans="1:10">
      <c r="A1325">
        <v>147436</v>
      </c>
      <c r="B1325" t="s">
        <v>446</v>
      </c>
      <c r="C1325" t="s">
        <v>4367</v>
      </c>
      <c r="D1325" t="s">
        <v>12</v>
      </c>
      <c r="E1325" t="s">
        <v>4368</v>
      </c>
      <c r="F1325" t="s">
        <v>14</v>
      </c>
      <c r="G1325" s="1">
        <v>6340</v>
      </c>
      <c r="H1325" t="s">
        <v>918</v>
      </c>
      <c r="I1325" t="s">
        <v>4263</v>
      </c>
      <c r="J1325" t="s">
        <v>4369</v>
      </c>
    </row>
    <row r="1326" spans="1:10">
      <c r="A1326">
        <v>148821</v>
      </c>
      <c r="B1326" t="s">
        <v>446</v>
      </c>
      <c r="C1326" t="s">
        <v>4370</v>
      </c>
      <c r="D1326" t="s">
        <v>12</v>
      </c>
      <c r="E1326" t="s">
        <v>4371</v>
      </c>
      <c r="F1326" t="s">
        <v>14</v>
      </c>
      <c r="G1326" s="1">
        <v>6314</v>
      </c>
      <c r="H1326" t="s">
        <v>56</v>
      </c>
      <c r="I1326" t="s">
        <v>4372</v>
      </c>
      <c r="J1326" t="s">
        <v>4373</v>
      </c>
    </row>
    <row r="1327" spans="1:10">
      <c r="A1327">
        <v>145589</v>
      </c>
      <c r="B1327" t="s">
        <v>446</v>
      </c>
      <c r="C1327" t="s">
        <v>4374</v>
      </c>
      <c r="D1327" t="s">
        <v>124</v>
      </c>
      <c r="E1327" t="s">
        <v>4375</v>
      </c>
      <c r="F1327" t="s">
        <v>14</v>
      </c>
      <c r="G1327" s="1">
        <v>6288.15</v>
      </c>
      <c r="H1327" t="s">
        <v>126</v>
      </c>
      <c r="I1327" t="s">
        <v>156</v>
      </c>
      <c r="J1327" t="s">
        <v>4376</v>
      </c>
    </row>
    <row r="1328" spans="1:10">
      <c r="A1328">
        <v>145089</v>
      </c>
      <c r="B1328" t="s">
        <v>446</v>
      </c>
      <c r="C1328" t="s">
        <v>4377</v>
      </c>
      <c r="D1328" t="s">
        <v>12</v>
      </c>
      <c r="E1328" t="s">
        <v>4378</v>
      </c>
      <c r="F1328" t="s">
        <v>14</v>
      </c>
      <c r="G1328" s="1">
        <v>6206</v>
      </c>
      <c r="H1328" t="s">
        <v>85</v>
      </c>
      <c r="I1328" t="s">
        <v>4379</v>
      </c>
      <c r="J1328" t="s">
        <v>4380</v>
      </c>
    </row>
    <row r="1329" spans="1:10">
      <c r="A1329">
        <v>146090</v>
      </c>
      <c r="B1329" t="s">
        <v>446</v>
      </c>
      <c r="C1329" t="s">
        <v>4381</v>
      </c>
      <c r="D1329" t="s">
        <v>12</v>
      </c>
      <c r="E1329" t="s">
        <v>4382</v>
      </c>
      <c r="F1329" t="s">
        <v>14</v>
      </c>
      <c r="G1329" s="1">
        <v>6200</v>
      </c>
      <c r="H1329" t="s">
        <v>56</v>
      </c>
      <c r="I1329" t="s">
        <v>4383</v>
      </c>
      <c r="J1329" t="s">
        <v>4384</v>
      </c>
    </row>
    <row r="1330" spans="1:10">
      <c r="A1330">
        <v>122286</v>
      </c>
      <c r="B1330" t="s">
        <v>446</v>
      </c>
      <c r="C1330" t="s">
        <v>4385</v>
      </c>
      <c r="D1330" t="s">
        <v>124</v>
      </c>
      <c r="E1330" t="s">
        <v>4386</v>
      </c>
      <c r="F1330" t="s">
        <v>14</v>
      </c>
      <c r="G1330" s="1">
        <v>6200</v>
      </c>
      <c r="H1330" t="s">
        <v>126</v>
      </c>
      <c r="I1330" t="s">
        <v>156</v>
      </c>
      <c r="J1330" t="s">
        <v>180</v>
      </c>
    </row>
    <row r="1331" spans="1:10">
      <c r="A1331">
        <v>150148</v>
      </c>
      <c r="B1331" t="s">
        <v>446</v>
      </c>
      <c r="C1331" t="s">
        <v>4387</v>
      </c>
      <c r="D1331" t="s">
        <v>12</v>
      </c>
      <c r="E1331" t="s">
        <v>4388</v>
      </c>
      <c r="F1331" t="s">
        <v>14</v>
      </c>
      <c r="G1331" s="1">
        <v>6200</v>
      </c>
      <c r="H1331" t="s">
        <v>140</v>
      </c>
      <c r="I1331" t="s">
        <v>4389</v>
      </c>
      <c r="J1331" t="s">
        <v>4390</v>
      </c>
    </row>
    <row r="1332" spans="1:10">
      <c r="A1332">
        <v>143494</v>
      </c>
      <c r="B1332" t="s">
        <v>446</v>
      </c>
      <c r="C1332" t="s">
        <v>4391</v>
      </c>
      <c r="D1332" t="s">
        <v>12</v>
      </c>
      <c r="E1332" t="s">
        <v>4392</v>
      </c>
      <c r="F1332" t="s">
        <v>14</v>
      </c>
      <c r="G1332" s="1">
        <v>6143.76</v>
      </c>
      <c r="H1332" t="s">
        <v>499</v>
      </c>
      <c r="I1332" t="s">
        <v>4393</v>
      </c>
      <c r="J1332" t="s">
        <v>4394</v>
      </c>
    </row>
    <row r="1333" spans="1:10">
      <c r="A1333">
        <v>149251</v>
      </c>
      <c r="B1333" t="s">
        <v>446</v>
      </c>
      <c r="C1333" t="s">
        <v>4395</v>
      </c>
      <c r="D1333" t="s">
        <v>12</v>
      </c>
      <c r="E1333" t="s">
        <v>4396</v>
      </c>
      <c r="F1333" t="s">
        <v>14</v>
      </c>
      <c r="G1333" s="1">
        <v>6139</v>
      </c>
      <c r="H1333" t="s">
        <v>777</v>
      </c>
      <c r="I1333" t="s">
        <v>2021</v>
      </c>
      <c r="J1333" t="s">
        <v>3262</v>
      </c>
    </row>
    <row r="1334" spans="1:10">
      <c r="A1334">
        <v>129841</v>
      </c>
      <c r="B1334" t="s">
        <v>446</v>
      </c>
      <c r="C1334" t="s">
        <v>4397</v>
      </c>
      <c r="D1334" t="s">
        <v>12</v>
      </c>
      <c r="E1334" t="s">
        <v>4398</v>
      </c>
      <c r="F1334" t="s">
        <v>14</v>
      </c>
      <c r="G1334" s="1">
        <v>6096.64</v>
      </c>
      <c r="H1334" t="s">
        <v>36</v>
      </c>
      <c r="I1334" t="s">
        <v>2563</v>
      </c>
      <c r="J1334" t="s">
        <v>4399</v>
      </c>
    </row>
    <row r="1335" spans="1:10">
      <c r="A1335">
        <v>120988</v>
      </c>
      <c r="B1335" t="s">
        <v>446</v>
      </c>
      <c r="C1335" t="s">
        <v>4400</v>
      </c>
      <c r="D1335" t="s">
        <v>12</v>
      </c>
      <c r="E1335" t="s">
        <v>4401</v>
      </c>
      <c r="F1335" t="s">
        <v>14</v>
      </c>
      <c r="G1335" s="1">
        <v>6080.32</v>
      </c>
      <c r="H1335" t="s">
        <v>85</v>
      </c>
      <c r="I1335" t="s">
        <v>4402</v>
      </c>
      <c r="J1335" t="s">
        <v>4403</v>
      </c>
    </row>
    <row r="1336" spans="1:10">
      <c r="A1336">
        <v>150319</v>
      </c>
      <c r="B1336" t="s">
        <v>446</v>
      </c>
      <c r="C1336" t="s">
        <v>4404</v>
      </c>
      <c r="D1336" t="s">
        <v>12</v>
      </c>
      <c r="E1336" t="s">
        <v>4405</v>
      </c>
      <c r="F1336" t="s">
        <v>14</v>
      </c>
      <c r="G1336" s="1">
        <v>6075</v>
      </c>
      <c r="H1336" t="s">
        <v>918</v>
      </c>
      <c r="I1336" t="s">
        <v>919</v>
      </c>
      <c r="J1336" t="s">
        <v>3668</v>
      </c>
    </row>
    <row r="1337" spans="1:10">
      <c r="A1337">
        <v>102683</v>
      </c>
      <c r="B1337" t="s">
        <v>446</v>
      </c>
      <c r="C1337" t="s">
        <v>4406</v>
      </c>
      <c r="D1337" t="s">
        <v>12</v>
      </c>
      <c r="E1337" t="s">
        <v>4407</v>
      </c>
      <c r="F1337" t="s">
        <v>14</v>
      </c>
      <c r="G1337" s="1">
        <v>6071.14</v>
      </c>
      <c r="H1337" t="s">
        <v>425</v>
      </c>
      <c r="I1337" t="s">
        <v>4408</v>
      </c>
      <c r="J1337" t="s">
        <v>4409</v>
      </c>
    </row>
    <row r="1338" spans="1:10">
      <c r="A1338">
        <v>151322</v>
      </c>
      <c r="B1338" t="s">
        <v>446</v>
      </c>
      <c r="C1338" t="s">
        <v>4410</v>
      </c>
      <c r="D1338" t="s">
        <v>12</v>
      </c>
      <c r="E1338" t="s">
        <v>4411</v>
      </c>
      <c r="F1338" t="s">
        <v>14</v>
      </c>
      <c r="G1338" s="1">
        <v>6067</v>
      </c>
      <c r="H1338" t="s">
        <v>95</v>
      </c>
      <c r="I1338" t="s">
        <v>506</v>
      </c>
      <c r="J1338" t="s">
        <v>1522</v>
      </c>
    </row>
    <row r="1339" spans="1:10">
      <c r="A1339">
        <v>152724</v>
      </c>
      <c r="B1339" t="s">
        <v>446</v>
      </c>
      <c r="C1339" t="s">
        <v>4412</v>
      </c>
      <c r="D1339" t="s">
        <v>12</v>
      </c>
      <c r="E1339" t="s">
        <v>4413</v>
      </c>
      <c r="F1339" t="s">
        <v>14</v>
      </c>
      <c r="G1339" s="1">
        <v>6063.2</v>
      </c>
      <c r="H1339" t="s">
        <v>140</v>
      </c>
      <c r="I1339" t="s">
        <v>1993</v>
      </c>
      <c r="J1339" t="s">
        <v>1994</v>
      </c>
    </row>
    <row r="1340" spans="1:10">
      <c r="A1340">
        <v>106774</v>
      </c>
      <c r="B1340" t="s">
        <v>446</v>
      </c>
      <c r="C1340" t="s">
        <v>4414</v>
      </c>
      <c r="D1340" t="s">
        <v>12</v>
      </c>
      <c r="E1340" t="s">
        <v>4415</v>
      </c>
      <c r="F1340" t="s">
        <v>14</v>
      </c>
      <c r="G1340" s="1">
        <v>6044.37</v>
      </c>
      <c r="H1340" t="s">
        <v>1017</v>
      </c>
      <c r="I1340" t="s">
        <v>4416</v>
      </c>
      <c r="J1340" t="s">
        <v>4417</v>
      </c>
    </row>
    <row r="1341" spans="1:10">
      <c r="A1341">
        <v>131390</v>
      </c>
      <c r="B1341" t="s">
        <v>446</v>
      </c>
      <c r="C1341" t="s">
        <v>4418</v>
      </c>
      <c r="D1341" t="s">
        <v>12</v>
      </c>
      <c r="E1341" t="s">
        <v>4419</v>
      </c>
      <c r="F1341" t="s">
        <v>14</v>
      </c>
      <c r="G1341" s="1">
        <v>6025.93</v>
      </c>
      <c r="H1341" t="s">
        <v>36</v>
      </c>
      <c r="I1341" t="s">
        <v>690</v>
      </c>
      <c r="J1341" t="s">
        <v>4420</v>
      </c>
    </row>
    <row r="1342" spans="1:10">
      <c r="A1342">
        <v>141410</v>
      </c>
      <c r="B1342" t="s">
        <v>446</v>
      </c>
      <c r="C1342" t="s">
        <v>4421</v>
      </c>
      <c r="D1342" t="s">
        <v>12</v>
      </c>
      <c r="E1342" t="s">
        <v>4422</v>
      </c>
      <c r="F1342" t="s">
        <v>14</v>
      </c>
      <c r="G1342" s="1">
        <v>6024.1</v>
      </c>
      <c r="H1342" t="s">
        <v>140</v>
      </c>
      <c r="I1342" t="s">
        <v>3485</v>
      </c>
      <c r="J1342" t="s">
        <v>506</v>
      </c>
    </row>
    <row r="1343" spans="1:10">
      <c r="A1343">
        <v>144828</v>
      </c>
      <c r="B1343" t="s">
        <v>446</v>
      </c>
      <c r="C1343" t="s">
        <v>4423</v>
      </c>
      <c r="D1343" t="s">
        <v>12</v>
      </c>
      <c r="E1343" t="s">
        <v>4424</v>
      </c>
      <c r="F1343" t="s">
        <v>14</v>
      </c>
      <c r="G1343" s="1">
        <v>6021.29</v>
      </c>
      <c r="H1343" t="s">
        <v>1144</v>
      </c>
      <c r="I1343" t="s">
        <v>4425</v>
      </c>
      <c r="J1343" t="s">
        <v>4426</v>
      </c>
    </row>
    <row r="1344" spans="1:10">
      <c r="A1344">
        <v>131166</v>
      </c>
      <c r="B1344" t="s">
        <v>446</v>
      </c>
      <c r="C1344" t="s">
        <v>4427</v>
      </c>
      <c r="D1344" t="s">
        <v>12</v>
      </c>
      <c r="E1344" t="s">
        <v>4428</v>
      </c>
      <c r="F1344" t="s">
        <v>14</v>
      </c>
      <c r="G1344" s="1">
        <v>6016.64</v>
      </c>
      <c r="H1344" t="s">
        <v>499</v>
      </c>
      <c r="I1344" t="s">
        <v>1878</v>
      </c>
      <c r="J1344" t="s">
        <v>4429</v>
      </c>
    </row>
    <row r="1345" spans="1:10">
      <c r="A1345">
        <v>120774</v>
      </c>
      <c r="B1345" t="s">
        <v>446</v>
      </c>
      <c r="C1345" t="s">
        <v>4430</v>
      </c>
      <c r="D1345" t="s">
        <v>124</v>
      </c>
      <c r="E1345" t="s">
        <v>4431</v>
      </c>
      <c r="F1345" t="s">
        <v>14</v>
      </c>
      <c r="G1345" s="1">
        <v>6000</v>
      </c>
      <c r="H1345" t="s">
        <v>126</v>
      </c>
      <c r="I1345" t="s">
        <v>2182</v>
      </c>
      <c r="J1345" t="s">
        <v>4432</v>
      </c>
    </row>
    <row r="1346" spans="1:10">
      <c r="A1346">
        <v>148131</v>
      </c>
      <c r="B1346" t="s">
        <v>446</v>
      </c>
      <c r="C1346" t="s">
        <v>4433</v>
      </c>
      <c r="D1346" t="s">
        <v>124</v>
      </c>
      <c r="E1346" t="s">
        <v>4434</v>
      </c>
      <c r="F1346" t="s">
        <v>14</v>
      </c>
      <c r="G1346" s="1">
        <v>6000</v>
      </c>
      <c r="H1346" t="s">
        <v>126</v>
      </c>
      <c r="I1346" t="s">
        <v>156</v>
      </c>
      <c r="J1346" t="s">
        <v>187</v>
      </c>
    </row>
    <row r="1347" spans="1:10">
      <c r="A1347">
        <v>129787</v>
      </c>
      <c r="B1347" t="s">
        <v>446</v>
      </c>
      <c r="C1347" t="s">
        <v>4435</v>
      </c>
      <c r="D1347" t="s">
        <v>124</v>
      </c>
      <c r="E1347" t="s">
        <v>4436</v>
      </c>
      <c r="F1347" t="s">
        <v>14</v>
      </c>
      <c r="G1347" s="1">
        <v>6000</v>
      </c>
      <c r="H1347" t="s">
        <v>126</v>
      </c>
      <c r="I1347" t="s">
        <v>156</v>
      </c>
      <c r="J1347" t="s">
        <v>180</v>
      </c>
    </row>
    <row r="1348" spans="1:10">
      <c r="A1348">
        <v>151730</v>
      </c>
      <c r="B1348" t="s">
        <v>446</v>
      </c>
      <c r="C1348" t="s">
        <v>4437</v>
      </c>
      <c r="D1348" t="s">
        <v>12</v>
      </c>
      <c r="E1348" t="s">
        <v>4438</v>
      </c>
      <c r="F1348" t="s">
        <v>14</v>
      </c>
      <c r="G1348" s="1">
        <v>6000</v>
      </c>
      <c r="H1348" t="s">
        <v>140</v>
      </c>
      <c r="I1348" t="s">
        <v>284</v>
      </c>
      <c r="J1348" t="s">
        <v>4439</v>
      </c>
    </row>
    <row r="1349" spans="1:10">
      <c r="A1349">
        <v>151519</v>
      </c>
      <c r="B1349" t="s">
        <v>446</v>
      </c>
      <c r="C1349" t="s">
        <v>4440</v>
      </c>
      <c r="D1349" t="s">
        <v>12</v>
      </c>
      <c r="E1349" t="s">
        <v>4441</v>
      </c>
      <c r="F1349" t="s">
        <v>14</v>
      </c>
      <c r="G1349" s="1">
        <v>6000</v>
      </c>
      <c r="H1349" t="s">
        <v>140</v>
      </c>
      <c r="I1349" t="s">
        <v>1993</v>
      </c>
      <c r="J1349" t="s">
        <v>1994</v>
      </c>
    </row>
    <row r="1350" spans="1:10">
      <c r="A1350">
        <v>152363</v>
      </c>
      <c r="B1350" t="s">
        <v>446</v>
      </c>
      <c r="C1350" t="s">
        <v>4442</v>
      </c>
      <c r="D1350" t="s">
        <v>12</v>
      </c>
      <c r="E1350" t="s">
        <v>4443</v>
      </c>
      <c r="F1350" t="s">
        <v>14</v>
      </c>
      <c r="G1350" s="1">
        <v>6000</v>
      </c>
      <c r="H1350" t="s">
        <v>140</v>
      </c>
      <c r="I1350" t="s">
        <v>505</v>
      </c>
      <c r="J1350" t="s">
        <v>506</v>
      </c>
    </row>
    <row r="1351" spans="1:10">
      <c r="A1351">
        <v>110638</v>
      </c>
      <c r="B1351" t="s">
        <v>446</v>
      </c>
      <c r="C1351" t="s">
        <v>4444</v>
      </c>
      <c r="D1351" t="s">
        <v>124</v>
      </c>
      <c r="E1351" t="s">
        <v>4445</v>
      </c>
      <c r="F1351" t="s">
        <v>14</v>
      </c>
      <c r="G1351" s="1">
        <v>6000</v>
      </c>
      <c r="H1351" t="s">
        <v>1263</v>
      </c>
      <c r="I1351" t="s">
        <v>2996</v>
      </c>
      <c r="J1351" t="s">
        <v>4446</v>
      </c>
    </row>
    <row r="1352" spans="1:10">
      <c r="A1352">
        <v>122876</v>
      </c>
      <c r="B1352" t="s">
        <v>446</v>
      </c>
      <c r="C1352" t="s">
        <v>4447</v>
      </c>
      <c r="D1352" t="s">
        <v>512</v>
      </c>
      <c r="E1352" t="s">
        <v>4448</v>
      </c>
      <c r="F1352" t="s">
        <v>14</v>
      </c>
      <c r="G1352" s="1">
        <v>5980.54</v>
      </c>
      <c r="H1352" t="s">
        <v>553</v>
      </c>
      <c r="I1352" t="s">
        <v>1971</v>
      </c>
      <c r="J1352" t="s">
        <v>1972</v>
      </c>
    </row>
    <row r="1353" spans="1:10">
      <c r="A1353">
        <v>123234</v>
      </c>
      <c r="B1353" t="s">
        <v>446</v>
      </c>
      <c r="C1353" t="s">
        <v>4449</v>
      </c>
      <c r="D1353" t="s">
        <v>12</v>
      </c>
      <c r="E1353" t="s">
        <v>4450</v>
      </c>
      <c r="F1353" t="s">
        <v>14</v>
      </c>
      <c r="G1353" s="1">
        <v>5976.01</v>
      </c>
      <c r="H1353" t="s">
        <v>1017</v>
      </c>
      <c r="I1353" t="s">
        <v>3826</v>
      </c>
      <c r="J1353" t="s">
        <v>4451</v>
      </c>
    </row>
    <row r="1354" spans="1:10">
      <c r="A1354">
        <v>141272</v>
      </c>
      <c r="B1354" t="s">
        <v>446</v>
      </c>
      <c r="C1354" t="s">
        <v>4452</v>
      </c>
      <c r="D1354" t="s">
        <v>12</v>
      </c>
      <c r="E1354" t="s">
        <v>4453</v>
      </c>
      <c r="F1354" t="s">
        <v>14</v>
      </c>
      <c r="G1354" s="1">
        <v>5975.52</v>
      </c>
      <c r="H1354" t="s">
        <v>126</v>
      </c>
      <c r="I1354" t="s">
        <v>156</v>
      </c>
      <c r="J1354" t="s">
        <v>180</v>
      </c>
    </row>
    <row r="1355" spans="1:10">
      <c r="A1355">
        <v>119462</v>
      </c>
      <c r="B1355" t="s">
        <v>446</v>
      </c>
      <c r="C1355" t="s">
        <v>4454</v>
      </c>
      <c r="D1355" t="s">
        <v>12</v>
      </c>
      <c r="E1355" t="s">
        <v>4455</v>
      </c>
      <c r="F1355" t="s">
        <v>14</v>
      </c>
      <c r="G1355" s="1">
        <v>5974.54</v>
      </c>
      <c r="H1355" t="s">
        <v>848</v>
      </c>
      <c r="I1355" t="s">
        <v>848</v>
      </c>
      <c r="J1355" t="s">
        <v>4456</v>
      </c>
    </row>
    <row r="1356" spans="1:10">
      <c r="A1356">
        <v>141870</v>
      </c>
      <c r="B1356" t="s">
        <v>446</v>
      </c>
      <c r="C1356" t="s">
        <v>4457</v>
      </c>
      <c r="D1356" t="s">
        <v>12</v>
      </c>
      <c r="E1356" t="s">
        <v>4458</v>
      </c>
      <c r="F1356" t="s">
        <v>14</v>
      </c>
      <c r="G1356" s="1">
        <v>5958.09</v>
      </c>
      <c r="H1356" t="s">
        <v>504</v>
      </c>
      <c r="I1356" t="s">
        <v>4459</v>
      </c>
      <c r="J1356" t="s">
        <v>4460</v>
      </c>
    </row>
    <row r="1357" spans="1:10">
      <c r="A1357">
        <v>150496</v>
      </c>
      <c r="B1357" t="s">
        <v>446</v>
      </c>
      <c r="C1357" t="s">
        <v>4461</v>
      </c>
      <c r="D1357" t="s">
        <v>12</v>
      </c>
      <c r="E1357" t="s">
        <v>4462</v>
      </c>
      <c r="F1357" t="s">
        <v>14</v>
      </c>
      <c r="G1357" s="1">
        <v>5950</v>
      </c>
      <c r="H1357" t="s">
        <v>140</v>
      </c>
      <c r="I1357" t="s">
        <v>1993</v>
      </c>
      <c r="J1357" t="s">
        <v>1994</v>
      </c>
    </row>
    <row r="1358" spans="1:10">
      <c r="A1358" t="s">
        <v>4463</v>
      </c>
      <c r="B1358" t="s">
        <v>446</v>
      </c>
      <c r="C1358" t="s">
        <v>4464</v>
      </c>
      <c r="D1358" t="s">
        <v>12</v>
      </c>
      <c r="E1358" t="s">
        <v>4465</v>
      </c>
      <c r="F1358" t="s">
        <v>168</v>
      </c>
      <c r="G1358" s="1">
        <v>5946.89</v>
      </c>
      <c r="H1358" t="s">
        <v>928</v>
      </c>
      <c r="I1358" t="s">
        <v>4466</v>
      </c>
      <c r="J1358" t="s">
        <v>4467</v>
      </c>
    </row>
    <row r="1359" spans="1:10">
      <c r="A1359">
        <v>114180</v>
      </c>
      <c r="B1359" t="s">
        <v>446</v>
      </c>
      <c r="C1359" t="s">
        <v>4468</v>
      </c>
      <c r="D1359" t="s">
        <v>512</v>
      </c>
      <c r="E1359" t="s">
        <v>4469</v>
      </c>
      <c r="F1359" t="s">
        <v>14</v>
      </c>
      <c r="G1359" s="1">
        <v>5941.94</v>
      </c>
      <c r="H1359" t="s">
        <v>27</v>
      </c>
      <c r="I1359" t="s">
        <v>2860</v>
      </c>
      <c r="J1359" t="s">
        <v>2861</v>
      </c>
    </row>
    <row r="1360" spans="1:10">
      <c r="A1360">
        <v>131020</v>
      </c>
      <c r="B1360" t="s">
        <v>446</v>
      </c>
      <c r="C1360" t="s">
        <v>4470</v>
      </c>
      <c r="D1360" t="s">
        <v>12</v>
      </c>
      <c r="E1360" t="s">
        <v>4471</v>
      </c>
      <c r="F1360" t="s">
        <v>14</v>
      </c>
      <c r="G1360" s="1">
        <v>5916.74</v>
      </c>
      <c r="H1360" t="s">
        <v>21</v>
      </c>
      <c r="I1360" t="s">
        <v>4472</v>
      </c>
      <c r="J1360" t="s">
        <v>4473</v>
      </c>
    </row>
    <row r="1361" spans="1:10">
      <c r="A1361">
        <v>127110</v>
      </c>
      <c r="B1361" t="s">
        <v>446</v>
      </c>
      <c r="C1361" t="s">
        <v>4474</v>
      </c>
      <c r="D1361" t="s">
        <v>2098</v>
      </c>
      <c r="E1361" t="s">
        <v>4475</v>
      </c>
      <c r="F1361" t="s">
        <v>14</v>
      </c>
      <c r="G1361" s="1">
        <v>5896.96</v>
      </c>
      <c r="H1361" t="s">
        <v>375</v>
      </c>
      <c r="I1361" t="s">
        <v>2100</v>
      </c>
      <c r="J1361" t="s">
        <v>4476</v>
      </c>
    </row>
    <row r="1362" spans="1:10">
      <c r="A1362">
        <v>114077</v>
      </c>
      <c r="B1362" t="s">
        <v>446</v>
      </c>
      <c r="C1362" t="s">
        <v>4477</v>
      </c>
      <c r="D1362" t="s">
        <v>12</v>
      </c>
      <c r="E1362" t="s">
        <v>4478</v>
      </c>
      <c r="F1362" t="s">
        <v>14</v>
      </c>
      <c r="G1362" s="1">
        <v>5895</v>
      </c>
      <c r="H1362" t="s">
        <v>918</v>
      </c>
      <c r="I1362" t="s">
        <v>4209</v>
      </c>
      <c r="J1362" t="s">
        <v>4479</v>
      </c>
    </row>
    <row r="1363" spans="1:10">
      <c r="A1363">
        <v>150548</v>
      </c>
      <c r="B1363" t="s">
        <v>446</v>
      </c>
      <c r="C1363" t="s">
        <v>4480</v>
      </c>
      <c r="D1363" t="s">
        <v>12</v>
      </c>
      <c r="E1363" t="s">
        <v>4481</v>
      </c>
      <c r="F1363" t="s">
        <v>14</v>
      </c>
      <c r="G1363" s="1">
        <v>5893.59</v>
      </c>
      <c r="H1363" t="s">
        <v>1017</v>
      </c>
      <c r="I1363" t="s">
        <v>4482</v>
      </c>
      <c r="J1363" t="s">
        <v>4483</v>
      </c>
    </row>
    <row r="1364" spans="1:10">
      <c r="A1364">
        <v>152052</v>
      </c>
      <c r="B1364" t="s">
        <v>446</v>
      </c>
      <c r="C1364" t="s">
        <v>4484</v>
      </c>
      <c r="D1364" t="s">
        <v>12</v>
      </c>
      <c r="E1364" t="s">
        <v>4485</v>
      </c>
      <c r="F1364" t="s">
        <v>14</v>
      </c>
      <c r="G1364" s="1">
        <v>5879</v>
      </c>
      <c r="H1364" t="s">
        <v>140</v>
      </c>
      <c r="I1364" t="s">
        <v>3754</v>
      </c>
      <c r="J1364" t="s">
        <v>4486</v>
      </c>
    </row>
    <row r="1365" spans="1:10">
      <c r="A1365">
        <v>150356</v>
      </c>
      <c r="B1365" t="s">
        <v>446</v>
      </c>
      <c r="C1365" t="s">
        <v>4487</v>
      </c>
      <c r="D1365" t="s">
        <v>12</v>
      </c>
      <c r="E1365" t="s">
        <v>4488</v>
      </c>
      <c r="F1365" t="s">
        <v>14</v>
      </c>
      <c r="G1365" s="1">
        <v>5836.53</v>
      </c>
      <c r="H1365" t="s">
        <v>499</v>
      </c>
      <c r="I1365" t="s">
        <v>4489</v>
      </c>
      <c r="J1365" t="s">
        <v>4490</v>
      </c>
    </row>
    <row r="1366" spans="1:10">
      <c r="A1366">
        <v>125928</v>
      </c>
      <c r="B1366" t="s">
        <v>446</v>
      </c>
      <c r="C1366" t="s">
        <v>4491</v>
      </c>
      <c r="D1366" t="s">
        <v>12</v>
      </c>
      <c r="E1366" t="s">
        <v>4492</v>
      </c>
      <c r="F1366" t="s">
        <v>14</v>
      </c>
      <c r="G1366" s="1">
        <v>5831</v>
      </c>
      <c r="H1366" t="s">
        <v>777</v>
      </c>
      <c r="I1366" t="s">
        <v>2307</v>
      </c>
      <c r="J1366" t="s">
        <v>4493</v>
      </c>
    </row>
    <row r="1367" spans="1:10">
      <c r="A1367">
        <v>126870</v>
      </c>
      <c r="B1367" t="s">
        <v>446</v>
      </c>
      <c r="C1367" t="s">
        <v>4494</v>
      </c>
      <c r="D1367" t="s">
        <v>12</v>
      </c>
      <c r="E1367" t="s">
        <v>4495</v>
      </c>
      <c r="F1367" t="s">
        <v>14</v>
      </c>
      <c r="G1367" s="1">
        <v>5830.01</v>
      </c>
      <c r="H1367" t="s">
        <v>56</v>
      </c>
      <c r="I1367" t="s">
        <v>4496</v>
      </c>
      <c r="J1367" t="s">
        <v>4497</v>
      </c>
    </row>
    <row r="1368" spans="1:10">
      <c r="A1368">
        <v>147617</v>
      </c>
      <c r="B1368" t="s">
        <v>446</v>
      </c>
      <c r="C1368" t="s">
        <v>4498</v>
      </c>
      <c r="D1368" t="s">
        <v>12</v>
      </c>
      <c r="E1368" t="s">
        <v>4499</v>
      </c>
      <c r="F1368" t="s">
        <v>14</v>
      </c>
      <c r="G1368" s="1">
        <v>5830</v>
      </c>
      <c r="H1368" t="s">
        <v>499</v>
      </c>
      <c r="I1368" t="s">
        <v>4500</v>
      </c>
      <c r="J1368" t="s">
        <v>4501</v>
      </c>
    </row>
    <row r="1369" spans="1:10">
      <c r="A1369">
        <v>122246</v>
      </c>
      <c r="B1369" t="s">
        <v>446</v>
      </c>
      <c r="C1369" t="s">
        <v>4502</v>
      </c>
      <c r="D1369" t="s">
        <v>12</v>
      </c>
      <c r="E1369" t="s">
        <v>4503</v>
      </c>
      <c r="F1369" t="s">
        <v>14</v>
      </c>
      <c r="G1369" s="1">
        <v>5819.12</v>
      </c>
      <c r="H1369" t="s">
        <v>36</v>
      </c>
      <c r="I1369" t="s">
        <v>2905</v>
      </c>
      <c r="J1369" t="s">
        <v>4504</v>
      </c>
    </row>
    <row r="1370" spans="1:10">
      <c r="A1370">
        <v>115638</v>
      </c>
      <c r="B1370" t="s">
        <v>446</v>
      </c>
      <c r="C1370" t="s">
        <v>4505</v>
      </c>
      <c r="D1370" t="s">
        <v>12</v>
      </c>
      <c r="E1370" t="s">
        <v>4506</v>
      </c>
      <c r="F1370" t="s">
        <v>14</v>
      </c>
      <c r="G1370" s="1">
        <v>5816.31</v>
      </c>
      <c r="H1370" t="s">
        <v>36</v>
      </c>
      <c r="I1370" t="s">
        <v>2491</v>
      </c>
      <c r="J1370" t="s">
        <v>4507</v>
      </c>
    </row>
    <row r="1371" spans="1:10">
      <c r="A1371">
        <v>130617</v>
      </c>
      <c r="B1371" t="s">
        <v>446</v>
      </c>
      <c r="C1371" t="s">
        <v>4508</v>
      </c>
      <c r="D1371" t="s">
        <v>12</v>
      </c>
      <c r="E1371" t="s">
        <v>4509</v>
      </c>
      <c r="F1371" t="s">
        <v>14</v>
      </c>
      <c r="G1371" s="1">
        <v>5800</v>
      </c>
      <c r="H1371" t="s">
        <v>918</v>
      </c>
      <c r="I1371" t="s">
        <v>3862</v>
      </c>
      <c r="J1371" t="s">
        <v>4510</v>
      </c>
    </row>
    <row r="1372" spans="1:10">
      <c r="A1372">
        <v>140335</v>
      </c>
      <c r="B1372" t="s">
        <v>446</v>
      </c>
      <c r="C1372" t="s">
        <v>4511</v>
      </c>
      <c r="D1372" t="s">
        <v>2098</v>
      </c>
      <c r="E1372" t="s">
        <v>4512</v>
      </c>
      <c r="F1372" t="s">
        <v>14</v>
      </c>
      <c r="G1372" s="1">
        <v>5772.27</v>
      </c>
      <c r="H1372" t="s">
        <v>27</v>
      </c>
      <c r="I1372" t="s">
        <v>4513</v>
      </c>
      <c r="J1372" t="s">
        <v>4514</v>
      </c>
    </row>
    <row r="1373" spans="1:10">
      <c r="A1373">
        <v>114440</v>
      </c>
      <c r="B1373" t="s">
        <v>446</v>
      </c>
      <c r="C1373" t="s">
        <v>4515</v>
      </c>
      <c r="D1373" t="s">
        <v>12</v>
      </c>
      <c r="E1373" t="s">
        <v>4516</v>
      </c>
      <c r="F1373" t="s">
        <v>14</v>
      </c>
      <c r="G1373" s="1">
        <v>5759.54</v>
      </c>
      <c r="H1373" t="s">
        <v>1378</v>
      </c>
      <c r="I1373" t="s">
        <v>1379</v>
      </c>
      <c r="J1373" t="s">
        <v>4517</v>
      </c>
    </row>
    <row r="1374" spans="1:10">
      <c r="A1374">
        <v>140537</v>
      </c>
      <c r="B1374" t="s">
        <v>446</v>
      </c>
      <c r="C1374" t="s">
        <v>4518</v>
      </c>
      <c r="D1374" t="s">
        <v>12</v>
      </c>
      <c r="E1374" t="s">
        <v>4519</v>
      </c>
      <c r="F1374" t="s">
        <v>14</v>
      </c>
      <c r="G1374" s="1">
        <v>5724.92</v>
      </c>
      <c r="H1374" t="s">
        <v>56</v>
      </c>
      <c r="I1374" t="s">
        <v>4520</v>
      </c>
      <c r="J1374" t="s">
        <v>4521</v>
      </c>
    </row>
    <row r="1375" spans="1:10">
      <c r="A1375">
        <v>150320</v>
      </c>
      <c r="B1375" t="s">
        <v>446</v>
      </c>
      <c r="C1375" t="s">
        <v>4522</v>
      </c>
      <c r="D1375" t="s">
        <v>12</v>
      </c>
      <c r="E1375" t="s">
        <v>4523</v>
      </c>
      <c r="F1375" t="s">
        <v>14</v>
      </c>
      <c r="G1375" s="1">
        <v>5678.49</v>
      </c>
      <c r="H1375" t="s">
        <v>232</v>
      </c>
      <c r="I1375" t="s">
        <v>233</v>
      </c>
      <c r="J1375" t="s">
        <v>2255</v>
      </c>
    </row>
    <row r="1376" spans="1:10">
      <c r="A1376">
        <v>151187</v>
      </c>
      <c r="B1376" t="s">
        <v>446</v>
      </c>
      <c r="C1376" t="s">
        <v>4524</v>
      </c>
      <c r="D1376" t="s">
        <v>12</v>
      </c>
      <c r="E1376" t="s">
        <v>4525</v>
      </c>
      <c r="F1376" t="s">
        <v>14</v>
      </c>
      <c r="G1376" s="1">
        <v>5675</v>
      </c>
      <c r="H1376" t="s">
        <v>36</v>
      </c>
      <c r="I1376" t="s">
        <v>4526</v>
      </c>
      <c r="J1376" t="s">
        <v>4527</v>
      </c>
    </row>
    <row r="1377" spans="1:10">
      <c r="A1377">
        <v>147394</v>
      </c>
      <c r="B1377" t="s">
        <v>446</v>
      </c>
      <c r="C1377" t="s">
        <v>4528</v>
      </c>
      <c r="D1377" t="s">
        <v>12</v>
      </c>
      <c r="E1377" t="s">
        <v>4529</v>
      </c>
      <c r="F1377" t="s">
        <v>14</v>
      </c>
      <c r="G1377" s="1">
        <v>5655</v>
      </c>
      <c r="H1377" t="s">
        <v>36</v>
      </c>
      <c r="I1377" t="s">
        <v>4530</v>
      </c>
      <c r="J1377" t="s">
        <v>4531</v>
      </c>
    </row>
    <row r="1378" spans="1:10">
      <c r="A1378">
        <v>127752</v>
      </c>
      <c r="B1378" t="s">
        <v>446</v>
      </c>
      <c r="C1378" t="s">
        <v>4532</v>
      </c>
      <c r="D1378" t="s">
        <v>12</v>
      </c>
      <c r="E1378" t="s">
        <v>4533</v>
      </c>
      <c r="F1378" t="s">
        <v>14</v>
      </c>
      <c r="G1378" s="1">
        <v>5648</v>
      </c>
      <c r="H1378" t="s">
        <v>918</v>
      </c>
      <c r="I1378" t="s">
        <v>4534</v>
      </c>
      <c r="J1378" t="s">
        <v>4535</v>
      </c>
    </row>
    <row r="1379" spans="1:10">
      <c r="A1379">
        <v>149946</v>
      </c>
      <c r="B1379" t="s">
        <v>446</v>
      </c>
      <c r="C1379" t="s">
        <v>4536</v>
      </c>
      <c r="D1379" t="s">
        <v>12</v>
      </c>
      <c r="E1379" t="s">
        <v>4537</v>
      </c>
      <c r="F1379" t="s">
        <v>14</v>
      </c>
      <c r="G1379" s="1">
        <v>5600</v>
      </c>
      <c r="H1379" t="s">
        <v>36</v>
      </c>
      <c r="I1379" t="s">
        <v>4538</v>
      </c>
      <c r="J1379" t="s">
        <v>4539</v>
      </c>
    </row>
    <row r="1380" spans="1:10">
      <c r="A1380">
        <v>151162</v>
      </c>
      <c r="B1380" t="s">
        <v>446</v>
      </c>
      <c r="C1380" t="s">
        <v>4540</v>
      </c>
      <c r="D1380" t="s">
        <v>12</v>
      </c>
      <c r="E1380" t="s">
        <v>4541</v>
      </c>
      <c r="F1380" t="s">
        <v>168</v>
      </c>
      <c r="G1380" s="1">
        <v>5591.55</v>
      </c>
      <c r="H1380" t="s">
        <v>553</v>
      </c>
      <c r="I1380" t="s">
        <v>4542</v>
      </c>
      <c r="J1380" t="s">
        <v>4543</v>
      </c>
    </row>
    <row r="1381" spans="1:10">
      <c r="A1381">
        <v>150017</v>
      </c>
      <c r="B1381" t="s">
        <v>446</v>
      </c>
      <c r="C1381" t="s">
        <v>4544</v>
      </c>
      <c r="D1381" t="s">
        <v>12</v>
      </c>
      <c r="E1381" t="s">
        <v>4545</v>
      </c>
      <c r="F1381" t="s">
        <v>14</v>
      </c>
      <c r="G1381" s="1">
        <v>5586.68</v>
      </c>
      <c r="H1381" t="s">
        <v>777</v>
      </c>
      <c r="I1381" t="s">
        <v>2418</v>
      </c>
      <c r="J1381" t="s">
        <v>4546</v>
      </c>
    </row>
    <row r="1382" spans="1:10">
      <c r="A1382">
        <v>132089</v>
      </c>
      <c r="B1382" t="s">
        <v>446</v>
      </c>
      <c r="C1382" t="s">
        <v>4547</v>
      </c>
      <c r="D1382" t="s">
        <v>12</v>
      </c>
      <c r="E1382" t="s">
        <v>4548</v>
      </c>
      <c r="F1382" t="s">
        <v>14</v>
      </c>
      <c r="G1382" s="1">
        <v>5581</v>
      </c>
      <c r="H1382" t="s">
        <v>1017</v>
      </c>
      <c r="I1382" t="s">
        <v>4549</v>
      </c>
      <c r="J1382" t="s">
        <v>4550</v>
      </c>
    </row>
    <row r="1383" spans="1:10">
      <c r="A1383">
        <v>124038</v>
      </c>
      <c r="B1383" t="s">
        <v>446</v>
      </c>
      <c r="C1383" t="s">
        <v>4551</v>
      </c>
      <c r="D1383" t="s">
        <v>12</v>
      </c>
      <c r="E1383" t="s">
        <v>4552</v>
      </c>
      <c r="F1383" t="s">
        <v>14</v>
      </c>
      <c r="G1383" s="1">
        <v>5570</v>
      </c>
      <c r="H1383" t="s">
        <v>21</v>
      </c>
      <c r="I1383" t="s">
        <v>4553</v>
      </c>
      <c r="J1383" t="s">
        <v>4554</v>
      </c>
    </row>
    <row r="1384" spans="1:10">
      <c r="A1384">
        <v>121863</v>
      </c>
      <c r="B1384" t="s">
        <v>446</v>
      </c>
      <c r="C1384" t="s">
        <v>4555</v>
      </c>
      <c r="D1384" t="s">
        <v>12</v>
      </c>
      <c r="E1384" t="s">
        <v>4556</v>
      </c>
      <c r="F1384" t="s">
        <v>14</v>
      </c>
      <c r="G1384" s="1">
        <v>5561.03</v>
      </c>
      <c r="H1384" t="s">
        <v>36</v>
      </c>
      <c r="I1384" t="s">
        <v>4557</v>
      </c>
      <c r="J1384" t="s">
        <v>4558</v>
      </c>
    </row>
    <row r="1385" spans="1:10">
      <c r="A1385">
        <v>129928</v>
      </c>
      <c r="B1385" t="s">
        <v>446</v>
      </c>
      <c r="C1385" t="s">
        <v>4559</v>
      </c>
      <c r="D1385" t="s">
        <v>12</v>
      </c>
      <c r="E1385" t="s">
        <v>4560</v>
      </c>
      <c r="F1385" t="s">
        <v>14</v>
      </c>
      <c r="G1385" s="1">
        <v>5547.5</v>
      </c>
      <c r="H1385" t="s">
        <v>95</v>
      </c>
      <c r="I1385" t="s">
        <v>506</v>
      </c>
      <c r="J1385" t="s">
        <v>1522</v>
      </c>
    </row>
    <row r="1386" spans="1:10">
      <c r="A1386">
        <v>130347</v>
      </c>
      <c r="B1386" t="s">
        <v>446</v>
      </c>
      <c r="C1386" t="s">
        <v>4561</v>
      </c>
      <c r="D1386" t="s">
        <v>12</v>
      </c>
      <c r="E1386" t="s">
        <v>4562</v>
      </c>
      <c r="F1386" t="s">
        <v>14</v>
      </c>
      <c r="G1386" s="1">
        <v>5507.44</v>
      </c>
      <c r="H1386" t="s">
        <v>140</v>
      </c>
      <c r="I1386" t="s">
        <v>1704</v>
      </c>
      <c r="J1386" t="s">
        <v>4563</v>
      </c>
    </row>
    <row r="1387" spans="1:10">
      <c r="A1387">
        <v>151252</v>
      </c>
      <c r="B1387" t="s">
        <v>446</v>
      </c>
      <c r="C1387" t="s">
        <v>4564</v>
      </c>
      <c r="D1387" t="s">
        <v>12</v>
      </c>
      <c r="E1387" t="s">
        <v>4565</v>
      </c>
      <c r="F1387" t="s">
        <v>14</v>
      </c>
      <c r="G1387" s="1">
        <v>5450</v>
      </c>
      <c r="H1387" t="s">
        <v>140</v>
      </c>
      <c r="I1387" t="s">
        <v>4566</v>
      </c>
      <c r="J1387" t="s">
        <v>4567</v>
      </c>
    </row>
    <row r="1388" spans="1:10">
      <c r="A1388">
        <v>143481</v>
      </c>
      <c r="B1388" t="s">
        <v>446</v>
      </c>
      <c r="C1388" t="s">
        <v>4568</v>
      </c>
      <c r="D1388" t="s">
        <v>12</v>
      </c>
      <c r="E1388" t="s">
        <v>4569</v>
      </c>
      <c r="F1388" t="s">
        <v>14</v>
      </c>
      <c r="G1388" s="1">
        <v>5446.39</v>
      </c>
      <c r="H1388" t="s">
        <v>36</v>
      </c>
      <c r="I1388" t="s">
        <v>2491</v>
      </c>
      <c r="J1388" t="s">
        <v>4570</v>
      </c>
    </row>
    <row r="1389" spans="1:10">
      <c r="A1389">
        <v>147695</v>
      </c>
      <c r="B1389" t="s">
        <v>446</v>
      </c>
      <c r="C1389" t="s">
        <v>4571</v>
      </c>
      <c r="D1389" t="s">
        <v>12</v>
      </c>
      <c r="E1389" t="s">
        <v>4572</v>
      </c>
      <c r="F1389" t="s">
        <v>14</v>
      </c>
      <c r="G1389" s="1">
        <v>5433.95</v>
      </c>
      <c r="H1389" t="s">
        <v>425</v>
      </c>
      <c r="I1389" t="s">
        <v>4573</v>
      </c>
      <c r="J1389" t="s">
        <v>4574</v>
      </c>
    </row>
    <row r="1390" spans="1:10">
      <c r="A1390">
        <v>147851</v>
      </c>
      <c r="B1390" t="s">
        <v>446</v>
      </c>
      <c r="C1390" t="s">
        <v>4575</v>
      </c>
      <c r="D1390" t="s">
        <v>12</v>
      </c>
      <c r="E1390" t="s">
        <v>4576</v>
      </c>
      <c r="F1390" t="s">
        <v>14</v>
      </c>
      <c r="G1390" s="1">
        <v>5419.04</v>
      </c>
      <c r="H1390" t="s">
        <v>777</v>
      </c>
      <c r="I1390" t="s">
        <v>2021</v>
      </c>
      <c r="J1390" t="s">
        <v>3645</v>
      </c>
    </row>
    <row r="1391" spans="1:10">
      <c r="A1391">
        <v>129895</v>
      </c>
      <c r="B1391" t="s">
        <v>446</v>
      </c>
      <c r="C1391" t="s">
        <v>4577</v>
      </c>
      <c r="D1391" t="s">
        <v>12</v>
      </c>
      <c r="E1391" t="s">
        <v>4578</v>
      </c>
      <c r="F1391" t="s">
        <v>14</v>
      </c>
      <c r="G1391" s="1">
        <v>5415.88</v>
      </c>
      <c r="H1391" t="s">
        <v>36</v>
      </c>
      <c r="I1391" t="s">
        <v>4579</v>
      </c>
      <c r="J1391" t="s">
        <v>4580</v>
      </c>
    </row>
    <row r="1392" spans="1:10">
      <c r="A1392">
        <v>112233</v>
      </c>
      <c r="B1392" t="s">
        <v>446</v>
      </c>
      <c r="C1392" t="s">
        <v>4581</v>
      </c>
      <c r="D1392" t="s">
        <v>12</v>
      </c>
      <c r="E1392" t="s">
        <v>4582</v>
      </c>
      <c r="F1392" t="s">
        <v>14</v>
      </c>
      <c r="G1392" s="1">
        <v>5412.96</v>
      </c>
      <c r="H1392" t="s">
        <v>1378</v>
      </c>
      <c r="I1392" t="s">
        <v>1379</v>
      </c>
      <c r="J1392" t="s">
        <v>3220</v>
      </c>
    </row>
    <row r="1393" spans="1:10">
      <c r="A1393">
        <v>119646</v>
      </c>
      <c r="B1393" t="s">
        <v>446</v>
      </c>
      <c r="C1393" t="s">
        <v>4583</v>
      </c>
      <c r="D1393" t="s">
        <v>12</v>
      </c>
      <c r="E1393" t="s">
        <v>4584</v>
      </c>
      <c r="F1393" t="s">
        <v>14</v>
      </c>
      <c r="G1393" s="1">
        <v>5400.41</v>
      </c>
      <c r="H1393" t="s">
        <v>375</v>
      </c>
      <c r="I1393" t="s">
        <v>4585</v>
      </c>
      <c r="J1393" t="s">
        <v>4586</v>
      </c>
    </row>
    <row r="1394" spans="1:10">
      <c r="A1394">
        <v>118652</v>
      </c>
      <c r="B1394" t="s">
        <v>446</v>
      </c>
      <c r="C1394" t="s">
        <v>4587</v>
      </c>
      <c r="D1394" t="s">
        <v>12</v>
      </c>
      <c r="E1394" t="s">
        <v>4588</v>
      </c>
      <c r="F1394" t="s">
        <v>14</v>
      </c>
      <c r="G1394" s="1">
        <v>5400</v>
      </c>
      <c r="H1394" t="s">
        <v>95</v>
      </c>
      <c r="I1394" t="s">
        <v>4589</v>
      </c>
      <c r="J1394" t="s">
        <v>4590</v>
      </c>
    </row>
    <row r="1395" spans="1:10">
      <c r="A1395">
        <v>144899</v>
      </c>
      <c r="B1395" t="s">
        <v>446</v>
      </c>
      <c r="C1395" t="s">
        <v>4591</v>
      </c>
      <c r="D1395" t="s">
        <v>12</v>
      </c>
      <c r="E1395" t="s">
        <v>4592</v>
      </c>
      <c r="F1395" t="s">
        <v>14</v>
      </c>
      <c r="G1395" s="1">
        <v>5376.76</v>
      </c>
      <c r="H1395" t="s">
        <v>36</v>
      </c>
      <c r="I1395" t="s">
        <v>1906</v>
      </c>
      <c r="J1395" t="s">
        <v>2716</v>
      </c>
    </row>
    <row r="1396" spans="1:10">
      <c r="A1396">
        <v>103622</v>
      </c>
      <c r="B1396" t="s">
        <v>446</v>
      </c>
      <c r="C1396" t="s">
        <v>4593</v>
      </c>
      <c r="D1396" t="s">
        <v>12</v>
      </c>
      <c r="E1396" t="s">
        <v>4594</v>
      </c>
      <c r="F1396" t="s">
        <v>14</v>
      </c>
      <c r="G1396" s="1">
        <v>5363.89</v>
      </c>
      <c r="H1396" t="s">
        <v>1017</v>
      </c>
      <c r="I1396" t="s">
        <v>4595</v>
      </c>
      <c r="J1396" t="s">
        <v>4596</v>
      </c>
    </row>
    <row r="1397" spans="1:10">
      <c r="A1397">
        <v>108852</v>
      </c>
      <c r="B1397" t="s">
        <v>446</v>
      </c>
      <c r="C1397" t="s">
        <v>4597</v>
      </c>
      <c r="D1397" t="s">
        <v>12</v>
      </c>
      <c r="E1397" t="s">
        <v>4598</v>
      </c>
      <c r="F1397" t="s">
        <v>14</v>
      </c>
      <c r="G1397" s="1">
        <v>5356.7</v>
      </c>
      <c r="H1397" t="s">
        <v>1017</v>
      </c>
      <c r="I1397" t="s">
        <v>2982</v>
      </c>
      <c r="J1397" t="s">
        <v>4599</v>
      </c>
    </row>
    <row r="1398" spans="1:10">
      <c r="A1398">
        <v>150803</v>
      </c>
      <c r="B1398" t="s">
        <v>446</v>
      </c>
      <c r="C1398" t="s">
        <v>4600</v>
      </c>
      <c r="D1398" t="s">
        <v>12</v>
      </c>
      <c r="E1398" t="s">
        <v>4601</v>
      </c>
      <c r="F1398" t="s">
        <v>14</v>
      </c>
      <c r="G1398" s="1">
        <v>5331.25</v>
      </c>
      <c r="H1398" t="s">
        <v>36</v>
      </c>
      <c r="I1398" t="s">
        <v>3426</v>
      </c>
      <c r="J1398" t="s">
        <v>4602</v>
      </c>
    </row>
    <row r="1399" spans="1:10">
      <c r="A1399">
        <v>151037</v>
      </c>
      <c r="B1399" t="s">
        <v>446</v>
      </c>
      <c r="C1399" t="s">
        <v>4603</v>
      </c>
      <c r="D1399" t="s">
        <v>12</v>
      </c>
      <c r="E1399" t="s">
        <v>4604</v>
      </c>
      <c r="F1399" t="s">
        <v>14</v>
      </c>
      <c r="G1399" s="1">
        <v>5246.14</v>
      </c>
      <c r="H1399" t="s">
        <v>140</v>
      </c>
      <c r="I1399" t="s">
        <v>1890</v>
      </c>
      <c r="J1399" t="s">
        <v>1596</v>
      </c>
    </row>
    <row r="1400" spans="1:10">
      <c r="A1400">
        <v>150416</v>
      </c>
      <c r="B1400" t="s">
        <v>446</v>
      </c>
      <c r="C1400" t="s">
        <v>4605</v>
      </c>
      <c r="D1400" t="s">
        <v>12</v>
      </c>
      <c r="E1400" t="s">
        <v>4606</v>
      </c>
      <c r="F1400" t="s">
        <v>14</v>
      </c>
      <c r="G1400" s="1">
        <v>5219.78</v>
      </c>
      <c r="H1400" t="s">
        <v>140</v>
      </c>
      <c r="I1400" t="s">
        <v>1993</v>
      </c>
      <c r="J1400" t="s">
        <v>1994</v>
      </c>
    </row>
    <row r="1401" spans="1:10">
      <c r="A1401">
        <v>148190</v>
      </c>
      <c r="B1401" t="s">
        <v>446</v>
      </c>
      <c r="C1401" t="s">
        <v>4607</v>
      </c>
      <c r="D1401" t="s">
        <v>12</v>
      </c>
      <c r="E1401" t="s">
        <v>4608</v>
      </c>
      <c r="F1401" t="s">
        <v>14</v>
      </c>
      <c r="G1401" s="1">
        <v>5200</v>
      </c>
      <c r="H1401" t="s">
        <v>56</v>
      </c>
      <c r="I1401" t="s">
        <v>4372</v>
      </c>
      <c r="J1401" t="s">
        <v>4609</v>
      </c>
    </row>
    <row r="1402" spans="1:10">
      <c r="A1402">
        <v>148041</v>
      </c>
      <c r="B1402" t="s">
        <v>446</v>
      </c>
      <c r="C1402" t="s">
        <v>4610</v>
      </c>
      <c r="D1402" t="s">
        <v>12</v>
      </c>
      <c r="E1402" t="s">
        <v>4611</v>
      </c>
      <c r="F1402" t="s">
        <v>14</v>
      </c>
      <c r="G1402" s="1">
        <v>5200</v>
      </c>
      <c r="H1402" t="s">
        <v>140</v>
      </c>
      <c r="I1402" t="s">
        <v>4612</v>
      </c>
      <c r="J1402" t="s">
        <v>4613</v>
      </c>
    </row>
    <row r="1403" spans="1:10">
      <c r="A1403">
        <v>130957</v>
      </c>
      <c r="B1403" t="s">
        <v>446</v>
      </c>
      <c r="C1403" t="s">
        <v>4614</v>
      </c>
      <c r="D1403" t="s">
        <v>12</v>
      </c>
      <c r="E1403" t="s">
        <v>4615</v>
      </c>
      <c r="F1403" t="s">
        <v>14</v>
      </c>
      <c r="G1403" s="1">
        <v>5185.1899999999996</v>
      </c>
      <c r="H1403" t="s">
        <v>56</v>
      </c>
      <c r="I1403" t="s">
        <v>4372</v>
      </c>
      <c r="J1403" t="s">
        <v>4373</v>
      </c>
    </row>
    <row r="1404" spans="1:10">
      <c r="A1404">
        <v>110690</v>
      </c>
      <c r="B1404" t="s">
        <v>446</v>
      </c>
      <c r="C1404" t="s">
        <v>4616</v>
      </c>
      <c r="D1404" t="s">
        <v>512</v>
      </c>
      <c r="E1404" t="s">
        <v>4617</v>
      </c>
      <c r="F1404" t="s">
        <v>14</v>
      </c>
      <c r="G1404" s="1">
        <v>5152.91</v>
      </c>
      <c r="H1404" t="s">
        <v>1017</v>
      </c>
      <c r="I1404" t="s">
        <v>4618</v>
      </c>
      <c r="J1404" t="s">
        <v>4619</v>
      </c>
    </row>
    <row r="1405" spans="1:10">
      <c r="A1405">
        <v>114548</v>
      </c>
      <c r="B1405" t="s">
        <v>446</v>
      </c>
      <c r="C1405" t="s">
        <v>4620</v>
      </c>
      <c r="D1405" t="s">
        <v>12</v>
      </c>
      <c r="E1405" t="s">
        <v>4621</v>
      </c>
      <c r="F1405" t="s">
        <v>14</v>
      </c>
      <c r="G1405" s="1">
        <v>5150</v>
      </c>
      <c r="H1405" t="s">
        <v>777</v>
      </c>
      <c r="I1405" t="s">
        <v>4622</v>
      </c>
      <c r="J1405" t="s">
        <v>4623</v>
      </c>
    </row>
    <row r="1406" spans="1:10">
      <c r="A1406">
        <v>148569</v>
      </c>
      <c r="B1406" t="s">
        <v>446</v>
      </c>
      <c r="C1406" t="s">
        <v>4624</v>
      </c>
      <c r="D1406" t="s">
        <v>12</v>
      </c>
      <c r="E1406" t="s">
        <v>4625</v>
      </c>
      <c r="F1406" t="s">
        <v>14</v>
      </c>
      <c r="G1406" s="1">
        <v>5148</v>
      </c>
      <c r="H1406" t="s">
        <v>85</v>
      </c>
      <c r="I1406" t="s">
        <v>4626</v>
      </c>
      <c r="J1406" t="s">
        <v>4627</v>
      </c>
    </row>
    <row r="1407" spans="1:10">
      <c r="A1407">
        <v>108666</v>
      </c>
      <c r="B1407" t="s">
        <v>446</v>
      </c>
      <c r="C1407" t="s">
        <v>4628</v>
      </c>
      <c r="D1407" t="s">
        <v>12</v>
      </c>
      <c r="E1407" t="s">
        <v>4629</v>
      </c>
      <c r="F1407" t="s">
        <v>14</v>
      </c>
      <c r="G1407" s="1">
        <v>5143.1099999999997</v>
      </c>
      <c r="H1407" t="s">
        <v>140</v>
      </c>
      <c r="I1407" t="s">
        <v>1006</v>
      </c>
      <c r="J1407" t="s">
        <v>4630</v>
      </c>
    </row>
    <row r="1408" spans="1:10">
      <c r="A1408">
        <v>140167</v>
      </c>
      <c r="B1408" t="s">
        <v>446</v>
      </c>
      <c r="C1408" t="s">
        <v>4631</v>
      </c>
      <c r="D1408" t="s">
        <v>12</v>
      </c>
      <c r="E1408" t="s">
        <v>4632</v>
      </c>
      <c r="F1408" t="s">
        <v>14</v>
      </c>
      <c r="G1408" s="1">
        <v>5135.16</v>
      </c>
      <c r="H1408" t="s">
        <v>140</v>
      </c>
      <c r="I1408" t="s">
        <v>1748</v>
      </c>
      <c r="J1408" t="s">
        <v>4633</v>
      </c>
    </row>
    <row r="1409" spans="1:10">
      <c r="A1409">
        <v>150470</v>
      </c>
      <c r="B1409" t="s">
        <v>446</v>
      </c>
      <c r="C1409" t="s">
        <v>4634</v>
      </c>
      <c r="D1409" t="s">
        <v>12</v>
      </c>
      <c r="E1409" t="s">
        <v>4635</v>
      </c>
      <c r="F1409" t="s">
        <v>14</v>
      </c>
      <c r="G1409" s="1">
        <v>5049.33</v>
      </c>
      <c r="H1409" t="s">
        <v>928</v>
      </c>
      <c r="I1409" t="s">
        <v>929</v>
      </c>
      <c r="J1409" t="s">
        <v>4636</v>
      </c>
    </row>
    <row r="1410" spans="1:10">
      <c r="A1410">
        <v>131866</v>
      </c>
      <c r="B1410" t="s">
        <v>446</v>
      </c>
      <c r="C1410" t="s">
        <v>4637</v>
      </c>
      <c r="D1410" t="s">
        <v>12</v>
      </c>
      <c r="E1410" t="s">
        <v>4638</v>
      </c>
      <c r="F1410" t="s">
        <v>14</v>
      </c>
      <c r="G1410" s="1">
        <v>5030.0600000000004</v>
      </c>
      <c r="H1410" t="s">
        <v>56</v>
      </c>
      <c r="I1410" t="s">
        <v>4639</v>
      </c>
      <c r="J1410" t="s">
        <v>4640</v>
      </c>
    </row>
    <row r="1411" spans="1:10">
      <c r="A1411">
        <v>144849</v>
      </c>
      <c r="B1411" t="s">
        <v>446</v>
      </c>
      <c r="C1411" t="s">
        <v>4641</v>
      </c>
      <c r="D1411" t="s">
        <v>12</v>
      </c>
      <c r="E1411" t="s">
        <v>4642</v>
      </c>
      <c r="F1411" t="s">
        <v>14</v>
      </c>
      <c r="G1411" s="1">
        <v>5024.84</v>
      </c>
      <c r="H1411" t="s">
        <v>85</v>
      </c>
      <c r="I1411" t="s">
        <v>4643</v>
      </c>
      <c r="J1411" t="s">
        <v>4644</v>
      </c>
    </row>
    <row r="1412" spans="1:10">
      <c r="A1412">
        <v>150868</v>
      </c>
      <c r="B1412" t="s">
        <v>446</v>
      </c>
      <c r="C1412" t="s">
        <v>4645</v>
      </c>
      <c r="D1412" t="s">
        <v>12</v>
      </c>
      <c r="E1412" t="s">
        <v>4646</v>
      </c>
      <c r="F1412" t="s">
        <v>14</v>
      </c>
      <c r="G1412" s="1">
        <v>5020</v>
      </c>
      <c r="H1412" t="s">
        <v>56</v>
      </c>
      <c r="I1412" t="s">
        <v>4372</v>
      </c>
      <c r="J1412" t="s">
        <v>4647</v>
      </c>
    </row>
    <row r="1413" spans="1:10">
      <c r="A1413">
        <v>150020</v>
      </c>
      <c r="B1413" t="s">
        <v>446</v>
      </c>
      <c r="C1413" t="s">
        <v>4648</v>
      </c>
      <c r="D1413" t="s">
        <v>12</v>
      </c>
      <c r="E1413" t="s">
        <v>4649</v>
      </c>
      <c r="F1413" t="s">
        <v>14</v>
      </c>
      <c r="G1413" s="1">
        <v>5000</v>
      </c>
      <c r="H1413" t="s">
        <v>131</v>
      </c>
      <c r="I1413" t="s">
        <v>4650</v>
      </c>
      <c r="J1413" t="s">
        <v>4651</v>
      </c>
    </row>
    <row r="1414" spans="1:10">
      <c r="A1414">
        <v>151802</v>
      </c>
      <c r="B1414" t="s">
        <v>446</v>
      </c>
      <c r="C1414" t="s">
        <v>4652</v>
      </c>
      <c r="D1414" t="s">
        <v>12</v>
      </c>
      <c r="E1414" t="s">
        <v>4653</v>
      </c>
      <c r="F1414" t="s">
        <v>14</v>
      </c>
      <c r="G1414" s="1">
        <v>5000</v>
      </c>
      <c r="H1414" t="s">
        <v>140</v>
      </c>
      <c r="I1414" t="s">
        <v>1890</v>
      </c>
      <c r="J1414" t="s">
        <v>1596</v>
      </c>
    </row>
    <row r="1415" spans="1:10">
      <c r="A1415">
        <v>150156</v>
      </c>
      <c r="B1415" t="s">
        <v>446</v>
      </c>
      <c r="C1415" t="s">
        <v>4654</v>
      </c>
      <c r="D1415" t="s">
        <v>12</v>
      </c>
      <c r="E1415" t="s">
        <v>4655</v>
      </c>
      <c r="F1415" t="s">
        <v>14</v>
      </c>
      <c r="G1415" s="1">
        <v>5000</v>
      </c>
      <c r="H1415" t="s">
        <v>140</v>
      </c>
      <c r="I1415" t="s">
        <v>3485</v>
      </c>
      <c r="J1415" t="s">
        <v>506</v>
      </c>
    </row>
    <row r="1416" spans="1:10">
      <c r="A1416">
        <v>152296</v>
      </c>
      <c r="B1416" t="s">
        <v>446</v>
      </c>
      <c r="C1416" t="s">
        <v>4656</v>
      </c>
      <c r="D1416" t="s">
        <v>12</v>
      </c>
      <c r="E1416" t="s">
        <v>4657</v>
      </c>
      <c r="F1416" t="s">
        <v>14</v>
      </c>
      <c r="G1416" s="1">
        <v>5000</v>
      </c>
      <c r="H1416" t="s">
        <v>85</v>
      </c>
      <c r="I1416" t="s">
        <v>258</v>
      </c>
      <c r="J1416" t="s">
        <v>4658</v>
      </c>
    </row>
    <row r="1417" spans="1:10">
      <c r="A1417">
        <v>149688</v>
      </c>
      <c r="B1417" t="s">
        <v>446</v>
      </c>
      <c r="C1417" t="s">
        <v>4659</v>
      </c>
      <c r="D1417" t="s">
        <v>12</v>
      </c>
      <c r="E1417" t="s">
        <v>4660</v>
      </c>
      <c r="F1417" t="s">
        <v>14</v>
      </c>
      <c r="G1417" s="1">
        <v>5000</v>
      </c>
      <c r="H1417" t="s">
        <v>333</v>
      </c>
      <c r="I1417" t="s">
        <v>1756</v>
      </c>
      <c r="J1417" t="s">
        <v>4661</v>
      </c>
    </row>
    <row r="1418" spans="1:10">
      <c r="A1418">
        <v>151068</v>
      </c>
      <c r="B1418" t="s">
        <v>446</v>
      </c>
      <c r="C1418" t="s">
        <v>4662</v>
      </c>
      <c r="D1418" t="s">
        <v>12</v>
      </c>
      <c r="E1418" t="s">
        <v>4663</v>
      </c>
      <c r="F1418" t="s">
        <v>14</v>
      </c>
      <c r="G1418" s="1">
        <v>5000</v>
      </c>
      <c r="H1418" t="s">
        <v>852</v>
      </c>
      <c r="I1418" t="s">
        <v>4664</v>
      </c>
      <c r="J1418" t="s">
        <v>4665</v>
      </c>
    </row>
    <row r="1419" spans="1:10">
      <c r="A1419">
        <v>152053</v>
      </c>
      <c r="B1419" t="s">
        <v>446</v>
      </c>
      <c r="C1419" t="s">
        <v>4666</v>
      </c>
      <c r="D1419" t="s">
        <v>12</v>
      </c>
      <c r="E1419" t="s">
        <v>4667</v>
      </c>
      <c r="F1419" t="s">
        <v>14</v>
      </c>
      <c r="G1419" s="1">
        <v>5000</v>
      </c>
      <c r="H1419" t="s">
        <v>425</v>
      </c>
      <c r="I1419" t="s">
        <v>4402</v>
      </c>
      <c r="J1419" t="s">
        <v>4668</v>
      </c>
    </row>
    <row r="1420" spans="1:10">
      <c r="A1420">
        <v>152124</v>
      </c>
      <c r="B1420" t="s">
        <v>446</v>
      </c>
      <c r="C1420" t="s">
        <v>4669</v>
      </c>
      <c r="D1420" t="s">
        <v>12</v>
      </c>
      <c r="E1420" t="s">
        <v>4670</v>
      </c>
      <c r="F1420" t="s">
        <v>14</v>
      </c>
      <c r="G1420" s="1">
        <v>5000</v>
      </c>
      <c r="H1420" t="s">
        <v>95</v>
      </c>
      <c r="I1420" t="s">
        <v>506</v>
      </c>
      <c r="J1420" t="s">
        <v>1522</v>
      </c>
    </row>
    <row r="1421" spans="1:10">
      <c r="A1421">
        <v>149164</v>
      </c>
      <c r="B1421" t="s">
        <v>446</v>
      </c>
      <c r="C1421" t="s">
        <v>4671</v>
      </c>
      <c r="D1421" t="s">
        <v>12</v>
      </c>
      <c r="E1421" t="s">
        <v>4672</v>
      </c>
      <c r="F1421" t="s">
        <v>14</v>
      </c>
      <c r="G1421" s="1">
        <v>4995</v>
      </c>
      <c r="H1421" t="s">
        <v>777</v>
      </c>
      <c r="I1421" t="s">
        <v>2307</v>
      </c>
      <c r="J1421" t="s">
        <v>4673</v>
      </c>
    </row>
    <row r="1422" spans="1:10">
      <c r="A1422">
        <v>151099</v>
      </c>
      <c r="B1422" t="s">
        <v>446</v>
      </c>
      <c r="C1422" t="s">
        <v>4674</v>
      </c>
      <c r="D1422" t="s">
        <v>12</v>
      </c>
      <c r="E1422" t="s">
        <v>4675</v>
      </c>
      <c r="F1422" t="s">
        <v>14</v>
      </c>
      <c r="G1422" s="1">
        <v>4991.4799999999996</v>
      </c>
      <c r="H1422" t="s">
        <v>140</v>
      </c>
      <c r="I1422" t="s">
        <v>4676</v>
      </c>
      <c r="J1422" t="s">
        <v>4677</v>
      </c>
    </row>
    <row r="1423" spans="1:10">
      <c r="A1423">
        <v>151625</v>
      </c>
      <c r="B1423" t="s">
        <v>446</v>
      </c>
      <c r="C1423" t="s">
        <v>4678</v>
      </c>
      <c r="D1423" t="s">
        <v>331</v>
      </c>
      <c r="E1423" t="s">
        <v>4679</v>
      </c>
      <c r="F1423" t="s">
        <v>14</v>
      </c>
      <c r="G1423" s="1">
        <v>4987.8599999999997</v>
      </c>
      <c r="H1423" t="s">
        <v>333</v>
      </c>
      <c r="I1423" t="s">
        <v>333</v>
      </c>
      <c r="J1423" t="s">
        <v>2746</v>
      </c>
    </row>
    <row r="1424" spans="1:10">
      <c r="A1424">
        <v>144934</v>
      </c>
      <c r="B1424" t="s">
        <v>446</v>
      </c>
      <c r="C1424" t="s">
        <v>4680</v>
      </c>
      <c r="D1424" t="s">
        <v>12</v>
      </c>
      <c r="E1424" t="s">
        <v>4681</v>
      </c>
      <c r="F1424" t="s">
        <v>14</v>
      </c>
      <c r="G1424" s="1">
        <v>4981.8999999999996</v>
      </c>
      <c r="H1424" t="s">
        <v>36</v>
      </c>
      <c r="I1424" t="s">
        <v>4682</v>
      </c>
      <c r="J1424" t="s">
        <v>4683</v>
      </c>
    </row>
    <row r="1425" spans="1:10">
      <c r="A1425">
        <v>150368</v>
      </c>
      <c r="B1425" t="s">
        <v>446</v>
      </c>
      <c r="C1425" t="s">
        <v>4684</v>
      </c>
      <c r="D1425" t="s">
        <v>12</v>
      </c>
      <c r="E1425" t="s">
        <v>4685</v>
      </c>
      <c r="F1425" t="s">
        <v>14</v>
      </c>
      <c r="G1425" s="1">
        <v>4970</v>
      </c>
      <c r="H1425" t="s">
        <v>425</v>
      </c>
      <c r="I1425" t="s">
        <v>4686</v>
      </c>
      <c r="J1425" t="s">
        <v>4687</v>
      </c>
    </row>
    <row r="1426" spans="1:10">
      <c r="A1426">
        <v>100321</v>
      </c>
      <c r="B1426" t="s">
        <v>446</v>
      </c>
      <c r="C1426" t="s">
        <v>1810</v>
      </c>
      <c r="D1426" t="s">
        <v>12</v>
      </c>
      <c r="E1426" t="s">
        <v>4688</v>
      </c>
      <c r="F1426" t="s">
        <v>14</v>
      </c>
      <c r="G1426" s="1">
        <v>4968.71</v>
      </c>
      <c r="H1426" t="s">
        <v>232</v>
      </c>
      <c r="I1426" t="s">
        <v>1812</v>
      </c>
      <c r="J1426" t="s">
        <v>1813</v>
      </c>
    </row>
    <row r="1427" spans="1:10">
      <c r="A1427">
        <v>114140</v>
      </c>
      <c r="B1427" t="s">
        <v>446</v>
      </c>
      <c r="C1427" t="s">
        <v>4689</v>
      </c>
      <c r="D1427" t="s">
        <v>331</v>
      </c>
      <c r="E1427" t="s">
        <v>4690</v>
      </c>
      <c r="F1427" t="s">
        <v>14</v>
      </c>
      <c r="G1427" s="1">
        <v>4954.57</v>
      </c>
      <c r="H1427" t="s">
        <v>333</v>
      </c>
      <c r="I1427" t="s">
        <v>333</v>
      </c>
      <c r="J1427" t="s">
        <v>4691</v>
      </c>
    </row>
    <row r="1428" spans="1:10">
      <c r="A1428">
        <v>149431</v>
      </c>
      <c r="B1428" t="s">
        <v>446</v>
      </c>
      <c r="C1428" t="s">
        <v>4692</v>
      </c>
      <c r="D1428" t="s">
        <v>12</v>
      </c>
      <c r="E1428" t="s">
        <v>4693</v>
      </c>
      <c r="F1428" t="s">
        <v>14</v>
      </c>
      <c r="G1428" s="1">
        <v>4940.2299999999996</v>
      </c>
      <c r="H1428" t="s">
        <v>1378</v>
      </c>
      <c r="I1428" t="s">
        <v>2295</v>
      </c>
      <c r="J1428" t="s">
        <v>4694</v>
      </c>
    </row>
    <row r="1429" spans="1:10">
      <c r="A1429">
        <v>101737</v>
      </c>
      <c r="B1429" t="s">
        <v>446</v>
      </c>
      <c r="C1429" t="s">
        <v>4695</v>
      </c>
      <c r="D1429" t="s">
        <v>12</v>
      </c>
      <c r="E1429" t="s">
        <v>4696</v>
      </c>
      <c r="F1429" t="s">
        <v>14</v>
      </c>
      <c r="G1429" s="1">
        <v>4925</v>
      </c>
      <c r="H1429" t="s">
        <v>27</v>
      </c>
      <c r="I1429" t="s">
        <v>4697</v>
      </c>
      <c r="J1429" t="s">
        <v>4698</v>
      </c>
    </row>
    <row r="1430" spans="1:10">
      <c r="A1430">
        <v>146584</v>
      </c>
      <c r="B1430" t="s">
        <v>446</v>
      </c>
      <c r="C1430" t="s">
        <v>4699</v>
      </c>
      <c r="D1430" t="s">
        <v>12</v>
      </c>
      <c r="E1430" t="s">
        <v>4700</v>
      </c>
      <c r="F1430" t="s">
        <v>14</v>
      </c>
      <c r="G1430" s="1">
        <v>4924.28</v>
      </c>
      <c r="H1430" t="s">
        <v>553</v>
      </c>
      <c r="I1430" t="s">
        <v>4701</v>
      </c>
      <c r="J1430" t="s">
        <v>4702</v>
      </c>
    </row>
    <row r="1431" spans="1:10">
      <c r="A1431">
        <v>149947</v>
      </c>
      <c r="B1431" t="s">
        <v>446</v>
      </c>
      <c r="C1431" t="s">
        <v>4703</v>
      </c>
      <c r="D1431" t="s">
        <v>12</v>
      </c>
      <c r="E1431" t="s">
        <v>4704</v>
      </c>
      <c r="F1431" t="s">
        <v>14</v>
      </c>
      <c r="G1431" s="1">
        <v>4910</v>
      </c>
      <c r="H1431" t="s">
        <v>140</v>
      </c>
      <c r="I1431" t="s">
        <v>1748</v>
      </c>
      <c r="J1431" t="s">
        <v>4705</v>
      </c>
    </row>
    <row r="1432" spans="1:10">
      <c r="A1432">
        <v>146633</v>
      </c>
      <c r="B1432" t="s">
        <v>446</v>
      </c>
      <c r="C1432" t="s">
        <v>4706</v>
      </c>
      <c r="D1432" t="s">
        <v>12</v>
      </c>
      <c r="E1432" t="s">
        <v>4707</v>
      </c>
      <c r="F1432" t="s">
        <v>14</v>
      </c>
      <c r="G1432" s="1">
        <v>4900</v>
      </c>
      <c r="H1432" t="s">
        <v>928</v>
      </c>
      <c r="I1432" t="s">
        <v>929</v>
      </c>
      <c r="J1432" t="s">
        <v>4708</v>
      </c>
    </row>
    <row r="1433" spans="1:10">
      <c r="A1433">
        <v>150318</v>
      </c>
      <c r="B1433" t="s">
        <v>446</v>
      </c>
      <c r="C1433" t="s">
        <v>4709</v>
      </c>
      <c r="D1433" t="s">
        <v>12</v>
      </c>
      <c r="E1433" t="s">
        <v>4710</v>
      </c>
      <c r="F1433" t="s">
        <v>14</v>
      </c>
      <c r="G1433" s="1">
        <v>4880.71</v>
      </c>
      <c r="H1433" t="s">
        <v>232</v>
      </c>
      <c r="I1433" t="s">
        <v>233</v>
      </c>
      <c r="J1433" t="s">
        <v>3151</v>
      </c>
    </row>
    <row r="1434" spans="1:10">
      <c r="A1434">
        <v>111801</v>
      </c>
      <c r="B1434" t="s">
        <v>446</v>
      </c>
      <c r="C1434" t="s">
        <v>4711</v>
      </c>
      <c r="D1434" t="s">
        <v>12</v>
      </c>
      <c r="E1434" t="s">
        <v>4712</v>
      </c>
      <c r="F1434" t="s">
        <v>14</v>
      </c>
      <c r="G1434" s="1">
        <v>4878</v>
      </c>
      <c r="H1434" t="s">
        <v>425</v>
      </c>
      <c r="I1434" t="s">
        <v>4713</v>
      </c>
      <c r="J1434" t="s">
        <v>4714</v>
      </c>
    </row>
    <row r="1435" spans="1:10">
      <c r="A1435" t="s">
        <v>4715</v>
      </c>
      <c r="B1435" t="s">
        <v>446</v>
      </c>
      <c r="C1435" t="s">
        <v>4716</v>
      </c>
      <c r="D1435" t="s">
        <v>12</v>
      </c>
      <c r="E1435" t="s">
        <v>4717</v>
      </c>
      <c r="F1435" t="s">
        <v>168</v>
      </c>
      <c r="G1435" s="1">
        <v>4837.9799999999996</v>
      </c>
      <c r="H1435" t="s">
        <v>36</v>
      </c>
      <c r="I1435" t="s">
        <v>2491</v>
      </c>
      <c r="J1435" t="s">
        <v>4718</v>
      </c>
    </row>
    <row r="1436" spans="1:10">
      <c r="A1436">
        <v>120794</v>
      </c>
      <c r="B1436" t="s">
        <v>446</v>
      </c>
      <c r="C1436" t="s">
        <v>4719</v>
      </c>
      <c r="D1436" t="s">
        <v>12</v>
      </c>
      <c r="E1436" t="s">
        <v>4720</v>
      </c>
      <c r="F1436" t="s">
        <v>14</v>
      </c>
      <c r="G1436" s="1">
        <v>4807</v>
      </c>
      <c r="H1436" t="s">
        <v>777</v>
      </c>
      <c r="I1436" t="s">
        <v>4721</v>
      </c>
      <c r="J1436" t="s">
        <v>4722</v>
      </c>
    </row>
    <row r="1437" spans="1:10">
      <c r="A1437">
        <v>110636</v>
      </c>
      <c r="B1437" t="s">
        <v>446</v>
      </c>
      <c r="C1437" t="s">
        <v>4723</v>
      </c>
      <c r="D1437" t="s">
        <v>124</v>
      </c>
      <c r="E1437" t="s">
        <v>4724</v>
      </c>
      <c r="F1437" t="s">
        <v>14</v>
      </c>
      <c r="G1437" s="1">
        <v>4800</v>
      </c>
      <c r="H1437" t="s">
        <v>126</v>
      </c>
      <c r="I1437" t="s">
        <v>156</v>
      </c>
      <c r="J1437" t="s">
        <v>4725</v>
      </c>
    </row>
    <row r="1438" spans="1:10">
      <c r="A1438">
        <v>102665</v>
      </c>
      <c r="B1438" t="s">
        <v>446</v>
      </c>
      <c r="C1438" t="s">
        <v>4726</v>
      </c>
      <c r="D1438" t="s">
        <v>124</v>
      </c>
      <c r="E1438" t="s">
        <v>4727</v>
      </c>
      <c r="F1438" t="s">
        <v>14</v>
      </c>
      <c r="G1438" s="1">
        <v>4800</v>
      </c>
      <c r="H1438" t="s">
        <v>504</v>
      </c>
      <c r="I1438" t="s">
        <v>1890</v>
      </c>
      <c r="J1438" t="s">
        <v>1596</v>
      </c>
    </row>
    <row r="1439" spans="1:10">
      <c r="A1439">
        <v>117331</v>
      </c>
      <c r="B1439" t="s">
        <v>446</v>
      </c>
      <c r="C1439" t="s">
        <v>4728</v>
      </c>
      <c r="D1439" t="s">
        <v>12</v>
      </c>
      <c r="E1439" t="s">
        <v>4729</v>
      </c>
      <c r="F1439" t="s">
        <v>14</v>
      </c>
      <c r="G1439" s="1">
        <v>4800</v>
      </c>
      <c r="H1439" t="s">
        <v>95</v>
      </c>
      <c r="I1439" t="s">
        <v>506</v>
      </c>
      <c r="J1439" t="s">
        <v>1522</v>
      </c>
    </row>
    <row r="1440" spans="1:10">
      <c r="A1440">
        <v>131039</v>
      </c>
      <c r="B1440" t="s">
        <v>446</v>
      </c>
      <c r="C1440" t="s">
        <v>4730</v>
      </c>
      <c r="D1440" t="s">
        <v>12</v>
      </c>
      <c r="E1440" t="s">
        <v>4731</v>
      </c>
      <c r="F1440" t="s">
        <v>14</v>
      </c>
      <c r="G1440" s="1">
        <v>4800</v>
      </c>
      <c r="H1440" t="s">
        <v>777</v>
      </c>
      <c r="I1440" t="s">
        <v>4133</v>
      </c>
      <c r="J1440" t="s">
        <v>4308</v>
      </c>
    </row>
    <row r="1441" spans="1:10">
      <c r="A1441">
        <v>103593</v>
      </c>
      <c r="B1441" t="s">
        <v>446</v>
      </c>
      <c r="C1441" t="s">
        <v>4732</v>
      </c>
      <c r="D1441" t="s">
        <v>12</v>
      </c>
      <c r="E1441" t="s">
        <v>4733</v>
      </c>
      <c r="F1441" t="s">
        <v>14</v>
      </c>
      <c r="G1441" s="1">
        <v>4796</v>
      </c>
      <c r="H1441" t="s">
        <v>95</v>
      </c>
      <c r="I1441" t="s">
        <v>506</v>
      </c>
      <c r="J1441" t="s">
        <v>1522</v>
      </c>
    </row>
    <row r="1442" spans="1:10">
      <c r="A1442">
        <v>140272</v>
      </c>
      <c r="B1442" t="s">
        <v>446</v>
      </c>
      <c r="C1442" t="s">
        <v>4734</v>
      </c>
      <c r="D1442" t="s">
        <v>12</v>
      </c>
      <c r="E1442" t="s">
        <v>4735</v>
      </c>
      <c r="F1442" t="s">
        <v>14</v>
      </c>
      <c r="G1442" s="1">
        <v>4786.3</v>
      </c>
      <c r="H1442" t="s">
        <v>140</v>
      </c>
      <c r="I1442" t="s">
        <v>4736</v>
      </c>
      <c r="J1442" t="s">
        <v>4737</v>
      </c>
    </row>
    <row r="1443" spans="1:10">
      <c r="A1443">
        <v>120982</v>
      </c>
      <c r="B1443" t="s">
        <v>446</v>
      </c>
      <c r="C1443" t="s">
        <v>4738</v>
      </c>
      <c r="D1443" t="s">
        <v>12</v>
      </c>
      <c r="E1443" t="s">
        <v>4739</v>
      </c>
      <c r="F1443" t="s">
        <v>14</v>
      </c>
      <c r="G1443" s="1">
        <v>4771</v>
      </c>
      <c r="H1443" t="s">
        <v>777</v>
      </c>
      <c r="I1443" t="s">
        <v>4740</v>
      </c>
      <c r="J1443" t="s">
        <v>4741</v>
      </c>
    </row>
    <row r="1444" spans="1:10">
      <c r="A1444">
        <v>100790</v>
      </c>
      <c r="B1444" t="s">
        <v>446</v>
      </c>
      <c r="C1444" t="s">
        <v>4742</v>
      </c>
      <c r="D1444" t="s">
        <v>2098</v>
      </c>
      <c r="E1444" t="s">
        <v>4743</v>
      </c>
      <c r="F1444" t="s">
        <v>14</v>
      </c>
      <c r="G1444" s="1">
        <v>4769.88</v>
      </c>
      <c r="H1444" t="s">
        <v>126</v>
      </c>
      <c r="I1444" t="s">
        <v>156</v>
      </c>
      <c r="J1444" t="s">
        <v>180</v>
      </c>
    </row>
    <row r="1445" spans="1:10">
      <c r="A1445">
        <v>130333</v>
      </c>
      <c r="B1445" t="s">
        <v>446</v>
      </c>
      <c r="C1445" t="s">
        <v>4744</v>
      </c>
      <c r="D1445" t="s">
        <v>12</v>
      </c>
      <c r="E1445" t="s">
        <v>4745</v>
      </c>
      <c r="F1445" t="s">
        <v>14</v>
      </c>
      <c r="G1445" s="1">
        <v>4759.92</v>
      </c>
      <c r="H1445" t="s">
        <v>777</v>
      </c>
      <c r="I1445" t="s">
        <v>4746</v>
      </c>
      <c r="J1445" t="s">
        <v>4747</v>
      </c>
    </row>
    <row r="1446" spans="1:10">
      <c r="A1446">
        <v>128023</v>
      </c>
      <c r="B1446" t="s">
        <v>446</v>
      </c>
      <c r="C1446" t="s">
        <v>4748</v>
      </c>
      <c r="D1446" t="s">
        <v>12</v>
      </c>
      <c r="E1446" t="s">
        <v>4749</v>
      </c>
      <c r="F1446" t="s">
        <v>14</v>
      </c>
      <c r="G1446" s="1">
        <v>4743.12</v>
      </c>
      <c r="H1446" t="s">
        <v>232</v>
      </c>
      <c r="I1446" t="s">
        <v>233</v>
      </c>
      <c r="J1446" t="s">
        <v>4750</v>
      </c>
    </row>
    <row r="1447" spans="1:10">
      <c r="A1447">
        <v>146075</v>
      </c>
      <c r="B1447" t="s">
        <v>446</v>
      </c>
      <c r="C1447" t="s">
        <v>4751</v>
      </c>
      <c r="D1447" t="s">
        <v>12</v>
      </c>
      <c r="E1447" t="s">
        <v>4752</v>
      </c>
      <c r="F1447" t="s">
        <v>14</v>
      </c>
      <c r="G1447" s="1">
        <v>4728.3599999999997</v>
      </c>
      <c r="H1447" t="s">
        <v>777</v>
      </c>
      <c r="I1447" t="s">
        <v>2021</v>
      </c>
      <c r="J1447" t="s">
        <v>4753</v>
      </c>
    </row>
    <row r="1448" spans="1:10">
      <c r="A1448">
        <v>118980</v>
      </c>
      <c r="B1448" t="s">
        <v>446</v>
      </c>
      <c r="C1448" t="s">
        <v>4754</v>
      </c>
      <c r="D1448" t="s">
        <v>12</v>
      </c>
      <c r="E1448" t="s">
        <v>4755</v>
      </c>
      <c r="F1448" t="s">
        <v>14</v>
      </c>
      <c r="G1448" s="1">
        <v>4726.8999999999996</v>
      </c>
      <c r="H1448" t="s">
        <v>1017</v>
      </c>
      <c r="I1448" t="s">
        <v>4756</v>
      </c>
      <c r="J1448" t="s">
        <v>4757</v>
      </c>
    </row>
    <row r="1449" spans="1:10">
      <c r="A1449">
        <v>141221</v>
      </c>
      <c r="B1449" t="s">
        <v>446</v>
      </c>
      <c r="C1449" t="s">
        <v>4758</v>
      </c>
      <c r="D1449" t="s">
        <v>12</v>
      </c>
      <c r="E1449" t="s">
        <v>4759</v>
      </c>
      <c r="F1449" t="s">
        <v>14</v>
      </c>
      <c r="G1449" s="1">
        <v>4725.33</v>
      </c>
      <c r="H1449" t="s">
        <v>140</v>
      </c>
      <c r="I1449" t="s">
        <v>4760</v>
      </c>
      <c r="J1449" t="s">
        <v>4761</v>
      </c>
    </row>
    <row r="1450" spans="1:10">
      <c r="A1450">
        <v>117283</v>
      </c>
      <c r="B1450" t="s">
        <v>446</v>
      </c>
      <c r="C1450" t="s">
        <v>4762</v>
      </c>
      <c r="D1450" t="s">
        <v>512</v>
      </c>
      <c r="E1450" t="s">
        <v>4763</v>
      </c>
      <c r="F1450" t="s">
        <v>14</v>
      </c>
      <c r="G1450" s="1">
        <v>4717.1000000000004</v>
      </c>
      <c r="H1450" t="s">
        <v>553</v>
      </c>
      <c r="I1450" t="s">
        <v>3128</v>
      </c>
      <c r="J1450" t="s">
        <v>4764</v>
      </c>
    </row>
    <row r="1451" spans="1:10">
      <c r="A1451">
        <v>151169</v>
      </c>
      <c r="B1451" t="s">
        <v>446</v>
      </c>
      <c r="C1451" t="s">
        <v>4765</v>
      </c>
      <c r="D1451" t="s">
        <v>12</v>
      </c>
      <c r="E1451" t="s">
        <v>4766</v>
      </c>
      <c r="F1451" t="s">
        <v>14</v>
      </c>
      <c r="G1451" s="1">
        <v>4707</v>
      </c>
      <c r="H1451" t="s">
        <v>918</v>
      </c>
      <c r="I1451" t="s">
        <v>919</v>
      </c>
      <c r="J1451" t="s">
        <v>4767</v>
      </c>
    </row>
    <row r="1452" spans="1:10">
      <c r="A1452">
        <v>122058</v>
      </c>
      <c r="B1452" t="s">
        <v>446</v>
      </c>
      <c r="C1452" t="s">
        <v>4768</v>
      </c>
      <c r="D1452" t="s">
        <v>12</v>
      </c>
      <c r="E1452" t="s">
        <v>4769</v>
      </c>
      <c r="F1452" t="s">
        <v>14</v>
      </c>
      <c r="G1452" s="1">
        <v>4693.6400000000003</v>
      </c>
      <c r="H1452" t="s">
        <v>1378</v>
      </c>
      <c r="I1452" t="s">
        <v>2295</v>
      </c>
      <c r="J1452" t="s">
        <v>2296</v>
      </c>
    </row>
    <row r="1453" spans="1:10">
      <c r="A1453">
        <v>150644</v>
      </c>
      <c r="B1453" t="s">
        <v>446</v>
      </c>
      <c r="C1453" t="s">
        <v>4770</v>
      </c>
      <c r="D1453" t="s">
        <v>12</v>
      </c>
      <c r="E1453" t="s">
        <v>4771</v>
      </c>
      <c r="F1453" t="s">
        <v>14</v>
      </c>
      <c r="G1453" s="1">
        <v>4665</v>
      </c>
      <c r="H1453" t="s">
        <v>777</v>
      </c>
      <c r="I1453" t="s">
        <v>4772</v>
      </c>
      <c r="J1453" t="s">
        <v>4773</v>
      </c>
    </row>
    <row r="1454" spans="1:10">
      <c r="A1454">
        <v>112751</v>
      </c>
      <c r="B1454" t="s">
        <v>446</v>
      </c>
      <c r="C1454" t="s">
        <v>4774</v>
      </c>
      <c r="D1454" t="s">
        <v>12</v>
      </c>
      <c r="E1454" t="s">
        <v>4775</v>
      </c>
      <c r="F1454" t="s">
        <v>14</v>
      </c>
      <c r="G1454" s="1">
        <v>4660</v>
      </c>
      <c r="H1454" t="s">
        <v>95</v>
      </c>
      <c r="I1454" t="s">
        <v>506</v>
      </c>
      <c r="J1454" t="s">
        <v>1522</v>
      </c>
    </row>
    <row r="1455" spans="1:10">
      <c r="A1455">
        <v>113543</v>
      </c>
      <c r="B1455" t="s">
        <v>446</v>
      </c>
      <c r="C1455" t="s">
        <v>4776</v>
      </c>
      <c r="D1455" t="s">
        <v>12</v>
      </c>
      <c r="E1455" t="s">
        <v>4777</v>
      </c>
      <c r="F1455" t="s">
        <v>14</v>
      </c>
      <c r="G1455" s="1">
        <v>4659.5200000000004</v>
      </c>
      <c r="H1455" t="s">
        <v>1378</v>
      </c>
      <c r="I1455" t="s">
        <v>2295</v>
      </c>
      <c r="J1455" t="s">
        <v>4778</v>
      </c>
    </row>
    <row r="1456" spans="1:10">
      <c r="A1456">
        <v>145189</v>
      </c>
      <c r="B1456" t="s">
        <v>446</v>
      </c>
      <c r="C1456" t="s">
        <v>4779</v>
      </c>
      <c r="D1456" t="s">
        <v>12</v>
      </c>
      <c r="E1456" t="s">
        <v>4780</v>
      </c>
      <c r="F1456" t="s">
        <v>14</v>
      </c>
      <c r="G1456" s="1">
        <v>4631.25</v>
      </c>
      <c r="H1456" t="s">
        <v>499</v>
      </c>
      <c r="I1456" t="s">
        <v>4489</v>
      </c>
      <c r="J1456" t="s">
        <v>4781</v>
      </c>
    </row>
    <row r="1457" spans="1:10">
      <c r="A1457">
        <v>146008</v>
      </c>
      <c r="B1457" t="s">
        <v>446</v>
      </c>
      <c r="C1457" t="s">
        <v>4782</v>
      </c>
      <c r="D1457" t="s">
        <v>12</v>
      </c>
      <c r="E1457" t="s">
        <v>4783</v>
      </c>
      <c r="F1457" t="s">
        <v>14</v>
      </c>
      <c r="G1457" s="1">
        <v>4621.04</v>
      </c>
      <c r="H1457" t="s">
        <v>56</v>
      </c>
      <c r="I1457" t="s">
        <v>4784</v>
      </c>
      <c r="J1457" t="s">
        <v>4785</v>
      </c>
    </row>
    <row r="1458" spans="1:10">
      <c r="A1458">
        <v>124178</v>
      </c>
      <c r="B1458" t="s">
        <v>446</v>
      </c>
      <c r="C1458" t="s">
        <v>4786</v>
      </c>
      <c r="D1458" t="s">
        <v>512</v>
      </c>
      <c r="E1458" t="s">
        <v>4787</v>
      </c>
      <c r="F1458" t="s">
        <v>14</v>
      </c>
      <c r="G1458" s="1">
        <v>4612.87</v>
      </c>
      <c r="H1458" t="s">
        <v>553</v>
      </c>
      <c r="I1458" t="s">
        <v>1971</v>
      </c>
      <c r="J1458" t="s">
        <v>3571</v>
      </c>
    </row>
    <row r="1459" spans="1:10">
      <c r="A1459">
        <v>132369</v>
      </c>
      <c r="B1459" t="s">
        <v>446</v>
      </c>
      <c r="C1459" t="s">
        <v>4788</v>
      </c>
      <c r="D1459" t="s">
        <v>12</v>
      </c>
      <c r="E1459" t="s">
        <v>4789</v>
      </c>
      <c r="F1459" t="s">
        <v>14</v>
      </c>
      <c r="G1459" s="1">
        <v>4597.59</v>
      </c>
      <c r="H1459" t="s">
        <v>1917</v>
      </c>
      <c r="I1459" t="s">
        <v>4790</v>
      </c>
      <c r="J1459" t="s">
        <v>4791</v>
      </c>
    </row>
    <row r="1460" spans="1:10">
      <c r="A1460">
        <v>131816</v>
      </c>
      <c r="B1460" t="s">
        <v>446</v>
      </c>
      <c r="C1460" t="s">
        <v>4792</v>
      </c>
      <c r="D1460" t="s">
        <v>12</v>
      </c>
      <c r="E1460" t="s">
        <v>4793</v>
      </c>
      <c r="F1460" t="s">
        <v>14</v>
      </c>
      <c r="G1460" s="1">
        <v>4568.84</v>
      </c>
      <c r="H1460" t="s">
        <v>1017</v>
      </c>
      <c r="I1460" t="s">
        <v>4794</v>
      </c>
      <c r="J1460" t="s">
        <v>4795</v>
      </c>
    </row>
    <row r="1461" spans="1:10">
      <c r="A1461">
        <v>146918</v>
      </c>
      <c r="B1461" t="s">
        <v>446</v>
      </c>
      <c r="C1461" t="s">
        <v>4796</v>
      </c>
      <c r="D1461" t="s">
        <v>12</v>
      </c>
      <c r="E1461" t="s">
        <v>4797</v>
      </c>
      <c r="F1461" t="s">
        <v>14</v>
      </c>
      <c r="G1461" s="1">
        <v>4538</v>
      </c>
      <c r="H1461" t="s">
        <v>928</v>
      </c>
      <c r="I1461" t="s">
        <v>929</v>
      </c>
      <c r="J1461" t="s">
        <v>4798</v>
      </c>
    </row>
    <row r="1462" spans="1:10">
      <c r="A1462">
        <v>103663</v>
      </c>
      <c r="B1462" t="s">
        <v>446</v>
      </c>
      <c r="C1462" t="s">
        <v>4799</v>
      </c>
      <c r="D1462" t="s">
        <v>12</v>
      </c>
      <c r="E1462" t="s">
        <v>4800</v>
      </c>
      <c r="F1462" t="s">
        <v>14</v>
      </c>
      <c r="G1462" s="1">
        <v>4536</v>
      </c>
      <c r="H1462" t="s">
        <v>56</v>
      </c>
      <c r="I1462" t="s">
        <v>4801</v>
      </c>
      <c r="J1462" t="s">
        <v>4802</v>
      </c>
    </row>
    <row r="1463" spans="1:10">
      <c r="A1463">
        <v>145087</v>
      </c>
      <c r="B1463" t="s">
        <v>446</v>
      </c>
      <c r="C1463" t="s">
        <v>4803</v>
      </c>
      <c r="D1463" t="s">
        <v>12</v>
      </c>
      <c r="E1463" t="s">
        <v>4804</v>
      </c>
      <c r="F1463" t="s">
        <v>14</v>
      </c>
      <c r="G1463" s="1">
        <v>4533.75</v>
      </c>
      <c r="H1463" t="s">
        <v>504</v>
      </c>
      <c r="I1463" t="s">
        <v>3411</v>
      </c>
      <c r="J1463" t="s">
        <v>4805</v>
      </c>
    </row>
    <row r="1464" spans="1:10">
      <c r="A1464">
        <v>130726</v>
      </c>
      <c r="B1464" t="s">
        <v>446</v>
      </c>
      <c r="C1464" t="s">
        <v>4806</v>
      </c>
      <c r="D1464" t="s">
        <v>12</v>
      </c>
      <c r="E1464" t="s">
        <v>4807</v>
      </c>
      <c r="F1464" t="s">
        <v>14</v>
      </c>
      <c r="G1464" s="1">
        <v>4532.96</v>
      </c>
      <c r="H1464" t="s">
        <v>72</v>
      </c>
      <c r="I1464" t="s">
        <v>348</v>
      </c>
      <c r="J1464" t="s">
        <v>4808</v>
      </c>
    </row>
    <row r="1465" spans="1:10">
      <c r="A1465">
        <v>149426</v>
      </c>
      <c r="B1465" t="s">
        <v>446</v>
      </c>
      <c r="C1465" t="s">
        <v>4809</v>
      </c>
      <c r="D1465" t="s">
        <v>12</v>
      </c>
      <c r="E1465" t="s">
        <v>4810</v>
      </c>
      <c r="F1465" t="s">
        <v>14</v>
      </c>
      <c r="G1465" s="1">
        <v>4528.79</v>
      </c>
      <c r="H1465" t="s">
        <v>1378</v>
      </c>
      <c r="I1465" t="s">
        <v>4811</v>
      </c>
      <c r="J1465" t="s">
        <v>4812</v>
      </c>
    </row>
    <row r="1466" spans="1:10">
      <c r="A1466">
        <v>151642</v>
      </c>
      <c r="B1466" t="s">
        <v>446</v>
      </c>
      <c r="C1466" t="s">
        <v>4813</v>
      </c>
      <c r="D1466" t="s">
        <v>331</v>
      </c>
      <c r="E1466" t="s">
        <v>4814</v>
      </c>
      <c r="F1466" t="s">
        <v>14</v>
      </c>
      <c r="G1466" s="1">
        <v>4512.1400000000003</v>
      </c>
      <c r="H1466" t="s">
        <v>437</v>
      </c>
      <c r="I1466" t="s">
        <v>4815</v>
      </c>
      <c r="J1466" t="s">
        <v>4816</v>
      </c>
    </row>
    <row r="1467" spans="1:10">
      <c r="A1467">
        <v>151560</v>
      </c>
      <c r="B1467" t="s">
        <v>446</v>
      </c>
      <c r="C1467" t="s">
        <v>4817</v>
      </c>
      <c r="D1467" t="s">
        <v>12</v>
      </c>
      <c r="E1467" t="s">
        <v>4818</v>
      </c>
      <c r="F1467" t="s">
        <v>14</v>
      </c>
      <c r="G1467" s="1">
        <v>4502.99</v>
      </c>
      <c r="H1467" t="s">
        <v>140</v>
      </c>
      <c r="I1467" t="s">
        <v>1704</v>
      </c>
      <c r="J1467" t="s">
        <v>4819</v>
      </c>
    </row>
    <row r="1468" spans="1:10">
      <c r="A1468">
        <v>150462</v>
      </c>
      <c r="B1468" t="s">
        <v>446</v>
      </c>
      <c r="C1468" t="s">
        <v>4820</v>
      </c>
      <c r="D1468" t="s">
        <v>12</v>
      </c>
      <c r="E1468" t="s">
        <v>4821</v>
      </c>
      <c r="F1468" t="s">
        <v>14</v>
      </c>
      <c r="G1468" s="1">
        <v>4500</v>
      </c>
      <c r="H1468" t="s">
        <v>140</v>
      </c>
      <c r="I1468" t="s">
        <v>284</v>
      </c>
      <c r="J1468" t="s">
        <v>285</v>
      </c>
    </row>
    <row r="1469" spans="1:10">
      <c r="A1469">
        <v>145627</v>
      </c>
      <c r="B1469" t="s">
        <v>446</v>
      </c>
      <c r="C1469" t="s">
        <v>4822</v>
      </c>
      <c r="D1469" t="s">
        <v>12</v>
      </c>
      <c r="E1469" t="s">
        <v>4823</v>
      </c>
      <c r="F1469" t="s">
        <v>14</v>
      </c>
      <c r="G1469" s="1">
        <v>4500</v>
      </c>
      <c r="H1469" t="s">
        <v>777</v>
      </c>
      <c r="I1469" t="s">
        <v>4824</v>
      </c>
      <c r="J1469" t="s">
        <v>4825</v>
      </c>
    </row>
    <row r="1470" spans="1:10">
      <c r="A1470">
        <v>130556</v>
      </c>
      <c r="B1470" t="s">
        <v>446</v>
      </c>
      <c r="C1470" t="s">
        <v>4826</v>
      </c>
      <c r="D1470" t="s">
        <v>12</v>
      </c>
      <c r="E1470" t="s">
        <v>4827</v>
      </c>
      <c r="F1470" t="s">
        <v>14</v>
      </c>
      <c r="G1470" s="1">
        <v>4500</v>
      </c>
      <c r="H1470" t="s">
        <v>918</v>
      </c>
      <c r="I1470" t="s">
        <v>2856</v>
      </c>
      <c r="J1470" t="s">
        <v>4828</v>
      </c>
    </row>
    <row r="1471" spans="1:10">
      <c r="A1471">
        <v>151026</v>
      </c>
      <c r="B1471" t="s">
        <v>446</v>
      </c>
      <c r="C1471" t="s">
        <v>4829</v>
      </c>
      <c r="D1471" t="s">
        <v>12</v>
      </c>
      <c r="E1471" t="s">
        <v>4830</v>
      </c>
      <c r="F1471" t="s">
        <v>14</v>
      </c>
      <c r="G1471" s="1">
        <v>4500</v>
      </c>
      <c r="H1471" t="s">
        <v>333</v>
      </c>
      <c r="I1471" t="s">
        <v>333</v>
      </c>
      <c r="J1471" t="s">
        <v>4691</v>
      </c>
    </row>
    <row r="1472" spans="1:10">
      <c r="A1472">
        <v>113244</v>
      </c>
      <c r="B1472" t="s">
        <v>446</v>
      </c>
      <c r="C1472" t="s">
        <v>4831</v>
      </c>
      <c r="D1472" t="s">
        <v>124</v>
      </c>
      <c r="E1472" t="s">
        <v>4832</v>
      </c>
      <c r="F1472" t="s">
        <v>14</v>
      </c>
      <c r="G1472" s="1">
        <v>4500</v>
      </c>
      <c r="H1472" t="s">
        <v>56</v>
      </c>
      <c r="I1472" t="s">
        <v>4833</v>
      </c>
      <c r="J1472" t="s">
        <v>4834</v>
      </c>
    </row>
    <row r="1473" spans="1:10">
      <c r="A1473">
        <v>130259</v>
      </c>
      <c r="B1473" t="s">
        <v>446</v>
      </c>
      <c r="C1473" t="s">
        <v>4835</v>
      </c>
      <c r="D1473" t="s">
        <v>12</v>
      </c>
      <c r="E1473" t="s">
        <v>4836</v>
      </c>
      <c r="F1473" t="s">
        <v>14</v>
      </c>
      <c r="G1473" s="1">
        <v>4489.71</v>
      </c>
      <c r="H1473" t="s">
        <v>499</v>
      </c>
      <c r="I1473" t="s">
        <v>835</v>
      </c>
      <c r="J1473" t="s">
        <v>4837</v>
      </c>
    </row>
    <row r="1474" spans="1:10">
      <c r="A1474">
        <v>104637</v>
      </c>
      <c r="B1474" t="s">
        <v>446</v>
      </c>
      <c r="C1474" t="s">
        <v>4838</v>
      </c>
      <c r="D1474" t="s">
        <v>12</v>
      </c>
      <c r="E1474" t="s">
        <v>4839</v>
      </c>
      <c r="F1474" t="s">
        <v>14</v>
      </c>
      <c r="G1474" s="1">
        <v>4488.4399999999996</v>
      </c>
      <c r="H1474" t="s">
        <v>232</v>
      </c>
      <c r="I1474" t="s">
        <v>4840</v>
      </c>
      <c r="J1474" t="s">
        <v>4841</v>
      </c>
    </row>
    <row r="1475" spans="1:10">
      <c r="A1475">
        <v>105583</v>
      </c>
      <c r="B1475" t="s">
        <v>446</v>
      </c>
      <c r="C1475" t="s">
        <v>4842</v>
      </c>
      <c r="D1475" t="s">
        <v>12</v>
      </c>
      <c r="E1475" t="s">
        <v>4843</v>
      </c>
      <c r="F1475" t="s">
        <v>14</v>
      </c>
      <c r="G1475" s="1">
        <v>4483.41</v>
      </c>
      <c r="H1475" t="s">
        <v>36</v>
      </c>
      <c r="I1475" t="s">
        <v>4844</v>
      </c>
      <c r="J1475" t="s">
        <v>4845</v>
      </c>
    </row>
    <row r="1476" spans="1:10">
      <c r="A1476">
        <v>151790</v>
      </c>
      <c r="B1476" t="s">
        <v>446</v>
      </c>
      <c r="C1476" t="s">
        <v>4846</v>
      </c>
      <c r="D1476" t="s">
        <v>12</v>
      </c>
      <c r="E1476" t="s">
        <v>4847</v>
      </c>
      <c r="F1476" t="s">
        <v>14</v>
      </c>
      <c r="G1476" s="1">
        <v>4465.92</v>
      </c>
      <c r="H1476" t="s">
        <v>126</v>
      </c>
      <c r="I1476" t="s">
        <v>156</v>
      </c>
      <c r="J1476" t="s">
        <v>180</v>
      </c>
    </row>
    <row r="1477" spans="1:10">
      <c r="A1477">
        <v>146079</v>
      </c>
      <c r="B1477" t="s">
        <v>446</v>
      </c>
      <c r="C1477" t="s">
        <v>4848</v>
      </c>
      <c r="D1477" t="s">
        <v>12</v>
      </c>
      <c r="E1477" t="s">
        <v>4849</v>
      </c>
      <c r="F1477" t="s">
        <v>14</v>
      </c>
      <c r="G1477" s="1">
        <v>4448.99</v>
      </c>
      <c r="H1477" t="s">
        <v>140</v>
      </c>
      <c r="I1477" t="s">
        <v>3223</v>
      </c>
      <c r="J1477" t="s">
        <v>4850</v>
      </c>
    </row>
    <row r="1478" spans="1:10">
      <c r="A1478">
        <v>110984</v>
      </c>
      <c r="B1478" t="s">
        <v>446</v>
      </c>
      <c r="C1478" t="s">
        <v>4851</v>
      </c>
      <c r="D1478" t="s">
        <v>12</v>
      </c>
      <c r="E1478" t="s">
        <v>4852</v>
      </c>
      <c r="F1478" t="s">
        <v>14</v>
      </c>
      <c r="G1478" s="1">
        <v>4438.92</v>
      </c>
      <c r="H1478" t="s">
        <v>140</v>
      </c>
      <c r="I1478" t="s">
        <v>4853</v>
      </c>
      <c r="J1478" t="s">
        <v>4854</v>
      </c>
    </row>
    <row r="1479" spans="1:10">
      <c r="A1479">
        <v>146364</v>
      </c>
      <c r="B1479" t="s">
        <v>446</v>
      </c>
      <c r="C1479" t="s">
        <v>4855</v>
      </c>
      <c r="D1479" t="s">
        <v>12</v>
      </c>
      <c r="E1479" t="s">
        <v>4856</v>
      </c>
      <c r="F1479" t="s">
        <v>14</v>
      </c>
      <c r="G1479" s="1">
        <v>4436.74</v>
      </c>
      <c r="H1479" t="s">
        <v>553</v>
      </c>
      <c r="I1479" t="s">
        <v>2521</v>
      </c>
      <c r="J1479" t="s">
        <v>4857</v>
      </c>
    </row>
    <row r="1480" spans="1:10">
      <c r="A1480">
        <v>102925</v>
      </c>
      <c r="B1480" t="s">
        <v>446</v>
      </c>
      <c r="C1480" t="s">
        <v>4858</v>
      </c>
      <c r="D1480" t="s">
        <v>331</v>
      </c>
      <c r="E1480" t="s">
        <v>4859</v>
      </c>
      <c r="F1480" t="s">
        <v>14</v>
      </c>
      <c r="G1480" s="1">
        <v>4365.95</v>
      </c>
      <c r="H1480" t="s">
        <v>27</v>
      </c>
      <c r="I1480" t="s">
        <v>4860</v>
      </c>
      <c r="J1480" t="s">
        <v>4861</v>
      </c>
    </row>
    <row r="1481" spans="1:10">
      <c r="A1481">
        <v>106454</v>
      </c>
      <c r="B1481" t="s">
        <v>446</v>
      </c>
      <c r="C1481" t="s">
        <v>4862</v>
      </c>
      <c r="D1481" t="s">
        <v>12</v>
      </c>
      <c r="E1481" t="s">
        <v>4863</v>
      </c>
      <c r="F1481" t="s">
        <v>14</v>
      </c>
      <c r="G1481" s="1">
        <v>4353.75</v>
      </c>
      <c r="H1481" t="s">
        <v>85</v>
      </c>
      <c r="I1481" t="s">
        <v>1937</v>
      </c>
      <c r="J1481" t="s">
        <v>4864</v>
      </c>
    </row>
    <row r="1482" spans="1:10">
      <c r="A1482">
        <v>148530</v>
      </c>
      <c r="B1482" t="s">
        <v>446</v>
      </c>
      <c r="C1482" t="s">
        <v>4865</v>
      </c>
      <c r="D1482" t="s">
        <v>12</v>
      </c>
      <c r="E1482" t="s">
        <v>4866</v>
      </c>
      <c r="F1482" t="s">
        <v>14</v>
      </c>
      <c r="G1482" s="1">
        <v>4330</v>
      </c>
      <c r="H1482" t="s">
        <v>918</v>
      </c>
      <c r="I1482" t="s">
        <v>4209</v>
      </c>
      <c r="J1482" t="s">
        <v>4867</v>
      </c>
    </row>
    <row r="1483" spans="1:10">
      <c r="A1483">
        <v>150216</v>
      </c>
      <c r="B1483" t="s">
        <v>446</v>
      </c>
      <c r="C1483" t="s">
        <v>4868</v>
      </c>
      <c r="D1483" t="s">
        <v>12</v>
      </c>
      <c r="E1483" t="s">
        <v>4869</v>
      </c>
      <c r="F1483" t="s">
        <v>14</v>
      </c>
      <c r="G1483" s="1">
        <v>4307</v>
      </c>
      <c r="H1483" t="s">
        <v>140</v>
      </c>
      <c r="I1483" t="s">
        <v>3485</v>
      </c>
      <c r="J1483" t="s">
        <v>506</v>
      </c>
    </row>
    <row r="1484" spans="1:10">
      <c r="A1484">
        <v>146400</v>
      </c>
      <c r="B1484" t="s">
        <v>446</v>
      </c>
      <c r="C1484" t="s">
        <v>4870</v>
      </c>
      <c r="D1484" t="s">
        <v>12</v>
      </c>
      <c r="E1484" t="s">
        <v>4871</v>
      </c>
      <c r="F1484" t="s">
        <v>14</v>
      </c>
      <c r="G1484" s="1">
        <v>4250</v>
      </c>
      <c r="H1484" t="s">
        <v>918</v>
      </c>
      <c r="I1484" t="s">
        <v>2856</v>
      </c>
      <c r="J1484" t="s">
        <v>4872</v>
      </c>
    </row>
    <row r="1485" spans="1:10">
      <c r="A1485">
        <v>146484</v>
      </c>
      <c r="B1485" t="s">
        <v>446</v>
      </c>
      <c r="C1485" t="s">
        <v>4873</v>
      </c>
      <c r="D1485" t="s">
        <v>12</v>
      </c>
      <c r="E1485" t="s">
        <v>4874</v>
      </c>
      <c r="F1485" t="s">
        <v>14</v>
      </c>
      <c r="G1485" s="1">
        <v>4246.1499999999996</v>
      </c>
      <c r="H1485" t="s">
        <v>15</v>
      </c>
      <c r="I1485" t="s">
        <v>4875</v>
      </c>
      <c r="J1485" t="s">
        <v>4876</v>
      </c>
    </row>
    <row r="1486" spans="1:10">
      <c r="A1486" t="s">
        <v>4877</v>
      </c>
      <c r="B1486" t="s">
        <v>446</v>
      </c>
      <c r="C1486" t="s">
        <v>4878</v>
      </c>
      <c r="D1486" t="s">
        <v>12</v>
      </c>
      <c r="E1486" t="s">
        <v>4879</v>
      </c>
      <c r="F1486" t="s">
        <v>168</v>
      </c>
      <c r="G1486" s="1">
        <v>4240.96</v>
      </c>
      <c r="H1486" t="s">
        <v>27</v>
      </c>
      <c r="I1486" t="s">
        <v>1319</v>
      </c>
      <c r="J1486" t="s">
        <v>1320</v>
      </c>
    </row>
    <row r="1487" spans="1:10">
      <c r="A1487">
        <v>100187</v>
      </c>
      <c r="B1487" t="s">
        <v>446</v>
      </c>
      <c r="C1487" t="s">
        <v>4880</v>
      </c>
      <c r="D1487" t="s">
        <v>12</v>
      </c>
      <c r="E1487" t="s">
        <v>4881</v>
      </c>
      <c r="F1487" t="s">
        <v>14</v>
      </c>
      <c r="G1487" s="1">
        <v>4231.3999999999996</v>
      </c>
      <c r="H1487" t="s">
        <v>553</v>
      </c>
      <c r="I1487" t="s">
        <v>2521</v>
      </c>
      <c r="J1487" t="s">
        <v>4882</v>
      </c>
    </row>
    <row r="1488" spans="1:10">
      <c r="A1488">
        <v>142438</v>
      </c>
      <c r="B1488" t="s">
        <v>446</v>
      </c>
      <c r="C1488" t="s">
        <v>4883</v>
      </c>
      <c r="D1488" t="s">
        <v>12</v>
      </c>
      <c r="E1488" t="s">
        <v>4884</v>
      </c>
      <c r="F1488" t="s">
        <v>14</v>
      </c>
      <c r="G1488" s="1">
        <v>4230</v>
      </c>
      <c r="H1488" t="s">
        <v>777</v>
      </c>
      <c r="I1488" t="s">
        <v>2021</v>
      </c>
      <c r="J1488" t="s">
        <v>4885</v>
      </c>
    </row>
    <row r="1489" spans="1:10">
      <c r="A1489">
        <v>146452</v>
      </c>
      <c r="B1489" t="s">
        <v>446</v>
      </c>
      <c r="C1489" t="s">
        <v>4886</v>
      </c>
      <c r="D1489" t="s">
        <v>12</v>
      </c>
      <c r="E1489" t="s">
        <v>4887</v>
      </c>
      <c r="F1489" t="s">
        <v>14</v>
      </c>
      <c r="G1489" s="1">
        <v>4220.24</v>
      </c>
      <c r="H1489" t="s">
        <v>514</v>
      </c>
      <c r="I1489" t="s">
        <v>1159</v>
      </c>
      <c r="J1489" t="s">
        <v>4888</v>
      </c>
    </row>
    <row r="1490" spans="1:10">
      <c r="A1490">
        <v>116675</v>
      </c>
      <c r="B1490" t="s">
        <v>446</v>
      </c>
      <c r="C1490" t="s">
        <v>4889</v>
      </c>
      <c r="D1490" t="s">
        <v>124</v>
      </c>
      <c r="E1490" t="s">
        <v>4890</v>
      </c>
      <c r="F1490" t="s">
        <v>14</v>
      </c>
      <c r="G1490" s="1">
        <v>4200</v>
      </c>
      <c r="H1490" t="s">
        <v>3941</v>
      </c>
      <c r="I1490" t="s">
        <v>4891</v>
      </c>
      <c r="J1490" t="s">
        <v>4892</v>
      </c>
    </row>
    <row r="1491" spans="1:10">
      <c r="A1491">
        <v>151188</v>
      </c>
      <c r="B1491" t="s">
        <v>446</v>
      </c>
      <c r="C1491" t="s">
        <v>4893</v>
      </c>
      <c r="D1491" t="s">
        <v>12</v>
      </c>
      <c r="E1491" t="s">
        <v>3998</v>
      </c>
      <c r="F1491" t="s">
        <v>14</v>
      </c>
      <c r="G1491" s="1">
        <v>4200</v>
      </c>
      <c r="H1491" t="s">
        <v>140</v>
      </c>
      <c r="I1491" t="s">
        <v>505</v>
      </c>
      <c r="J1491" t="s">
        <v>506</v>
      </c>
    </row>
    <row r="1492" spans="1:10">
      <c r="A1492">
        <v>116654</v>
      </c>
      <c r="B1492" t="s">
        <v>446</v>
      </c>
      <c r="C1492" t="s">
        <v>4894</v>
      </c>
      <c r="D1492" t="s">
        <v>124</v>
      </c>
      <c r="E1492" t="s">
        <v>1618</v>
      </c>
      <c r="F1492" t="s">
        <v>14</v>
      </c>
      <c r="G1492" s="1">
        <v>4200</v>
      </c>
      <c r="H1492" t="s">
        <v>126</v>
      </c>
      <c r="I1492" t="s">
        <v>156</v>
      </c>
      <c r="J1492" t="s">
        <v>4895</v>
      </c>
    </row>
    <row r="1493" spans="1:10">
      <c r="A1493">
        <v>129297</v>
      </c>
      <c r="B1493" t="s">
        <v>446</v>
      </c>
      <c r="C1493" t="s">
        <v>4896</v>
      </c>
      <c r="D1493" t="s">
        <v>124</v>
      </c>
      <c r="E1493" t="s">
        <v>4897</v>
      </c>
      <c r="F1493" t="s">
        <v>14</v>
      </c>
      <c r="G1493" s="1">
        <v>4200</v>
      </c>
      <c r="H1493" t="s">
        <v>504</v>
      </c>
      <c r="I1493" t="s">
        <v>1298</v>
      </c>
      <c r="J1493" t="s">
        <v>4898</v>
      </c>
    </row>
    <row r="1494" spans="1:10">
      <c r="A1494">
        <v>150790</v>
      </c>
      <c r="B1494" t="s">
        <v>446</v>
      </c>
      <c r="C1494" t="s">
        <v>4899</v>
      </c>
      <c r="D1494" t="s">
        <v>12</v>
      </c>
      <c r="E1494" t="s">
        <v>4900</v>
      </c>
      <c r="F1494" t="s">
        <v>14</v>
      </c>
      <c r="G1494" s="1">
        <v>4199.46</v>
      </c>
      <c r="H1494" t="s">
        <v>140</v>
      </c>
      <c r="I1494" t="s">
        <v>1748</v>
      </c>
      <c r="J1494" t="s">
        <v>4901</v>
      </c>
    </row>
    <row r="1495" spans="1:10">
      <c r="A1495">
        <v>132180</v>
      </c>
      <c r="B1495" t="s">
        <v>446</v>
      </c>
      <c r="C1495" t="s">
        <v>4902</v>
      </c>
      <c r="D1495" t="s">
        <v>12</v>
      </c>
      <c r="E1495" t="s">
        <v>4903</v>
      </c>
      <c r="F1495" t="s">
        <v>14</v>
      </c>
      <c r="G1495" s="1">
        <v>4174.1099999999997</v>
      </c>
      <c r="H1495" t="s">
        <v>56</v>
      </c>
      <c r="I1495" t="s">
        <v>4372</v>
      </c>
      <c r="J1495" t="s">
        <v>4904</v>
      </c>
    </row>
    <row r="1496" spans="1:10">
      <c r="A1496">
        <v>122613</v>
      </c>
      <c r="B1496" t="s">
        <v>446</v>
      </c>
      <c r="C1496" t="s">
        <v>4905</v>
      </c>
      <c r="D1496" t="s">
        <v>12</v>
      </c>
      <c r="E1496" t="s">
        <v>4906</v>
      </c>
      <c r="F1496" t="s">
        <v>14</v>
      </c>
      <c r="G1496" s="1">
        <v>4156.78</v>
      </c>
      <c r="H1496" t="s">
        <v>777</v>
      </c>
      <c r="I1496" t="s">
        <v>2021</v>
      </c>
      <c r="J1496" t="s">
        <v>4038</v>
      </c>
    </row>
    <row r="1497" spans="1:10">
      <c r="A1497">
        <v>145349</v>
      </c>
      <c r="B1497" t="s">
        <v>446</v>
      </c>
      <c r="C1497" t="s">
        <v>4907</v>
      </c>
      <c r="D1497" t="s">
        <v>12</v>
      </c>
      <c r="E1497" t="s">
        <v>4908</v>
      </c>
      <c r="F1497" t="s">
        <v>14</v>
      </c>
      <c r="G1497" s="1">
        <v>4150</v>
      </c>
      <c r="H1497" t="s">
        <v>918</v>
      </c>
      <c r="I1497" t="s">
        <v>919</v>
      </c>
      <c r="J1497" t="s">
        <v>3668</v>
      </c>
    </row>
    <row r="1498" spans="1:10">
      <c r="A1498">
        <v>119748</v>
      </c>
      <c r="B1498" t="s">
        <v>446</v>
      </c>
      <c r="C1498" t="s">
        <v>4909</v>
      </c>
      <c r="D1498" t="s">
        <v>12</v>
      </c>
      <c r="E1498" t="s">
        <v>4910</v>
      </c>
      <c r="F1498" t="s">
        <v>14</v>
      </c>
      <c r="G1498" s="1">
        <v>4130.45</v>
      </c>
      <c r="H1498" t="s">
        <v>1017</v>
      </c>
      <c r="I1498" t="s">
        <v>4618</v>
      </c>
      <c r="J1498" t="s">
        <v>4911</v>
      </c>
    </row>
    <row r="1499" spans="1:10">
      <c r="A1499">
        <v>149620</v>
      </c>
      <c r="B1499" t="s">
        <v>446</v>
      </c>
      <c r="C1499" t="s">
        <v>4912</v>
      </c>
      <c r="D1499" t="s">
        <v>12</v>
      </c>
      <c r="E1499" t="s">
        <v>4913</v>
      </c>
      <c r="F1499" t="s">
        <v>14</v>
      </c>
      <c r="G1499" s="1">
        <v>4125</v>
      </c>
      <c r="H1499" t="s">
        <v>85</v>
      </c>
      <c r="I1499" t="s">
        <v>4914</v>
      </c>
      <c r="J1499" t="s">
        <v>4915</v>
      </c>
    </row>
    <row r="1500" spans="1:10">
      <c r="A1500">
        <v>127763</v>
      </c>
      <c r="B1500" t="s">
        <v>446</v>
      </c>
      <c r="C1500" t="s">
        <v>4916</v>
      </c>
      <c r="D1500" t="s">
        <v>12</v>
      </c>
      <c r="E1500" t="s">
        <v>4917</v>
      </c>
      <c r="F1500" t="s">
        <v>14</v>
      </c>
      <c r="G1500" s="1">
        <v>4119.13</v>
      </c>
      <c r="H1500" t="s">
        <v>36</v>
      </c>
      <c r="I1500" t="s">
        <v>4918</v>
      </c>
      <c r="J1500" t="s">
        <v>4919</v>
      </c>
    </row>
    <row r="1501" spans="1:10">
      <c r="A1501">
        <v>130104</v>
      </c>
      <c r="B1501" t="s">
        <v>446</v>
      </c>
      <c r="C1501" t="s">
        <v>4920</v>
      </c>
      <c r="D1501" t="s">
        <v>12</v>
      </c>
      <c r="E1501" t="s">
        <v>4921</v>
      </c>
      <c r="F1501" t="s">
        <v>14</v>
      </c>
      <c r="G1501" s="1">
        <v>4117.4799999999996</v>
      </c>
      <c r="H1501" t="s">
        <v>437</v>
      </c>
      <c r="I1501" t="s">
        <v>4922</v>
      </c>
      <c r="J1501" t="s">
        <v>4923</v>
      </c>
    </row>
    <row r="1502" spans="1:10">
      <c r="A1502">
        <v>141974</v>
      </c>
      <c r="B1502" t="s">
        <v>446</v>
      </c>
      <c r="C1502" t="s">
        <v>4924</v>
      </c>
      <c r="D1502" t="s">
        <v>12</v>
      </c>
      <c r="E1502" t="s">
        <v>4925</v>
      </c>
      <c r="F1502" t="s">
        <v>14</v>
      </c>
      <c r="G1502" s="1">
        <v>4093.44</v>
      </c>
      <c r="H1502" t="s">
        <v>553</v>
      </c>
      <c r="I1502" t="s">
        <v>4926</v>
      </c>
      <c r="J1502" t="s">
        <v>4927</v>
      </c>
    </row>
    <row r="1503" spans="1:10">
      <c r="A1503">
        <v>123592</v>
      </c>
      <c r="B1503" t="s">
        <v>446</v>
      </c>
      <c r="C1503" t="s">
        <v>4928</v>
      </c>
      <c r="D1503" t="s">
        <v>12</v>
      </c>
      <c r="E1503" t="s">
        <v>4929</v>
      </c>
      <c r="F1503" t="s">
        <v>14</v>
      </c>
      <c r="G1503" s="1">
        <v>4086.61</v>
      </c>
      <c r="H1503" t="s">
        <v>140</v>
      </c>
      <c r="I1503" t="s">
        <v>4930</v>
      </c>
      <c r="J1503" t="s">
        <v>4931</v>
      </c>
    </row>
    <row r="1504" spans="1:10">
      <c r="A1504">
        <v>148434</v>
      </c>
      <c r="B1504" t="s">
        <v>446</v>
      </c>
      <c r="C1504" t="s">
        <v>4932</v>
      </c>
      <c r="D1504" t="s">
        <v>12</v>
      </c>
      <c r="E1504" t="s">
        <v>4933</v>
      </c>
      <c r="F1504" t="s">
        <v>14</v>
      </c>
      <c r="G1504" s="1">
        <v>4068.75</v>
      </c>
      <c r="H1504" t="s">
        <v>140</v>
      </c>
      <c r="I1504" t="s">
        <v>3485</v>
      </c>
      <c r="J1504" t="s">
        <v>506</v>
      </c>
    </row>
    <row r="1505" spans="1:10">
      <c r="A1505">
        <v>146764</v>
      </c>
      <c r="B1505" t="s">
        <v>446</v>
      </c>
      <c r="C1505" t="s">
        <v>4934</v>
      </c>
      <c r="D1505" t="s">
        <v>12</v>
      </c>
      <c r="E1505" t="s">
        <v>4935</v>
      </c>
      <c r="F1505" t="s">
        <v>14</v>
      </c>
      <c r="G1505" s="1">
        <v>4060.23</v>
      </c>
      <c r="H1505" t="s">
        <v>425</v>
      </c>
      <c r="I1505" t="s">
        <v>4936</v>
      </c>
      <c r="J1505" t="s">
        <v>4937</v>
      </c>
    </row>
    <row r="1506" spans="1:10">
      <c r="A1506">
        <v>146708</v>
      </c>
      <c r="B1506" t="s">
        <v>446</v>
      </c>
      <c r="C1506" t="s">
        <v>4938</v>
      </c>
      <c r="D1506" t="s">
        <v>12</v>
      </c>
      <c r="E1506" t="s">
        <v>4939</v>
      </c>
      <c r="F1506" t="s">
        <v>14</v>
      </c>
      <c r="G1506" s="1">
        <v>4037.97</v>
      </c>
      <c r="H1506" t="s">
        <v>140</v>
      </c>
      <c r="I1506" t="s">
        <v>3807</v>
      </c>
      <c r="J1506" t="s">
        <v>4940</v>
      </c>
    </row>
    <row r="1507" spans="1:10">
      <c r="A1507">
        <v>150818</v>
      </c>
      <c r="B1507" t="s">
        <v>446</v>
      </c>
      <c r="C1507" t="s">
        <v>4941</v>
      </c>
      <c r="D1507" t="s">
        <v>12</v>
      </c>
      <c r="E1507" t="s">
        <v>4942</v>
      </c>
      <c r="F1507" t="s">
        <v>14</v>
      </c>
      <c r="G1507" s="1">
        <v>4025.09</v>
      </c>
      <c r="H1507" t="s">
        <v>36</v>
      </c>
      <c r="I1507" t="s">
        <v>4943</v>
      </c>
      <c r="J1507" t="s">
        <v>4944</v>
      </c>
    </row>
    <row r="1508" spans="1:10">
      <c r="A1508">
        <v>146057</v>
      </c>
      <c r="B1508" t="s">
        <v>446</v>
      </c>
      <c r="C1508" t="s">
        <v>4945</v>
      </c>
      <c r="D1508" t="s">
        <v>12</v>
      </c>
      <c r="E1508" t="s">
        <v>4946</v>
      </c>
      <c r="F1508" t="s">
        <v>14</v>
      </c>
      <c r="G1508" s="1">
        <v>4021.88</v>
      </c>
      <c r="H1508" t="s">
        <v>36</v>
      </c>
      <c r="I1508" t="s">
        <v>3399</v>
      </c>
      <c r="J1508" t="s">
        <v>4947</v>
      </c>
    </row>
    <row r="1509" spans="1:10">
      <c r="A1509">
        <v>111251</v>
      </c>
      <c r="B1509" t="s">
        <v>446</v>
      </c>
      <c r="C1509" t="s">
        <v>4948</v>
      </c>
      <c r="D1509" t="s">
        <v>12</v>
      </c>
      <c r="E1509" t="s">
        <v>4949</v>
      </c>
      <c r="F1509" t="s">
        <v>14</v>
      </c>
      <c r="G1509" s="1">
        <v>4019.17</v>
      </c>
      <c r="H1509" t="s">
        <v>140</v>
      </c>
      <c r="I1509" t="s">
        <v>3485</v>
      </c>
      <c r="J1509" t="s">
        <v>506</v>
      </c>
    </row>
    <row r="1510" spans="1:10">
      <c r="A1510" t="s">
        <v>4950</v>
      </c>
      <c r="B1510" t="s">
        <v>446</v>
      </c>
      <c r="C1510" t="s">
        <v>4951</v>
      </c>
      <c r="D1510" t="s">
        <v>12</v>
      </c>
      <c r="E1510" t="s">
        <v>4952</v>
      </c>
      <c r="F1510" t="s">
        <v>168</v>
      </c>
      <c r="G1510" s="1">
        <v>4019</v>
      </c>
      <c r="H1510" t="s">
        <v>437</v>
      </c>
      <c r="I1510" t="s">
        <v>1893</v>
      </c>
      <c r="J1510" t="s">
        <v>4953</v>
      </c>
    </row>
    <row r="1511" spans="1:10">
      <c r="A1511">
        <v>125365</v>
      </c>
      <c r="B1511" t="s">
        <v>446</v>
      </c>
      <c r="C1511" t="s">
        <v>4954</v>
      </c>
      <c r="D1511" t="s">
        <v>12</v>
      </c>
      <c r="E1511" t="s">
        <v>4955</v>
      </c>
      <c r="F1511" t="s">
        <v>14</v>
      </c>
      <c r="G1511" s="1">
        <v>4013.46</v>
      </c>
      <c r="H1511" t="s">
        <v>1017</v>
      </c>
      <c r="I1511" t="s">
        <v>4756</v>
      </c>
      <c r="J1511" t="s">
        <v>4956</v>
      </c>
    </row>
    <row r="1512" spans="1:10">
      <c r="A1512">
        <v>144774</v>
      </c>
      <c r="B1512" t="s">
        <v>446</v>
      </c>
      <c r="C1512" t="s">
        <v>4957</v>
      </c>
      <c r="D1512" t="s">
        <v>12</v>
      </c>
      <c r="E1512" t="s">
        <v>4958</v>
      </c>
      <c r="F1512" t="s">
        <v>14</v>
      </c>
      <c r="G1512" s="1">
        <v>4005.25</v>
      </c>
      <c r="H1512" t="s">
        <v>140</v>
      </c>
      <c r="I1512" t="s">
        <v>1890</v>
      </c>
      <c r="J1512" t="s">
        <v>1596</v>
      </c>
    </row>
    <row r="1513" spans="1:10">
      <c r="A1513">
        <v>146618</v>
      </c>
      <c r="B1513" t="s">
        <v>446</v>
      </c>
      <c r="C1513" t="s">
        <v>4959</v>
      </c>
      <c r="D1513" t="s">
        <v>12</v>
      </c>
      <c r="E1513" t="s">
        <v>4960</v>
      </c>
      <c r="F1513" t="s">
        <v>14</v>
      </c>
      <c r="G1513" s="1">
        <v>4000</v>
      </c>
      <c r="H1513" t="s">
        <v>777</v>
      </c>
      <c r="I1513" t="s">
        <v>2021</v>
      </c>
      <c r="J1513" t="s">
        <v>4961</v>
      </c>
    </row>
    <row r="1514" spans="1:10">
      <c r="A1514">
        <v>152707</v>
      </c>
      <c r="B1514" t="s">
        <v>446</v>
      </c>
      <c r="C1514" t="s">
        <v>4962</v>
      </c>
      <c r="D1514" t="s">
        <v>12</v>
      </c>
      <c r="E1514" t="s">
        <v>4963</v>
      </c>
      <c r="F1514" t="s">
        <v>14</v>
      </c>
      <c r="G1514" s="1">
        <v>4000</v>
      </c>
      <c r="H1514" t="s">
        <v>928</v>
      </c>
      <c r="I1514" t="s">
        <v>4964</v>
      </c>
      <c r="J1514" t="s">
        <v>4965</v>
      </c>
    </row>
    <row r="1515" spans="1:10">
      <c r="A1515">
        <v>131782</v>
      </c>
      <c r="B1515" t="s">
        <v>446</v>
      </c>
      <c r="C1515" t="s">
        <v>4966</v>
      </c>
      <c r="D1515" t="s">
        <v>12</v>
      </c>
      <c r="E1515" t="s">
        <v>4967</v>
      </c>
      <c r="F1515" t="s">
        <v>14</v>
      </c>
      <c r="G1515" s="1">
        <v>3991.98</v>
      </c>
      <c r="H1515" t="s">
        <v>553</v>
      </c>
      <c r="I1515" t="s">
        <v>2521</v>
      </c>
      <c r="J1515" t="s">
        <v>4968</v>
      </c>
    </row>
    <row r="1516" spans="1:10">
      <c r="A1516">
        <v>110323</v>
      </c>
      <c r="B1516" t="s">
        <v>446</v>
      </c>
      <c r="C1516" t="s">
        <v>4969</v>
      </c>
      <c r="D1516" t="s">
        <v>12</v>
      </c>
      <c r="E1516" t="s">
        <v>4970</v>
      </c>
      <c r="F1516" t="s">
        <v>14</v>
      </c>
      <c r="G1516" s="1">
        <v>3975.12</v>
      </c>
      <c r="H1516" t="s">
        <v>85</v>
      </c>
      <c r="I1516" t="s">
        <v>4971</v>
      </c>
      <c r="J1516" t="s">
        <v>4972</v>
      </c>
    </row>
    <row r="1517" spans="1:10">
      <c r="A1517">
        <v>150753</v>
      </c>
      <c r="B1517" t="s">
        <v>446</v>
      </c>
      <c r="C1517" t="s">
        <v>4973</v>
      </c>
      <c r="D1517" t="s">
        <v>12</v>
      </c>
      <c r="E1517" t="s">
        <v>4974</v>
      </c>
      <c r="F1517" t="s">
        <v>14</v>
      </c>
      <c r="G1517" s="1">
        <v>3965</v>
      </c>
      <c r="H1517" t="s">
        <v>777</v>
      </c>
      <c r="I1517" t="s">
        <v>4975</v>
      </c>
      <c r="J1517" t="s">
        <v>4976</v>
      </c>
    </row>
    <row r="1518" spans="1:10">
      <c r="A1518">
        <v>125501</v>
      </c>
      <c r="B1518" t="s">
        <v>446</v>
      </c>
      <c r="C1518" t="s">
        <v>4977</v>
      </c>
      <c r="D1518" t="s">
        <v>12</v>
      </c>
      <c r="E1518" t="s">
        <v>4978</v>
      </c>
      <c r="F1518" t="s">
        <v>14</v>
      </c>
      <c r="G1518" s="1">
        <v>3960</v>
      </c>
      <c r="H1518" t="s">
        <v>918</v>
      </c>
      <c r="I1518" t="s">
        <v>4209</v>
      </c>
      <c r="J1518" t="s">
        <v>4979</v>
      </c>
    </row>
    <row r="1519" spans="1:10">
      <c r="A1519">
        <v>144397</v>
      </c>
      <c r="B1519" t="s">
        <v>446</v>
      </c>
      <c r="C1519" t="s">
        <v>4980</v>
      </c>
      <c r="D1519" t="s">
        <v>12</v>
      </c>
      <c r="E1519" t="s">
        <v>4981</v>
      </c>
      <c r="F1519" t="s">
        <v>14</v>
      </c>
      <c r="G1519" s="1">
        <v>3936.91</v>
      </c>
      <c r="H1519" t="s">
        <v>232</v>
      </c>
      <c r="I1519" t="s">
        <v>3501</v>
      </c>
      <c r="J1519" t="s">
        <v>4982</v>
      </c>
    </row>
    <row r="1520" spans="1:10">
      <c r="A1520">
        <v>108250</v>
      </c>
      <c r="B1520" t="s">
        <v>446</v>
      </c>
      <c r="C1520" t="s">
        <v>4983</v>
      </c>
      <c r="D1520" t="s">
        <v>12</v>
      </c>
      <c r="E1520" t="s">
        <v>4984</v>
      </c>
      <c r="F1520" t="s">
        <v>14</v>
      </c>
      <c r="G1520" s="1">
        <v>3926</v>
      </c>
      <c r="H1520" t="s">
        <v>140</v>
      </c>
      <c r="I1520" t="s">
        <v>1748</v>
      </c>
      <c r="J1520" t="s">
        <v>4985</v>
      </c>
    </row>
    <row r="1521" spans="1:10">
      <c r="A1521">
        <v>150387</v>
      </c>
      <c r="B1521" t="s">
        <v>446</v>
      </c>
      <c r="C1521" t="s">
        <v>4986</v>
      </c>
      <c r="D1521" t="s">
        <v>12</v>
      </c>
      <c r="E1521" t="s">
        <v>4987</v>
      </c>
      <c r="F1521" t="s">
        <v>14</v>
      </c>
      <c r="G1521" s="1">
        <v>3925</v>
      </c>
      <c r="H1521" t="s">
        <v>499</v>
      </c>
      <c r="I1521" t="s">
        <v>2632</v>
      </c>
      <c r="J1521" t="s">
        <v>4988</v>
      </c>
    </row>
    <row r="1522" spans="1:10">
      <c r="A1522">
        <v>150626</v>
      </c>
      <c r="B1522" t="s">
        <v>446</v>
      </c>
      <c r="C1522" t="s">
        <v>4989</v>
      </c>
      <c r="D1522" t="s">
        <v>12</v>
      </c>
      <c r="E1522" t="s">
        <v>4990</v>
      </c>
      <c r="F1522" t="s">
        <v>14</v>
      </c>
      <c r="G1522" s="1">
        <v>3918.83</v>
      </c>
      <c r="H1522" t="s">
        <v>232</v>
      </c>
      <c r="I1522" t="s">
        <v>4991</v>
      </c>
      <c r="J1522" t="s">
        <v>4992</v>
      </c>
    </row>
    <row r="1523" spans="1:10">
      <c r="A1523">
        <v>148217</v>
      </c>
      <c r="B1523" t="s">
        <v>446</v>
      </c>
      <c r="C1523" t="s">
        <v>4993</v>
      </c>
      <c r="D1523" t="s">
        <v>12</v>
      </c>
      <c r="E1523" t="s">
        <v>4994</v>
      </c>
      <c r="F1523" t="s">
        <v>14</v>
      </c>
      <c r="G1523" s="1">
        <v>3911.17</v>
      </c>
      <c r="H1523" t="s">
        <v>140</v>
      </c>
      <c r="I1523" t="s">
        <v>4995</v>
      </c>
      <c r="J1523" t="s">
        <v>4996</v>
      </c>
    </row>
    <row r="1524" spans="1:10">
      <c r="A1524">
        <v>123478</v>
      </c>
      <c r="B1524" t="s">
        <v>446</v>
      </c>
      <c r="C1524" t="s">
        <v>4997</v>
      </c>
      <c r="D1524" t="s">
        <v>12</v>
      </c>
      <c r="E1524" t="s">
        <v>4998</v>
      </c>
      <c r="F1524" t="s">
        <v>14</v>
      </c>
      <c r="G1524" s="1">
        <v>3901.68</v>
      </c>
      <c r="H1524" t="s">
        <v>1017</v>
      </c>
      <c r="I1524" t="s">
        <v>4999</v>
      </c>
      <c r="J1524" t="s">
        <v>5000</v>
      </c>
    </row>
    <row r="1525" spans="1:10">
      <c r="A1525">
        <v>151633</v>
      </c>
      <c r="B1525" t="s">
        <v>446</v>
      </c>
      <c r="C1525" t="s">
        <v>5001</v>
      </c>
      <c r="D1525" t="s">
        <v>12</v>
      </c>
      <c r="E1525" t="s">
        <v>5002</v>
      </c>
      <c r="F1525" t="s">
        <v>14</v>
      </c>
      <c r="G1525" s="1">
        <v>3900</v>
      </c>
      <c r="H1525" t="s">
        <v>777</v>
      </c>
      <c r="I1525" t="s">
        <v>2021</v>
      </c>
      <c r="J1525" t="s">
        <v>2153</v>
      </c>
    </row>
    <row r="1526" spans="1:10">
      <c r="A1526">
        <v>148646</v>
      </c>
      <c r="B1526" t="s">
        <v>446</v>
      </c>
      <c r="C1526" t="s">
        <v>5003</v>
      </c>
      <c r="D1526" t="s">
        <v>12</v>
      </c>
      <c r="E1526" t="s">
        <v>5004</v>
      </c>
      <c r="F1526" t="s">
        <v>14</v>
      </c>
      <c r="G1526" s="1">
        <v>3900</v>
      </c>
      <c r="H1526" t="s">
        <v>140</v>
      </c>
      <c r="I1526" t="s">
        <v>1748</v>
      </c>
      <c r="J1526" t="s">
        <v>5005</v>
      </c>
    </row>
    <row r="1527" spans="1:10">
      <c r="A1527">
        <v>144053</v>
      </c>
      <c r="B1527" t="s">
        <v>446</v>
      </c>
      <c r="C1527" t="s">
        <v>5006</v>
      </c>
      <c r="D1527" t="s">
        <v>12</v>
      </c>
      <c r="E1527" t="s">
        <v>5007</v>
      </c>
      <c r="F1527" t="s">
        <v>14</v>
      </c>
      <c r="G1527" s="1">
        <v>3861.18</v>
      </c>
      <c r="H1527" t="s">
        <v>1017</v>
      </c>
      <c r="I1527" t="s">
        <v>5008</v>
      </c>
      <c r="J1527" t="s">
        <v>5009</v>
      </c>
    </row>
    <row r="1528" spans="1:10">
      <c r="A1528">
        <v>128837</v>
      </c>
      <c r="B1528" t="s">
        <v>446</v>
      </c>
      <c r="C1528" t="s">
        <v>5010</v>
      </c>
      <c r="D1528" t="s">
        <v>12</v>
      </c>
      <c r="E1528" t="s">
        <v>5011</v>
      </c>
      <c r="F1528" t="s">
        <v>14</v>
      </c>
      <c r="G1528" s="1">
        <v>3858.61</v>
      </c>
      <c r="H1528" t="s">
        <v>1378</v>
      </c>
      <c r="I1528" t="s">
        <v>1379</v>
      </c>
      <c r="J1528" t="s">
        <v>1380</v>
      </c>
    </row>
    <row r="1529" spans="1:10">
      <c r="A1529">
        <v>130068</v>
      </c>
      <c r="B1529" t="s">
        <v>446</v>
      </c>
      <c r="C1529" t="s">
        <v>5012</v>
      </c>
      <c r="D1529" t="s">
        <v>12</v>
      </c>
      <c r="E1529" t="s">
        <v>5013</v>
      </c>
      <c r="F1529" t="s">
        <v>14</v>
      </c>
      <c r="G1529" s="1">
        <v>3857.22</v>
      </c>
      <c r="H1529" t="s">
        <v>126</v>
      </c>
      <c r="I1529" t="s">
        <v>5014</v>
      </c>
      <c r="J1529" t="s">
        <v>5015</v>
      </c>
    </row>
    <row r="1530" spans="1:10">
      <c r="A1530">
        <v>112994</v>
      </c>
      <c r="B1530" t="s">
        <v>446</v>
      </c>
      <c r="C1530" t="s">
        <v>5016</v>
      </c>
      <c r="D1530" t="s">
        <v>12</v>
      </c>
      <c r="E1530" t="s">
        <v>5017</v>
      </c>
      <c r="F1530" t="s">
        <v>14</v>
      </c>
      <c r="G1530" s="1">
        <v>3843.58</v>
      </c>
      <c r="H1530" t="s">
        <v>499</v>
      </c>
      <c r="I1530" t="s">
        <v>5018</v>
      </c>
      <c r="J1530" t="s">
        <v>5019</v>
      </c>
    </row>
    <row r="1531" spans="1:10">
      <c r="A1531">
        <v>145913</v>
      </c>
      <c r="B1531" t="s">
        <v>446</v>
      </c>
      <c r="C1531" t="s">
        <v>5020</v>
      </c>
      <c r="D1531" t="s">
        <v>12</v>
      </c>
      <c r="E1531" t="s">
        <v>5021</v>
      </c>
      <c r="F1531" t="s">
        <v>14</v>
      </c>
      <c r="G1531" s="1">
        <v>3825</v>
      </c>
      <c r="H1531" t="s">
        <v>777</v>
      </c>
      <c r="I1531" t="s">
        <v>4133</v>
      </c>
      <c r="J1531" t="s">
        <v>4308</v>
      </c>
    </row>
    <row r="1532" spans="1:10">
      <c r="A1532">
        <v>129198</v>
      </c>
      <c r="B1532" t="s">
        <v>446</v>
      </c>
      <c r="C1532" t="s">
        <v>5022</v>
      </c>
      <c r="D1532" t="s">
        <v>2098</v>
      </c>
      <c r="E1532" t="s">
        <v>5023</v>
      </c>
      <c r="F1532" t="s">
        <v>14</v>
      </c>
      <c r="G1532" s="1">
        <v>3824.07</v>
      </c>
      <c r="H1532" t="s">
        <v>375</v>
      </c>
      <c r="I1532" t="s">
        <v>2442</v>
      </c>
      <c r="J1532" t="s">
        <v>5024</v>
      </c>
    </row>
    <row r="1533" spans="1:10">
      <c r="A1533">
        <v>125841</v>
      </c>
      <c r="B1533" t="s">
        <v>446</v>
      </c>
      <c r="C1533" t="s">
        <v>5025</v>
      </c>
      <c r="D1533" t="s">
        <v>12</v>
      </c>
      <c r="E1533" t="s">
        <v>5026</v>
      </c>
      <c r="F1533" t="s">
        <v>14</v>
      </c>
      <c r="G1533" s="1">
        <v>3788.23</v>
      </c>
      <c r="H1533" t="s">
        <v>1017</v>
      </c>
      <c r="I1533" t="s">
        <v>5027</v>
      </c>
      <c r="J1533" t="s">
        <v>5028</v>
      </c>
    </row>
    <row r="1534" spans="1:10">
      <c r="A1534" t="s">
        <v>5029</v>
      </c>
      <c r="B1534" t="s">
        <v>446</v>
      </c>
      <c r="C1534" t="s">
        <v>5030</v>
      </c>
      <c r="D1534" t="s">
        <v>12</v>
      </c>
      <c r="E1534" t="s">
        <v>5031</v>
      </c>
      <c r="F1534" t="s">
        <v>168</v>
      </c>
      <c r="G1534" s="1">
        <v>3784.78</v>
      </c>
      <c r="H1534" t="s">
        <v>499</v>
      </c>
      <c r="I1534" t="s">
        <v>5032</v>
      </c>
      <c r="J1534" t="s">
        <v>5033</v>
      </c>
    </row>
    <row r="1535" spans="1:10">
      <c r="A1535">
        <v>121334</v>
      </c>
      <c r="B1535" t="s">
        <v>446</v>
      </c>
      <c r="C1535" t="s">
        <v>5034</v>
      </c>
      <c r="D1535" t="s">
        <v>12</v>
      </c>
      <c r="E1535" t="s">
        <v>5035</v>
      </c>
      <c r="F1535" t="s">
        <v>14</v>
      </c>
      <c r="G1535" s="1">
        <v>3775</v>
      </c>
      <c r="H1535" t="s">
        <v>1917</v>
      </c>
      <c r="I1535" t="s">
        <v>5036</v>
      </c>
      <c r="J1535" t="s">
        <v>5037</v>
      </c>
    </row>
    <row r="1536" spans="1:10">
      <c r="A1536">
        <v>128168</v>
      </c>
      <c r="B1536" t="s">
        <v>446</v>
      </c>
      <c r="C1536" t="s">
        <v>5038</v>
      </c>
      <c r="D1536" t="s">
        <v>12</v>
      </c>
      <c r="E1536" t="s">
        <v>5039</v>
      </c>
      <c r="F1536" t="s">
        <v>14</v>
      </c>
      <c r="G1536" s="1">
        <v>3769.98</v>
      </c>
      <c r="H1536" t="s">
        <v>232</v>
      </c>
      <c r="I1536" t="s">
        <v>5038</v>
      </c>
      <c r="J1536" t="s">
        <v>5040</v>
      </c>
    </row>
    <row r="1537" spans="1:10">
      <c r="A1537">
        <v>128373</v>
      </c>
      <c r="B1537" t="s">
        <v>446</v>
      </c>
      <c r="C1537" t="s">
        <v>5041</v>
      </c>
      <c r="D1537" t="s">
        <v>12</v>
      </c>
      <c r="E1537" t="s">
        <v>5042</v>
      </c>
      <c r="F1537" t="s">
        <v>14</v>
      </c>
      <c r="G1537" s="1">
        <v>3752.51</v>
      </c>
      <c r="H1537" t="s">
        <v>553</v>
      </c>
      <c r="I1537" t="s">
        <v>3873</v>
      </c>
      <c r="J1537" t="s">
        <v>5043</v>
      </c>
    </row>
    <row r="1538" spans="1:10">
      <c r="A1538">
        <v>131103</v>
      </c>
      <c r="B1538" t="s">
        <v>446</v>
      </c>
      <c r="C1538" t="s">
        <v>5044</v>
      </c>
      <c r="D1538" t="s">
        <v>12</v>
      </c>
      <c r="E1538" t="s">
        <v>5045</v>
      </c>
      <c r="F1538" t="s">
        <v>14</v>
      </c>
      <c r="G1538" s="1">
        <v>3750</v>
      </c>
      <c r="H1538" t="s">
        <v>15</v>
      </c>
      <c r="I1538" t="s">
        <v>5046</v>
      </c>
      <c r="J1538" t="s">
        <v>5047</v>
      </c>
    </row>
    <row r="1539" spans="1:10">
      <c r="A1539">
        <v>150784</v>
      </c>
      <c r="B1539" t="s">
        <v>446</v>
      </c>
      <c r="C1539" t="s">
        <v>5048</v>
      </c>
      <c r="D1539" t="s">
        <v>12</v>
      </c>
      <c r="E1539" t="s">
        <v>5049</v>
      </c>
      <c r="F1539" t="s">
        <v>14</v>
      </c>
      <c r="G1539" s="1">
        <v>3750</v>
      </c>
      <c r="H1539" t="s">
        <v>36</v>
      </c>
      <c r="I1539" t="s">
        <v>5050</v>
      </c>
      <c r="J1539" t="s">
        <v>1821</v>
      </c>
    </row>
    <row r="1540" spans="1:10">
      <c r="A1540">
        <v>130366</v>
      </c>
      <c r="B1540" t="s">
        <v>446</v>
      </c>
      <c r="C1540" t="s">
        <v>5051</v>
      </c>
      <c r="D1540" t="s">
        <v>12</v>
      </c>
      <c r="E1540" t="s">
        <v>5052</v>
      </c>
      <c r="F1540" t="s">
        <v>14</v>
      </c>
      <c r="G1540" s="1">
        <v>3741</v>
      </c>
      <c r="H1540" t="s">
        <v>918</v>
      </c>
      <c r="I1540" t="s">
        <v>4209</v>
      </c>
      <c r="J1540" t="s">
        <v>5053</v>
      </c>
    </row>
    <row r="1541" spans="1:10">
      <c r="A1541">
        <v>152456</v>
      </c>
      <c r="B1541" t="s">
        <v>446</v>
      </c>
      <c r="C1541" t="s">
        <v>5054</v>
      </c>
      <c r="D1541" t="s">
        <v>12</v>
      </c>
      <c r="E1541" t="s">
        <v>5055</v>
      </c>
      <c r="F1541" t="s">
        <v>14</v>
      </c>
      <c r="G1541" s="1">
        <v>3725</v>
      </c>
      <c r="H1541" t="s">
        <v>95</v>
      </c>
      <c r="I1541" t="s">
        <v>506</v>
      </c>
      <c r="J1541" t="s">
        <v>1522</v>
      </c>
    </row>
    <row r="1542" spans="1:10">
      <c r="A1542">
        <v>108999</v>
      </c>
      <c r="B1542" t="s">
        <v>446</v>
      </c>
      <c r="C1542" t="s">
        <v>5056</v>
      </c>
      <c r="D1542" t="s">
        <v>12</v>
      </c>
      <c r="E1542" t="s">
        <v>5057</v>
      </c>
      <c r="F1542" t="s">
        <v>14</v>
      </c>
      <c r="G1542" s="1">
        <v>3721.4</v>
      </c>
      <c r="H1542" t="s">
        <v>1378</v>
      </c>
      <c r="I1542" t="s">
        <v>5058</v>
      </c>
      <c r="J1542" t="s">
        <v>5059</v>
      </c>
    </row>
    <row r="1543" spans="1:10">
      <c r="A1543">
        <v>102919</v>
      </c>
      <c r="B1543" t="s">
        <v>446</v>
      </c>
      <c r="C1543" t="s">
        <v>5060</v>
      </c>
      <c r="D1543" t="s">
        <v>1986</v>
      </c>
      <c r="E1543" t="s">
        <v>5061</v>
      </c>
      <c r="F1543" t="s">
        <v>14</v>
      </c>
      <c r="G1543" s="1">
        <v>3720</v>
      </c>
      <c r="H1543" t="s">
        <v>126</v>
      </c>
      <c r="I1543" t="s">
        <v>471</v>
      </c>
      <c r="J1543" t="s">
        <v>472</v>
      </c>
    </row>
    <row r="1544" spans="1:10">
      <c r="A1544">
        <v>119186</v>
      </c>
      <c r="B1544" t="s">
        <v>446</v>
      </c>
      <c r="C1544" t="s">
        <v>5062</v>
      </c>
      <c r="D1544" t="s">
        <v>12</v>
      </c>
      <c r="E1544" t="s">
        <v>5063</v>
      </c>
      <c r="F1544" t="s">
        <v>14</v>
      </c>
      <c r="G1544" s="1">
        <v>3720</v>
      </c>
      <c r="H1544" t="s">
        <v>1017</v>
      </c>
      <c r="I1544" t="s">
        <v>4618</v>
      </c>
      <c r="J1544" t="s">
        <v>4911</v>
      </c>
    </row>
    <row r="1545" spans="1:10">
      <c r="A1545">
        <v>103169</v>
      </c>
      <c r="B1545" t="s">
        <v>446</v>
      </c>
      <c r="C1545" t="s">
        <v>5064</v>
      </c>
      <c r="D1545" t="s">
        <v>25</v>
      </c>
      <c r="E1545" t="s">
        <v>5065</v>
      </c>
      <c r="F1545" t="s">
        <v>14</v>
      </c>
      <c r="G1545" s="1">
        <v>3714.76</v>
      </c>
      <c r="H1545" t="s">
        <v>36</v>
      </c>
      <c r="I1545" t="s">
        <v>288</v>
      </c>
      <c r="J1545" t="s">
        <v>5066</v>
      </c>
    </row>
    <row r="1546" spans="1:10">
      <c r="A1546">
        <v>144706</v>
      </c>
      <c r="B1546" t="s">
        <v>446</v>
      </c>
      <c r="C1546" t="s">
        <v>5067</v>
      </c>
      <c r="D1546" t="s">
        <v>12</v>
      </c>
      <c r="E1546" t="s">
        <v>5068</v>
      </c>
      <c r="F1546" t="s">
        <v>14</v>
      </c>
      <c r="G1546" s="1">
        <v>3710</v>
      </c>
      <c r="H1546" t="s">
        <v>2083</v>
      </c>
      <c r="I1546" t="s">
        <v>5069</v>
      </c>
      <c r="J1546" t="s">
        <v>5070</v>
      </c>
    </row>
    <row r="1547" spans="1:10">
      <c r="A1547">
        <v>131110</v>
      </c>
      <c r="B1547" t="s">
        <v>446</v>
      </c>
      <c r="C1547" t="s">
        <v>5071</v>
      </c>
      <c r="D1547" t="s">
        <v>12</v>
      </c>
      <c r="E1547" t="s">
        <v>5072</v>
      </c>
      <c r="F1547" t="s">
        <v>14</v>
      </c>
      <c r="G1547" s="1">
        <v>3705</v>
      </c>
      <c r="H1547" t="s">
        <v>918</v>
      </c>
      <c r="I1547" t="s">
        <v>919</v>
      </c>
      <c r="J1547" t="s">
        <v>3668</v>
      </c>
    </row>
    <row r="1548" spans="1:10">
      <c r="A1548" t="s">
        <v>5073</v>
      </c>
      <c r="B1548" t="s">
        <v>446</v>
      </c>
      <c r="C1548" t="s">
        <v>5074</v>
      </c>
      <c r="D1548" t="s">
        <v>12</v>
      </c>
      <c r="E1548" t="s">
        <v>5075</v>
      </c>
      <c r="F1548" t="s">
        <v>168</v>
      </c>
      <c r="G1548" s="1">
        <v>3692.52</v>
      </c>
      <c r="H1548" t="s">
        <v>232</v>
      </c>
      <c r="I1548" t="s">
        <v>624</v>
      </c>
      <c r="J1548" t="s">
        <v>625</v>
      </c>
    </row>
    <row r="1549" spans="1:10">
      <c r="A1549">
        <v>110685</v>
      </c>
      <c r="B1549" t="s">
        <v>446</v>
      </c>
      <c r="C1549" t="s">
        <v>5076</v>
      </c>
      <c r="D1549" t="s">
        <v>512</v>
      </c>
      <c r="E1549" t="s">
        <v>5077</v>
      </c>
      <c r="F1549" t="s">
        <v>14</v>
      </c>
      <c r="G1549" s="1">
        <v>3673.75</v>
      </c>
      <c r="H1549" t="s">
        <v>1017</v>
      </c>
      <c r="I1549" t="s">
        <v>4756</v>
      </c>
      <c r="J1549" t="s">
        <v>5078</v>
      </c>
    </row>
    <row r="1550" spans="1:10">
      <c r="A1550">
        <v>142093</v>
      </c>
      <c r="B1550" t="s">
        <v>446</v>
      </c>
      <c r="C1550" t="s">
        <v>5079</v>
      </c>
      <c r="D1550" t="s">
        <v>12</v>
      </c>
      <c r="E1550" t="s">
        <v>5080</v>
      </c>
      <c r="F1550" t="s">
        <v>14</v>
      </c>
      <c r="G1550" s="1">
        <v>3648</v>
      </c>
      <c r="H1550" t="s">
        <v>918</v>
      </c>
      <c r="I1550" t="s">
        <v>919</v>
      </c>
      <c r="J1550" t="s">
        <v>5081</v>
      </c>
    </row>
    <row r="1551" spans="1:10">
      <c r="A1551">
        <v>141726</v>
      </c>
      <c r="B1551" t="s">
        <v>446</v>
      </c>
      <c r="C1551" t="s">
        <v>5082</v>
      </c>
      <c r="D1551" t="s">
        <v>12</v>
      </c>
      <c r="E1551" t="s">
        <v>5083</v>
      </c>
      <c r="F1551" t="s">
        <v>14</v>
      </c>
      <c r="G1551" s="1">
        <v>3641.03</v>
      </c>
      <c r="H1551" t="s">
        <v>36</v>
      </c>
      <c r="I1551" t="s">
        <v>1774</v>
      </c>
      <c r="J1551" t="s">
        <v>1775</v>
      </c>
    </row>
    <row r="1552" spans="1:10">
      <c r="A1552">
        <v>125595</v>
      </c>
      <c r="B1552" t="s">
        <v>446</v>
      </c>
      <c r="C1552" t="s">
        <v>5084</v>
      </c>
      <c r="D1552" t="s">
        <v>12</v>
      </c>
      <c r="E1552" t="s">
        <v>5085</v>
      </c>
      <c r="F1552" t="s">
        <v>14</v>
      </c>
      <c r="G1552" s="1">
        <v>3618</v>
      </c>
      <c r="H1552" t="s">
        <v>140</v>
      </c>
      <c r="I1552" t="s">
        <v>5086</v>
      </c>
      <c r="J1552" t="s">
        <v>5087</v>
      </c>
    </row>
    <row r="1553" spans="1:10">
      <c r="A1553">
        <v>143813</v>
      </c>
      <c r="B1553" t="s">
        <v>446</v>
      </c>
      <c r="C1553" t="s">
        <v>5088</v>
      </c>
      <c r="D1553" t="s">
        <v>12</v>
      </c>
      <c r="E1553" t="s">
        <v>5089</v>
      </c>
      <c r="F1553" t="s">
        <v>14</v>
      </c>
      <c r="G1553" s="1">
        <v>3617.7</v>
      </c>
      <c r="H1553" t="s">
        <v>36</v>
      </c>
      <c r="I1553" t="s">
        <v>2435</v>
      </c>
      <c r="J1553" t="s">
        <v>5090</v>
      </c>
    </row>
    <row r="1554" spans="1:10">
      <c r="A1554">
        <v>150915</v>
      </c>
      <c r="B1554" t="s">
        <v>446</v>
      </c>
      <c r="C1554" t="s">
        <v>5091</v>
      </c>
      <c r="D1554" t="s">
        <v>12</v>
      </c>
      <c r="E1554" t="s">
        <v>5092</v>
      </c>
      <c r="F1554" t="s">
        <v>14</v>
      </c>
      <c r="G1554" s="1">
        <v>3613.39</v>
      </c>
      <c r="H1554" t="s">
        <v>777</v>
      </c>
      <c r="I1554" t="s">
        <v>2021</v>
      </c>
      <c r="J1554" t="s">
        <v>5093</v>
      </c>
    </row>
    <row r="1555" spans="1:10">
      <c r="A1555">
        <v>118878</v>
      </c>
      <c r="B1555" t="s">
        <v>446</v>
      </c>
      <c r="C1555" t="s">
        <v>5094</v>
      </c>
      <c r="D1555" t="s">
        <v>124</v>
      </c>
      <c r="E1555" t="s">
        <v>5095</v>
      </c>
      <c r="F1555" t="s">
        <v>14</v>
      </c>
      <c r="G1555" s="1">
        <v>3600</v>
      </c>
      <c r="H1555" t="s">
        <v>1263</v>
      </c>
      <c r="I1555" t="s">
        <v>5096</v>
      </c>
      <c r="J1555" t="s">
        <v>5097</v>
      </c>
    </row>
    <row r="1556" spans="1:10">
      <c r="A1556">
        <v>119231</v>
      </c>
      <c r="B1556" t="s">
        <v>446</v>
      </c>
      <c r="C1556" t="s">
        <v>5098</v>
      </c>
      <c r="D1556" t="s">
        <v>124</v>
      </c>
      <c r="E1556" t="s">
        <v>5099</v>
      </c>
      <c r="F1556" t="s">
        <v>14</v>
      </c>
      <c r="G1556" s="1">
        <v>3600</v>
      </c>
      <c r="H1556" t="s">
        <v>126</v>
      </c>
      <c r="I1556" t="s">
        <v>156</v>
      </c>
      <c r="J1556" t="s">
        <v>180</v>
      </c>
    </row>
    <row r="1557" spans="1:10">
      <c r="A1557">
        <v>126943</v>
      </c>
      <c r="B1557" t="s">
        <v>446</v>
      </c>
      <c r="C1557" t="s">
        <v>5100</v>
      </c>
      <c r="D1557" t="s">
        <v>12</v>
      </c>
      <c r="E1557" t="s">
        <v>5101</v>
      </c>
      <c r="F1557" t="s">
        <v>14</v>
      </c>
      <c r="G1557" s="1">
        <v>3600</v>
      </c>
      <c r="H1557" t="s">
        <v>928</v>
      </c>
      <c r="I1557" t="s">
        <v>5102</v>
      </c>
      <c r="J1557" t="s">
        <v>5103</v>
      </c>
    </row>
    <row r="1558" spans="1:10">
      <c r="A1558">
        <v>143037</v>
      </c>
      <c r="B1558" t="s">
        <v>446</v>
      </c>
      <c r="C1558" t="s">
        <v>5104</v>
      </c>
      <c r="D1558" t="s">
        <v>12</v>
      </c>
      <c r="E1558" t="s">
        <v>5105</v>
      </c>
      <c r="F1558" t="s">
        <v>14</v>
      </c>
      <c r="G1558" s="1">
        <v>3590</v>
      </c>
      <c r="H1558" t="s">
        <v>1378</v>
      </c>
      <c r="I1558" t="s">
        <v>1379</v>
      </c>
      <c r="J1558" t="s">
        <v>1380</v>
      </c>
    </row>
    <row r="1559" spans="1:10">
      <c r="A1559">
        <v>149926</v>
      </c>
      <c r="B1559" t="s">
        <v>446</v>
      </c>
      <c r="C1559" t="s">
        <v>5106</v>
      </c>
      <c r="D1559" t="s">
        <v>12</v>
      </c>
      <c r="E1559" t="s">
        <v>5107</v>
      </c>
      <c r="F1559" t="s">
        <v>14</v>
      </c>
      <c r="G1559" s="1">
        <v>3588</v>
      </c>
      <c r="H1559" t="s">
        <v>437</v>
      </c>
      <c r="I1559" t="s">
        <v>5108</v>
      </c>
      <c r="J1559" t="s">
        <v>5109</v>
      </c>
    </row>
    <row r="1560" spans="1:10">
      <c r="A1560">
        <v>120754</v>
      </c>
      <c r="B1560" t="s">
        <v>446</v>
      </c>
      <c r="C1560" t="s">
        <v>5110</v>
      </c>
      <c r="D1560" t="s">
        <v>12</v>
      </c>
      <c r="E1560" t="s">
        <v>5111</v>
      </c>
      <c r="F1560" t="s">
        <v>14</v>
      </c>
      <c r="G1560" s="1">
        <v>3539.03</v>
      </c>
      <c r="H1560" t="s">
        <v>36</v>
      </c>
      <c r="I1560" t="s">
        <v>5112</v>
      </c>
      <c r="J1560" t="s">
        <v>5113</v>
      </c>
    </row>
    <row r="1561" spans="1:10">
      <c r="A1561">
        <v>151189</v>
      </c>
      <c r="B1561" t="s">
        <v>446</v>
      </c>
      <c r="C1561" t="s">
        <v>5114</v>
      </c>
      <c r="D1561" t="s">
        <v>12</v>
      </c>
      <c r="E1561" t="s">
        <v>5115</v>
      </c>
      <c r="F1561" t="s">
        <v>14</v>
      </c>
      <c r="G1561" s="1">
        <v>3520.06</v>
      </c>
      <c r="H1561" t="s">
        <v>140</v>
      </c>
      <c r="I1561" t="s">
        <v>669</v>
      </c>
      <c r="J1561" t="s">
        <v>670</v>
      </c>
    </row>
    <row r="1562" spans="1:10">
      <c r="A1562">
        <v>132275</v>
      </c>
      <c r="B1562" t="s">
        <v>446</v>
      </c>
      <c r="C1562" t="s">
        <v>5116</v>
      </c>
      <c r="D1562" t="s">
        <v>124</v>
      </c>
      <c r="E1562" t="s">
        <v>5117</v>
      </c>
      <c r="F1562" t="s">
        <v>14</v>
      </c>
      <c r="G1562" s="1">
        <v>3500</v>
      </c>
      <c r="H1562" t="s">
        <v>126</v>
      </c>
      <c r="I1562" t="s">
        <v>156</v>
      </c>
      <c r="J1562" t="s">
        <v>187</v>
      </c>
    </row>
    <row r="1563" spans="1:10">
      <c r="A1563">
        <v>152746</v>
      </c>
      <c r="B1563" t="s">
        <v>446</v>
      </c>
      <c r="C1563" t="s">
        <v>5118</v>
      </c>
      <c r="D1563" t="s">
        <v>12</v>
      </c>
      <c r="E1563" t="s">
        <v>5119</v>
      </c>
      <c r="F1563" t="s">
        <v>14</v>
      </c>
      <c r="G1563" s="1">
        <v>3500</v>
      </c>
      <c r="H1563" t="s">
        <v>95</v>
      </c>
      <c r="I1563" t="s">
        <v>506</v>
      </c>
      <c r="J1563" t="s">
        <v>1522</v>
      </c>
    </row>
    <row r="1564" spans="1:10">
      <c r="A1564">
        <v>145082</v>
      </c>
      <c r="B1564" t="s">
        <v>446</v>
      </c>
      <c r="C1564" t="s">
        <v>5120</v>
      </c>
      <c r="D1564" t="s">
        <v>12</v>
      </c>
      <c r="E1564" t="s">
        <v>5121</v>
      </c>
      <c r="F1564" t="s">
        <v>14</v>
      </c>
      <c r="G1564" s="1">
        <v>3500</v>
      </c>
      <c r="H1564" t="s">
        <v>499</v>
      </c>
      <c r="I1564" t="s">
        <v>5122</v>
      </c>
      <c r="J1564" t="s">
        <v>5123</v>
      </c>
    </row>
    <row r="1565" spans="1:10">
      <c r="A1565">
        <v>115755</v>
      </c>
      <c r="B1565" t="s">
        <v>446</v>
      </c>
      <c r="C1565" t="s">
        <v>5124</v>
      </c>
      <c r="D1565" t="s">
        <v>12</v>
      </c>
      <c r="E1565" t="s">
        <v>5125</v>
      </c>
      <c r="F1565" t="s">
        <v>14</v>
      </c>
      <c r="G1565" s="1">
        <v>3487.82</v>
      </c>
      <c r="H1565" t="s">
        <v>232</v>
      </c>
      <c r="I1565" t="s">
        <v>233</v>
      </c>
      <c r="J1565" t="s">
        <v>3151</v>
      </c>
    </row>
    <row r="1566" spans="1:10">
      <c r="A1566">
        <v>130021</v>
      </c>
      <c r="B1566" t="s">
        <v>446</v>
      </c>
      <c r="C1566" t="s">
        <v>5126</v>
      </c>
      <c r="D1566" t="s">
        <v>12</v>
      </c>
      <c r="E1566" t="s">
        <v>5127</v>
      </c>
      <c r="F1566" t="s">
        <v>14</v>
      </c>
      <c r="G1566" s="1">
        <v>3486.69</v>
      </c>
      <c r="H1566" t="s">
        <v>1017</v>
      </c>
      <c r="I1566" t="s">
        <v>4595</v>
      </c>
      <c r="J1566" t="s">
        <v>5128</v>
      </c>
    </row>
    <row r="1567" spans="1:10">
      <c r="A1567">
        <v>152096</v>
      </c>
      <c r="B1567" t="s">
        <v>446</v>
      </c>
      <c r="C1567" t="s">
        <v>5129</v>
      </c>
      <c r="D1567" t="s">
        <v>12</v>
      </c>
      <c r="E1567" t="s">
        <v>5130</v>
      </c>
      <c r="F1567" t="s">
        <v>14</v>
      </c>
      <c r="G1567" s="1">
        <v>3484.57</v>
      </c>
      <c r="H1567" t="s">
        <v>36</v>
      </c>
      <c r="I1567" t="s">
        <v>5131</v>
      </c>
      <c r="J1567" t="s">
        <v>5132</v>
      </c>
    </row>
    <row r="1568" spans="1:10">
      <c r="A1568">
        <v>130144</v>
      </c>
      <c r="B1568" t="s">
        <v>446</v>
      </c>
      <c r="C1568" t="s">
        <v>5133</v>
      </c>
      <c r="D1568" t="s">
        <v>12</v>
      </c>
      <c r="E1568" t="s">
        <v>5134</v>
      </c>
      <c r="F1568" t="s">
        <v>14</v>
      </c>
      <c r="G1568" s="1">
        <v>3468.65</v>
      </c>
      <c r="H1568" t="s">
        <v>1017</v>
      </c>
      <c r="I1568" t="s">
        <v>2982</v>
      </c>
      <c r="J1568" t="s">
        <v>5135</v>
      </c>
    </row>
    <row r="1569" spans="1:10">
      <c r="A1569">
        <v>104488</v>
      </c>
      <c r="B1569" t="s">
        <v>446</v>
      </c>
      <c r="C1569" t="s">
        <v>5136</v>
      </c>
      <c r="D1569" t="s">
        <v>2098</v>
      </c>
      <c r="E1569" t="s">
        <v>5137</v>
      </c>
      <c r="F1569" t="s">
        <v>14</v>
      </c>
      <c r="G1569" s="1">
        <v>3457.22</v>
      </c>
      <c r="H1569" t="s">
        <v>140</v>
      </c>
      <c r="I1569" t="s">
        <v>1006</v>
      </c>
      <c r="J1569" t="s">
        <v>5138</v>
      </c>
    </row>
    <row r="1570" spans="1:10">
      <c r="A1570">
        <v>150432</v>
      </c>
      <c r="B1570" t="s">
        <v>446</v>
      </c>
      <c r="C1570" t="s">
        <v>5139</v>
      </c>
      <c r="D1570" t="s">
        <v>12</v>
      </c>
      <c r="E1570" t="s">
        <v>5140</v>
      </c>
      <c r="F1570" t="s">
        <v>14</v>
      </c>
      <c r="G1570" s="1">
        <v>3450</v>
      </c>
      <c r="H1570" t="s">
        <v>126</v>
      </c>
      <c r="I1570" t="s">
        <v>156</v>
      </c>
      <c r="J1570" t="s">
        <v>5141</v>
      </c>
    </row>
    <row r="1571" spans="1:10">
      <c r="A1571">
        <v>132471</v>
      </c>
      <c r="B1571" t="s">
        <v>446</v>
      </c>
      <c r="C1571" t="s">
        <v>5142</v>
      </c>
      <c r="D1571" t="s">
        <v>12</v>
      </c>
      <c r="E1571" t="s">
        <v>5143</v>
      </c>
      <c r="F1571" t="s">
        <v>14</v>
      </c>
      <c r="G1571" s="1">
        <v>3448.55</v>
      </c>
      <c r="H1571" t="s">
        <v>777</v>
      </c>
      <c r="I1571" t="s">
        <v>2021</v>
      </c>
      <c r="J1571" t="s">
        <v>5144</v>
      </c>
    </row>
    <row r="1572" spans="1:10">
      <c r="A1572">
        <v>146168</v>
      </c>
      <c r="B1572" t="s">
        <v>446</v>
      </c>
      <c r="C1572" t="s">
        <v>5145</v>
      </c>
      <c r="D1572" t="s">
        <v>12</v>
      </c>
      <c r="E1572" t="s">
        <v>5146</v>
      </c>
      <c r="F1572" t="s">
        <v>14</v>
      </c>
      <c r="G1572" s="1">
        <v>3429.6</v>
      </c>
      <c r="H1572" t="s">
        <v>140</v>
      </c>
      <c r="I1572" t="s">
        <v>1704</v>
      </c>
      <c r="J1572" t="s">
        <v>5147</v>
      </c>
    </row>
    <row r="1573" spans="1:10">
      <c r="A1573">
        <v>150346</v>
      </c>
      <c r="B1573" t="s">
        <v>446</v>
      </c>
      <c r="C1573" t="s">
        <v>5148</v>
      </c>
      <c r="D1573" t="s">
        <v>12</v>
      </c>
      <c r="E1573" t="s">
        <v>5149</v>
      </c>
      <c r="F1573" t="s">
        <v>14</v>
      </c>
      <c r="G1573" s="1">
        <v>3424.54</v>
      </c>
      <c r="H1573" t="s">
        <v>140</v>
      </c>
      <c r="I1573" t="s">
        <v>1748</v>
      </c>
      <c r="J1573" t="s">
        <v>5150</v>
      </c>
    </row>
    <row r="1574" spans="1:10">
      <c r="A1574">
        <v>141461</v>
      </c>
      <c r="B1574" t="s">
        <v>446</v>
      </c>
      <c r="C1574" t="s">
        <v>5151</v>
      </c>
      <c r="D1574" t="s">
        <v>12</v>
      </c>
      <c r="E1574" t="s">
        <v>5152</v>
      </c>
      <c r="F1574" t="s">
        <v>14</v>
      </c>
      <c r="G1574" s="1">
        <v>3400</v>
      </c>
      <c r="H1574" t="s">
        <v>140</v>
      </c>
      <c r="I1574" t="s">
        <v>3485</v>
      </c>
      <c r="J1574" t="s">
        <v>506</v>
      </c>
    </row>
    <row r="1575" spans="1:10">
      <c r="A1575">
        <v>146307</v>
      </c>
      <c r="B1575" t="s">
        <v>446</v>
      </c>
      <c r="C1575" t="s">
        <v>5153</v>
      </c>
      <c r="D1575" t="s">
        <v>12</v>
      </c>
      <c r="E1575" t="s">
        <v>5154</v>
      </c>
      <c r="F1575" t="s">
        <v>14</v>
      </c>
      <c r="G1575" s="1">
        <v>3383</v>
      </c>
      <c r="H1575" t="s">
        <v>918</v>
      </c>
      <c r="I1575" t="s">
        <v>5155</v>
      </c>
      <c r="J1575" t="s">
        <v>5156</v>
      </c>
    </row>
    <row r="1576" spans="1:10">
      <c r="A1576">
        <v>129785</v>
      </c>
      <c r="B1576" t="s">
        <v>446</v>
      </c>
      <c r="C1576" t="s">
        <v>5157</v>
      </c>
      <c r="D1576" t="s">
        <v>12</v>
      </c>
      <c r="E1576" t="s">
        <v>5158</v>
      </c>
      <c r="F1576" t="s">
        <v>14</v>
      </c>
      <c r="G1576" s="1">
        <v>3378</v>
      </c>
      <c r="H1576" t="s">
        <v>553</v>
      </c>
      <c r="I1576" t="s">
        <v>5159</v>
      </c>
      <c r="J1576" t="s">
        <v>5160</v>
      </c>
    </row>
    <row r="1577" spans="1:10">
      <c r="A1577">
        <v>152094</v>
      </c>
      <c r="B1577" t="s">
        <v>446</v>
      </c>
      <c r="C1577" t="s">
        <v>5161</v>
      </c>
      <c r="D1577" t="s">
        <v>12</v>
      </c>
      <c r="E1577" t="s">
        <v>5162</v>
      </c>
      <c r="F1577" t="s">
        <v>14</v>
      </c>
      <c r="G1577" s="1">
        <v>3377</v>
      </c>
      <c r="H1577" t="s">
        <v>1378</v>
      </c>
      <c r="I1577" t="s">
        <v>4811</v>
      </c>
      <c r="J1577" t="s">
        <v>5163</v>
      </c>
    </row>
    <row r="1578" spans="1:10">
      <c r="A1578">
        <v>127411</v>
      </c>
      <c r="B1578" t="s">
        <v>446</v>
      </c>
      <c r="C1578" t="s">
        <v>5164</v>
      </c>
      <c r="D1578" t="s">
        <v>12</v>
      </c>
      <c r="E1578" t="s">
        <v>5165</v>
      </c>
      <c r="F1578" t="s">
        <v>14</v>
      </c>
      <c r="G1578" s="1">
        <v>3365.71</v>
      </c>
      <c r="H1578" t="s">
        <v>1144</v>
      </c>
      <c r="I1578" t="s">
        <v>1145</v>
      </c>
      <c r="J1578" t="s">
        <v>5166</v>
      </c>
    </row>
    <row r="1579" spans="1:10">
      <c r="A1579">
        <v>150728</v>
      </c>
      <c r="B1579" t="s">
        <v>446</v>
      </c>
      <c r="C1579" t="s">
        <v>5167</v>
      </c>
      <c r="D1579" t="s">
        <v>12</v>
      </c>
      <c r="E1579" t="s">
        <v>5168</v>
      </c>
      <c r="F1579" t="s">
        <v>14</v>
      </c>
      <c r="G1579" s="1">
        <v>3362</v>
      </c>
      <c r="H1579" t="s">
        <v>918</v>
      </c>
      <c r="I1579" t="s">
        <v>5169</v>
      </c>
      <c r="J1579" t="s">
        <v>5170</v>
      </c>
    </row>
    <row r="1580" spans="1:10">
      <c r="A1580">
        <v>150815</v>
      </c>
      <c r="B1580" t="s">
        <v>446</v>
      </c>
      <c r="C1580" t="s">
        <v>5171</v>
      </c>
      <c r="D1580" t="s">
        <v>12</v>
      </c>
      <c r="E1580" t="s">
        <v>5172</v>
      </c>
      <c r="F1580" t="s">
        <v>14</v>
      </c>
      <c r="G1580" s="1">
        <v>3354</v>
      </c>
      <c r="H1580" t="s">
        <v>3970</v>
      </c>
      <c r="I1580" t="s">
        <v>5173</v>
      </c>
      <c r="J1580" t="s">
        <v>5174</v>
      </c>
    </row>
    <row r="1581" spans="1:10">
      <c r="A1581">
        <v>147772</v>
      </c>
      <c r="B1581" t="s">
        <v>446</v>
      </c>
      <c r="C1581" t="s">
        <v>5175</v>
      </c>
      <c r="D1581" t="s">
        <v>12</v>
      </c>
      <c r="E1581" t="s">
        <v>5176</v>
      </c>
      <c r="F1581" t="s">
        <v>14</v>
      </c>
      <c r="G1581" s="1">
        <v>3347.63</v>
      </c>
      <c r="H1581" t="s">
        <v>232</v>
      </c>
      <c r="I1581" t="s">
        <v>5177</v>
      </c>
      <c r="J1581" t="s">
        <v>5178</v>
      </c>
    </row>
    <row r="1582" spans="1:10">
      <c r="A1582">
        <v>130368</v>
      </c>
      <c r="B1582" t="s">
        <v>446</v>
      </c>
      <c r="C1582" t="s">
        <v>5179</v>
      </c>
      <c r="D1582" t="s">
        <v>12</v>
      </c>
      <c r="E1582" t="s">
        <v>5180</v>
      </c>
      <c r="F1582" t="s">
        <v>14</v>
      </c>
      <c r="G1582" s="1">
        <v>3340.26</v>
      </c>
      <c r="H1582" t="s">
        <v>777</v>
      </c>
      <c r="I1582" t="s">
        <v>5181</v>
      </c>
      <c r="J1582" t="s">
        <v>5182</v>
      </c>
    </row>
    <row r="1583" spans="1:10">
      <c r="A1583">
        <v>106213</v>
      </c>
      <c r="B1583" t="s">
        <v>446</v>
      </c>
      <c r="C1583" t="s">
        <v>5183</v>
      </c>
      <c r="D1583" t="s">
        <v>12</v>
      </c>
      <c r="E1583" t="s">
        <v>5184</v>
      </c>
      <c r="F1583" t="s">
        <v>14</v>
      </c>
      <c r="G1583" s="1">
        <v>3330.25</v>
      </c>
      <c r="H1583" t="s">
        <v>36</v>
      </c>
      <c r="I1583" t="s">
        <v>5185</v>
      </c>
      <c r="J1583" t="s">
        <v>5186</v>
      </c>
    </row>
    <row r="1584" spans="1:10">
      <c r="A1584">
        <v>151266</v>
      </c>
      <c r="B1584" t="s">
        <v>446</v>
      </c>
      <c r="C1584" t="s">
        <v>5187</v>
      </c>
      <c r="D1584" t="s">
        <v>12</v>
      </c>
      <c r="E1584" t="s">
        <v>5188</v>
      </c>
      <c r="F1584" t="s">
        <v>14</v>
      </c>
      <c r="G1584" s="1">
        <v>3325</v>
      </c>
      <c r="H1584" t="s">
        <v>140</v>
      </c>
      <c r="I1584" t="s">
        <v>3033</v>
      </c>
      <c r="J1584" t="s">
        <v>3034</v>
      </c>
    </row>
    <row r="1585" spans="1:10">
      <c r="A1585">
        <v>127403</v>
      </c>
      <c r="B1585" t="s">
        <v>446</v>
      </c>
      <c r="C1585" t="s">
        <v>5189</v>
      </c>
      <c r="D1585" t="s">
        <v>12</v>
      </c>
      <c r="E1585" t="s">
        <v>5190</v>
      </c>
      <c r="F1585" t="s">
        <v>14</v>
      </c>
      <c r="G1585" s="1">
        <v>3315</v>
      </c>
      <c r="H1585" t="s">
        <v>1378</v>
      </c>
      <c r="I1585" t="s">
        <v>2295</v>
      </c>
      <c r="J1585" t="s">
        <v>5191</v>
      </c>
    </row>
    <row r="1586" spans="1:10">
      <c r="A1586">
        <v>108903</v>
      </c>
      <c r="B1586" t="s">
        <v>446</v>
      </c>
      <c r="C1586" t="s">
        <v>5192</v>
      </c>
      <c r="D1586" t="s">
        <v>12</v>
      </c>
      <c r="E1586" t="s">
        <v>5193</v>
      </c>
      <c r="F1586" t="s">
        <v>14</v>
      </c>
      <c r="G1586" s="1">
        <v>3312.5</v>
      </c>
      <c r="H1586" t="s">
        <v>36</v>
      </c>
      <c r="I1586" t="s">
        <v>1833</v>
      </c>
      <c r="J1586" t="s">
        <v>5194</v>
      </c>
    </row>
    <row r="1587" spans="1:10">
      <c r="A1587">
        <v>145173</v>
      </c>
      <c r="B1587" t="s">
        <v>446</v>
      </c>
      <c r="C1587" t="s">
        <v>5195</v>
      </c>
      <c r="D1587" t="s">
        <v>12</v>
      </c>
      <c r="E1587" t="s">
        <v>5196</v>
      </c>
      <c r="F1587" t="s">
        <v>14</v>
      </c>
      <c r="G1587" s="1">
        <v>3310.35</v>
      </c>
      <c r="H1587" t="s">
        <v>1144</v>
      </c>
      <c r="I1587" t="s">
        <v>5197</v>
      </c>
      <c r="J1587" t="s">
        <v>5198</v>
      </c>
    </row>
    <row r="1588" spans="1:10">
      <c r="A1588">
        <v>144864</v>
      </c>
      <c r="B1588" t="s">
        <v>446</v>
      </c>
      <c r="C1588" t="s">
        <v>5199</v>
      </c>
      <c r="D1588" t="s">
        <v>12</v>
      </c>
      <c r="E1588" t="s">
        <v>5200</v>
      </c>
      <c r="F1588" t="s">
        <v>14</v>
      </c>
      <c r="G1588" s="1">
        <v>3308.46</v>
      </c>
      <c r="H1588" t="s">
        <v>15</v>
      </c>
      <c r="I1588" t="s">
        <v>5201</v>
      </c>
      <c r="J1588" t="s">
        <v>5202</v>
      </c>
    </row>
    <row r="1589" spans="1:10">
      <c r="A1589">
        <v>122176</v>
      </c>
      <c r="B1589" t="s">
        <v>446</v>
      </c>
      <c r="C1589" t="s">
        <v>5203</v>
      </c>
      <c r="D1589" t="s">
        <v>12</v>
      </c>
      <c r="E1589" t="s">
        <v>5204</v>
      </c>
      <c r="F1589" t="s">
        <v>14</v>
      </c>
      <c r="G1589" s="1">
        <v>3302.19</v>
      </c>
      <c r="H1589" t="s">
        <v>777</v>
      </c>
      <c r="I1589" t="s">
        <v>5205</v>
      </c>
      <c r="J1589" t="s">
        <v>5206</v>
      </c>
    </row>
    <row r="1590" spans="1:10">
      <c r="A1590">
        <v>112388</v>
      </c>
      <c r="B1590" t="s">
        <v>446</v>
      </c>
      <c r="C1590" t="s">
        <v>5207</v>
      </c>
      <c r="D1590" t="s">
        <v>124</v>
      </c>
      <c r="E1590" t="s">
        <v>5208</v>
      </c>
      <c r="F1590" t="s">
        <v>14</v>
      </c>
      <c r="G1590" s="1">
        <v>3300</v>
      </c>
      <c r="H1590" t="s">
        <v>126</v>
      </c>
      <c r="I1590" t="s">
        <v>156</v>
      </c>
      <c r="J1590" t="s">
        <v>180</v>
      </c>
    </row>
    <row r="1591" spans="1:10">
      <c r="A1591">
        <v>126444</v>
      </c>
      <c r="B1591" t="s">
        <v>446</v>
      </c>
      <c r="C1591" t="s">
        <v>5209</v>
      </c>
      <c r="D1591" t="s">
        <v>12</v>
      </c>
      <c r="E1591" t="s">
        <v>5210</v>
      </c>
      <c r="F1591" t="s">
        <v>14</v>
      </c>
      <c r="G1591" s="1">
        <v>3282.79</v>
      </c>
      <c r="H1591" t="s">
        <v>21</v>
      </c>
      <c r="I1591" t="s">
        <v>5211</v>
      </c>
      <c r="J1591" t="s">
        <v>5212</v>
      </c>
    </row>
    <row r="1592" spans="1:10">
      <c r="A1592">
        <v>106377</v>
      </c>
      <c r="B1592" t="s">
        <v>446</v>
      </c>
      <c r="C1592" t="s">
        <v>5213</v>
      </c>
      <c r="D1592" t="s">
        <v>12</v>
      </c>
      <c r="E1592" t="s">
        <v>5214</v>
      </c>
      <c r="F1592" t="s">
        <v>14</v>
      </c>
      <c r="G1592" s="1">
        <v>3270</v>
      </c>
      <c r="H1592" t="s">
        <v>15</v>
      </c>
      <c r="I1592" t="s">
        <v>5215</v>
      </c>
      <c r="J1592" t="s">
        <v>5216</v>
      </c>
    </row>
    <row r="1593" spans="1:10">
      <c r="A1593">
        <v>129146</v>
      </c>
      <c r="B1593" t="s">
        <v>446</v>
      </c>
      <c r="C1593" t="s">
        <v>5217</v>
      </c>
      <c r="D1593" t="s">
        <v>12</v>
      </c>
      <c r="E1593" t="s">
        <v>5218</v>
      </c>
      <c r="F1593" t="s">
        <v>14</v>
      </c>
      <c r="G1593" s="1">
        <v>3269.03</v>
      </c>
      <c r="H1593" t="s">
        <v>232</v>
      </c>
      <c r="I1593" t="s">
        <v>2182</v>
      </c>
      <c r="J1593" t="s">
        <v>5219</v>
      </c>
    </row>
    <row r="1594" spans="1:10">
      <c r="A1594">
        <v>149596</v>
      </c>
      <c r="B1594" t="s">
        <v>446</v>
      </c>
      <c r="C1594" t="s">
        <v>5220</v>
      </c>
      <c r="D1594" t="s">
        <v>12</v>
      </c>
      <c r="E1594" t="s">
        <v>5221</v>
      </c>
      <c r="F1594" t="s">
        <v>14</v>
      </c>
      <c r="G1594" s="1">
        <v>3243</v>
      </c>
      <c r="H1594" t="s">
        <v>3970</v>
      </c>
      <c r="I1594" t="s">
        <v>5222</v>
      </c>
      <c r="J1594" t="s">
        <v>5223</v>
      </c>
    </row>
    <row r="1595" spans="1:10">
      <c r="A1595">
        <v>122477</v>
      </c>
      <c r="B1595" t="s">
        <v>446</v>
      </c>
      <c r="C1595" t="s">
        <v>5224</v>
      </c>
      <c r="D1595" t="s">
        <v>12</v>
      </c>
      <c r="E1595" t="s">
        <v>5225</v>
      </c>
      <c r="F1595" t="s">
        <v>14</v>
      </c>
      <c r="G1595" s="1">
        <v>3224.04</v>
      </c>
      <c r="H1595" t="s">
        <v>36</v>
      </c>
      <c r="I1595" t="s">
        <v>2491</v>
      </c>
      <c r="J1595" t="s">
        <v>5226</v>
      </c>
    </row>
    <row r="1596" spans="1:10">
      <c r="A1596">
        <v>150521</v>
      </c>
      <c r="B1596" t="s">
        <v>446</v>
      </c>
      <c r="C1596" t="s">
        <v>5227</v>
      </c>
      <c r="D1596" t="s">
        <v>12</v>
      </c>
      <c r="E1596" t="s">
        <v>5228</v>
      </c>
      <c r="F1596" t="s">
        <v>14</v>
      </c>
      <c r="G1596" s="1">
        <v>3215.5</v>
      </c>
      <c r="H1596" t="s">
        <v>36</v>
      </c>
      <c r="I1596" t="s">
        <v>1645</v>
      </c>
      <c r="J1596" t="s">
        <v>5229</v>
      </c>
    </row>
    <row r="1597" spans="1:10">
      <c r="A1597">
        <v>151864</v>
      </c>
      <c r="B1597" t="s">
        <v>446</v>
      </c>
      <c r="C1597" t="s">
        <v>5230</v>
      </c>
      <c r="D1597" t="s">
        <v>12</v>
      </c>
      <c r="E1597" t="s">
        <v>5231</v>
      </c>
      <c r="F1597" t="s">
        <v>14</v>
      </c>
      <c r="G1597" s="1">
        <v>3210</v>
      </c>
      <c r="H1597" t="s">
        <v>140</v>
      </c>
      <c r="I1597" t="s">
        <v>505</v>
      </c>
      <c r="J1597" t="s">
        <v>506</v>
      </c>
    </row>
    <row r="1598" spans="1:10">
      <c r="A1598">
        <v>152090</v>
      </c>
      <c r="B1598" t="s">
        <v>446</v>
      </c>
      <c r="C1598" t="s">
        <v>5232</v>
      </c>
      <c r="D1598" t="s">
        <v>12</v>
      </c>
      <c r="E1598" t="s">
        <v>5233</v>
      </c>
      <c r="F1598" t="s">
        <v>14</v>
      </c>
      <c r="G1598" s="1">
        <v>3200</v>
      </c>
      <c r="H1598" t="s">
        <v>56</v>
      </c>
      <c r="I1598" t="s">
        <v>5234</v>
      </c>
      <c r="J1598" t="s">
        <v>5235</v>
      </c>
    </row>
    <row r="1599" spans="1:10">
      <c r="A1599">
        <v>110527</v>
      </c>
      <c r="B1599" t="s">
        <v>446</v>
      </c>
      <c r="C1599" t="s">
        <v>5236</v>
      </c>
      <c r="D1599" t="s">
        <v>512</v>
      </c>
      <c r="E1599" t="s">
        <v>5237</v>
      </c>
      <c r="F1599" t="s">
        <v>14</v>
      </c>
      <c r="G1599" s="1">
        <v>3191.37</v>
      </c>
      <c r="H1599" t="s">
        <v>27</v>
      </c>
      <c r="I1599" t="s">
        <v>5238</v>
      </c>
      <c r="J1599" t="s">
        <v>5239</v>
      </c>
    </row>
    <row r="1600" spans="1:10">
      <c r="A1600">
        <v>130166</v>
      </c>
      <c r="B1600" t="s">
        <v>446</v>
      </c>
      <c r="C1600" t="s">
        <v>5240</v>
      </c>
      <c r="D1600" t="s">
        <v>12</v>
      </c>
      <c r="E1600" t="s">
        <v>5241</v>
      </c>
      <c r="F1600" t="s">
        <v>14</v>
      </c>
      <c r="G1600" s="1">
        <v>3168</v>
      </c>
      <c r="H1600" t="s">
        <v>777</v>
      </c>
      <c r="I1600" t="s">
        <v>2021</v>
      </c>
      <c r="J1600" t="s">
        <v>4341</v>
      </c>
    </row>
    <row r="1601" spans="1:10">
      <c r="A1601">
        <v>140009</v>
      </c>
      <c r="B1601" t="s">
        <v>446</v>
      </c>
      <c r="C1601" t="s">
        <v>5242</v>
      </c>
      <c r="D1601" t="s">
        <v>12</v>
      </c>
      <c r="E1601" t="s">
        <v>5243</v>
      </c>
      <c r="F1601" t="s">
        <v>14</v>
      </c>
      <c r="G1601" s="1">
        <v>3159.31</v>
      </c>
      <c r="H1601" t="s">
        <v>140</v>
      </c>
      <c r="I1601" t="s">
        <v>1704</v>
      </c>
      <c r="J1601" t="s">
        <v>5244</v>
      </c>
    </row>
    <row r="1602" spans="1:10">
      <c r="A1602">
        <v>151066</v>
      </c>
      <c r="B1602" t="s">
        <v>446</v>
      </c>
      <c r="C1602" t="s">
        <v>5245</v>
      </c>
      <c r="D1602" t="s">
        <v>12</v>
      </c>
      <c r="E1602" t="s">
        <v>5246</v>
      </c>
      <c r="F1602" t="s">
        <v>14</v>
      </c>
      <c r="G1602" s="1">
        <v>3156.85</v>
      </c>
      <c r="H1602" t="s">
        <v>140</v>
      </c>
      <c r="I1602" t="s">
        <v>1993</v>
      </c>
      <c r="J1602" t="s">
        <v>1994</v>
      </c>
    </row>
    <row r="1603" spans="1:10">
      <c r="A1603">
        <v>150928</v>
      </c>
      <c r="B1603" t="s">
        <v>446</v>
      </c>
      <c r="C1603" t="s">
        <v>5247</v>
      </c>
      <c r="D1603" t="s">
        <v>12</v>
      </c>
      <c r="E1603" t="s">
        <v>5248</v>
      </c>
      <c r="F1603" t="s">
        <v>14</v>
      </c>
      <c r="G1603" s="1">
        <v>3139.5</v>
      </c>
      <c r="H1603" t="s">
        <v>72</v>
      </c>
      <c r="I1603" t="s">
        <v>5249</v>
      </c>
      <c r="J1603" t="s">
        <v>5250</v>
      </c>
    </row>
    <row r="1604" spans="1:10">
      <c r="A1604">
        <v>152439</v>
      </c>
      <c r="B1604" t="s">
        <v>446</v>
      </c>
      <c r="C1604" t="s">
        <v>5251</v>
      </c>
      <c r="D1604" t="s">
        <v>12</v>
      </c>
      <c r="E1604" t="s">
        <v>5252</v>
      </c>
      <c r="F1604" t="s">
        <v>14</v>
      </c>
      <c r="G1604" s="1">
        <v>3115</v>
      </c>
      <c r="H1604" t="s">
        <v>36</v>
      </c>
      <c r="I1604" t="s">
        <v>1820</v>
      </c>
      <c r="J1604" t="s">
        <v>1821</v>
      </c>
    </row>
    <row r="1605" spans="1:10">
      <c r="A1605">
        <v>151064</v>
      </c>
      <c r="B1605" t="s">
        <v>446</v>
      </c>
      <c r="C1605" t="s">
        <v>5253</v>
      </c>
      <c r="D1605" t="s">
        <v>12</v>
      </c>
      <c r="E1605" t="s">
        <v>5254</v>
      </c>
      <c r="F1605" t="s">
        <v>14</v>
      </c>
      <c r="G1605" s="1">
        <v>3110</v>
      </c>
      <c r="H1605" t="s">
        <v>140</v>
      </c>
      <c r="I1605" t="s">
        <v>2829</v>
      </c>
      <c r="J1605" t="s">
        <v>5255</v>
      </c>
    </row>
    <row r="1606" spans="1:10">
      <c r="A1606">
        <v>150874</v>
      </c>
      <c r="B1606" t="s">
        <v>446</v>
      </c>
      <c r="C1606" t="s">
        <v>5256</v>
      </c>
      <c r="D1606" t="s">
        <v>12</v>
      </c>
      <c r="E1606" t="s">
        <v>5257</v>
      </c>
      <c r="F1606" t="s">
        <v>14</v>
      </c>
      <c r="G1606" s="1">
        <v>3100</v>
      </c>
      <c r="H1606" t="s">
        <v>333</v>
      </c>
      <c r="I1606" t="s">
        <v>333</v>
      </c>
      <c r="J1606" t="s">
        <v>5258</v>
      </c>
    </row>
    <row r="1607" spans="1:10">
      <c r="A1607">
        <v>130431</v>
      </c>
      <c r="B1607" t="s">
        <v>446</v>
      </c>
      <c r="C1607" t="s">
        <v>5259</v>
      </c>
      <c r="D1607" t="s">
        <v>12</v>
      </c>
      <c r="E1607" t="s">
        <v>5260</v>
      </c>
      <c r="F1607" t="s">
        <v>14</v>
      </c>
      <c r="G1607" s="1">
        <v>3081.54</v>
      </c>
      <c r="H1607" t="s">
        <v>36</v>
      </c>
      <c r="I1607" t="s">
        <v>690</v>
      </c>
      <c r="J1607" t="s">
        <v>5261</v>
      </c>
    </row>
    <row r="1608" spans="1:10">
      <c r="A1608">
        <v>152612</v>
      </c>
      <c r="B1608" t="s">
        <v>446</v>
      </c>
      <c r="C1608" t="s">
        <v>5262</v>
      </c>
      <c r="D1608" t="s">
        <v>12</v>
      </c>
      <c r="E1608" t="s">
        <v>5263</v>
      </c>
      <c r="F1608" t="s">
        <v>14</v>
      </c>
      <c r="G1608" s="1">
        <v>3075</v>
      </c>
      <c r="H1608" t="s">
        <v>36</v>
      </c>
      <c r="I1608" t="s">
        <v>5264</v>
      </c>
      <c r="J1608" t="s">
        <v>4324</v>
      </c>
    </row>
    <row r="1609" spans="1:10">
      <c r="A1609">
        <v>115011</v>
      </c>
      <c r="B1609" t="s">
        <v>446</v>
      </c>
      <c r="C1609" t="s">
        <v>5265</v>
      </c>
      <c r="D1609" t="s">
        <v>512</v>
      </c>
      <c r="E1609" t="s">
        <v>5266</v>
      </c>
      <c r="F1609" t="s">
        <v>14</v>
      </c>
      <c r="G1609" s="1">
        <v>3072.45</v>
      </c>
      <c r="H1609" t="s">
        <v>27</v>
      </c>
      <c r="I1609" t="s">
        <v>589</v>
      </c>
      <c r="J1609" t="s">
        <v>5267</v>
      </c>
    </row>
    <row r="1610" spans="1:10">
      <c r="A1610">
        <v>117667</v>
      </c>
      <c r="B1610" t="s">
        <v>446</v>
      </c>
      <c r="C1610" t="s">
        <v>5268</v>
      </c>
      <c r="D1610" t="s">
        <v>12</v>
      </c>
      <c r="E1610" t="s">
        <v>5269</v>
      </c>
      <c r="F1610" t="s">
        <v>14</v>
      </c>
      <c r="G1610" s="1">
        <v>3069.25</v>
      </c>
      <c r="H1610" t="s">
        <v>1017</v>
      </c>
      <c r="I1610" t="s">
        <v>5270</v>
      </c>
      <c r="J1610" t="s">
        <v>5271</v>
      </c>
    </row>
    <row r="1611" spans="1:10">
      <c r="A1611">
        <v>151229</v>
      </c>
      <c r="B1611" t="s">
        <v>446</v>
      </c>
      <c r="C1611" t="s">
        <v>5272</v>
      </c>
      <c r="D1611" t="s">
        <v>12</v>
      </c>
      <c r="E1611" t="s">
        <v>5273</v>
      </c>
      <c r="F1611" t="s">
        <v>14</v>
      </c>
      <c r="G1611" s="1">
        <v>3065.75</v>
      </c>
      <c r="H1611" t="s">
        <v>36</v>
      </c>
      <c r="I1611" t="s">
        <v>5050</v>
      </c>
      <c r="J1611" t="s">
        <v>5274</v>
      </c>
    </row>
    <row r="1612" spans="1:10">
      <c r="A1612">
        <v>114175</v>
      </c>
      <c r="B1612" t="s">
        <v>446</v>
      </c>
      <c r="C1612" t="s">
        <v>5275</v>
      </c>
      <c r="D1612" t="s">
        <v>12</v>
      </c>
      <c r="E1612" t="s">
        <v>5276</v>
      </c>
      <c r="F1612" t="s">
        <v>14</v>
      </c>
      <c r="G1612" s="1">
        <v>3055</v>
      </c>
      <c r="H1612" t="s">
        <v>333</v>
      </c>
      <c r="I1612" t="s">
        <v>334</v>
      </c>
      <c r="J1612" t="s">
        <v>5277</v>
      </c>
    </row>
    <row r="1613" spans="1:10">
      <c r="A1613">
        <v>150514</v>
      </c>
      <c r="B1613" t="s">
        <v>446</v>
      </c>
      <c r="C1613" t="s">
        <v>5278</v>
      </c>
      <c r="D1613" t="s">
        <v>12</v>
      </c>
      <c r="E1613" t="s">
        <v>5279</v>
      </c>
      <c r="F1613" t="s">
        <v>14</v>
      </c>
      <c r="G1613" s="1">
        <v>3050.06</v>
      </c>
      <c r="H1613" t="s">
        <v>499</v>
      </c>
      <c r="I1613" t="s">
        <v>5280</v>
      </c>
      <c r="J1613" t="s">
        <v>5281</v>
      </c>
    </row>
    <row r="1614" spans="1:10">
      <c r="A1614">
        <v>131977</v>
      </c>
      <c r="B1614" t="s">
        <v>446</v>
      </c>
      <c r="C1614" t="s">
        <v>5282</v>
      </c>
      <c r="D1614" t="s">
        <v>12</v>
      </c>
      <c r="E1614" t="s">
        <v>5283</v>
      </c>
      <c r="F1614" t="s">
        <v>14</v>
      </c>
      <c r="G1614" s="1">
        <v>3049.8</v>
      </c>
      <c r="H1614" t="s">
        <v>1017</v>
      </c>
      <c r="I1614" t="s">
        <v>1943</v>
      </c>
      <c r="J1614" t="s">
        <v>5284</v>
      </c>
    </row>
    <row r="1615" spans="1:10">
      <c r="A1615" t="s">
        <v>878</v>
      </c>
      <c r="B1615" t="s">
        <v>446</v>
      </c>
      <c r="C1615" t="s">
        <v>75</v>
      </c>
      <c r="D1615" t="s">
        <v>12</v>
      </c>
      <c r="E1615" t="s">
        <v>76</v>
      </c>
      <c r="F1615" t="s">
        <v>14</v>
      </c>
      <c r="G1615" s="1">
        <v>3039.82</v>
      </c>
      <c r="H1615" t="s">
        <v>232</v>
      </c>
      <c r="I1615" t="s">
        <v>5285</v>
      </c>
      <c r="J1615" t="s">
        <v>5286</v>
      </c>
    </row>
    <row r="1616" spans="1:10">
      <c r="A1616">
        <v>150440</v>
      </c>
      <c r="B1616" t="s">
        <v>446</v>
      </c>
      <c r="C1616" t="s">
        <v>5287</v>
      </c>
      <c r="D1616" t="s">
        <v>12</v>
      </c>
      <c r="E1616" t="s">
        <v>5288</v>
      </c>
      <c r="F1616" t="s">
        <v>14</v>
      </c>
      <c r="G1616" s="1">
        <v>3036</v>
      </c>
      <c r="H1616" t="s">
        <v>140</v>
      </c>
      <c r="I1616" t="s">
        <v>5289</v>
      </c>
      <c r="J1616" t="s">
        <v>5290</v>
      </c>
    </row>
    <row r="1617" spans="1:10">
      <c r="A1617">
        <v>127900</v>
      </c>
      <c r="B1617" t="s">
        <v>446</v>
      </c>
      <c r="C1617" t="s">
        <v>5291</v>
      </c>
      <c r="D1617" t="s">
        <v>245</v>
      </c>
      <c r="E1617" t="s">
        <v>5292</v>
      </c>
      <c r="F1617" t="s">
        <v>14</v>
      </c>
      <c r="G1617" s="1">
        <v>3025</v>
      </c>
      <c r="H1617" t="s">
        <v>27</v>
      </c>
      <c r="I1617" t="s">
        <v>5293</v>
      </c>
      <c r="J1617" t="s">
        <v>5294</v>
      </c>
    </row>
    <row r="1618" spans="1:10">
      <c r="A1618">
        <v>150552</v>
      </c>
      <c r="B1618" t="s">
        <v>446</v>
      </c>
      <c r="C1618" t="s">
        <v>5295</v>
      </c>
      <c r="D1618" t="s">
        <v>12</v>
      </c>
      <c r="E1618" t="s">
        <v>5296</v>
      </c>
      <c r="F1618" t="s">
        <v>14</v>
      </c>
      <c r="G1618" s="1">
        <v>3025</v>
      </c>
      <c r="H1618" t="s">
        <v>140</v>
      </c>
      <c r="I1618" t="s">
        <v>1890</v>
      </c>
      <c r="J1618" t="s">
        <v>1596</v>
      </c>
    </row>
    <row r="1619" spans="1:10">
      <c r="A1619">
        <v>147044</v>
      </c>
      <c r="B1619" t="s">
        <v>446</v>
      </c>
      <c r="C1619" t="s">
        <v>5297</v>
      </c>
      <c r="D1619" t="s">
        <v>12</v>
      </c>
      <c r="E1619" t="s">
        <v>5298</v>
      </c>
      <c r="F1619" t="s">
        <v>14</v>
      </c>
      <c r="G1619" s="1">
        <v>3020</v>
      </c>
      <c r="H1619" t="s">
        <v>918</v>
      </c>
      <c r="I1619" t="s">
        <v>919</v>
      </c>
      <c r="J1619" t="s">
        <v>5299</v>
      </c>
    </row>
    <row r="1620" spans="1:10">
      <c r="A1620">
        <v>151572</v>
      </c>
      <c r="B1620" t="s">
        <v>446</v>
      </c>
      <c r="C1620" t="s">
        <v>5300</v>
      </c>
      <c r="D1620" t="s">
        <v>12</v>
      </c>
      <c r="E1620" t="s">
        <v>5301</v>
      </c>
      <c r="F1620" t="s">
        <v>14</v>
      </c>
      <c r="G1620" s="1">
        <v>3004.53</v>
      </c>
      <c r="H1620" t="s">
        <v>777</v>
      </c>
      <c r="I1620" t="s">
        <v>5302</v>
      </c>
      <c r="J1620" t="s">
        <v>5303</v>
      </c>
    </row>
    <row r="1621" spans="1:10">
      <c r="A1621">
        <v>151375</v>
      </c>
      <c r="B1621" t="s">
        <v>446</v>
      </c>
      <c r="C1621" t="s">
        <v>5304</v>
      </c>
      <c r="D1621" t="s">
        <v>12</v>
      </c>
      <c r="E1621" t="s">
        <v>5305</v>
      </c>
      <c r="F1621" t="s">
        <v>14</v>
      </c>
      <c r="G1621" s="1">
        <v>3002.25</v>
      </c>
      <c r="H1621" t="s">
        <v>1378</v>
      </c>
      <c r="I1621" t="s">
        <v>1379</v>
      </c>
      <c r="J1621" t="s">
        <v>1380</v>
      </c>
    </row>
    <row r="1622" spans="1:10">
      <c r="A1622">
        <v>151819</v>
      </c>
      <c r="B1622" t="s">
        <v>446</v>
      </c>
      <c r="C1622" t="s">
        <v>5306</v>
      </c>
      <c r="D1622" t="s">
        <v>12</v>
      </c>
      <c r="E1622" t="s">
        <v>5307</v>
      </c>
      <c r="F1622" t="s">
        <v>14</v>
      </c>
      <c r="G1622" s="1">
        <v>3000</v>
      </c>
      <c r="H1622" t="s">
        <v>437</v>
      </c>
      <c r="I1622" t="s">
        <v>5308</v>
      </c>
      <c r="J1622" t="s">
        <v>5309</v>
      </c>
    </row>
    <row r="1623" spans="1:10">
      <c r="A1623">
        <v>152186</v>
      </c>
      <c r="B1623" t="s">
        <v>446</v>
      </c>
      <c r="C1623" t="s">
        <v>5310</v>
      </c>
      <c r="D1623" t="s">
        <v>12</v>
      </c>
      <c r="E1623" t="s">
        <v>5311</v>
      </c>
      <c r="F1623" t="s">
        <v>14</v>
      </c>
      <c r="G1623" s="1">
        <v>3000</v>
      </c>
      <c r="H1623" t="s">
        <v>333</v>
      </c>
      <c r="I1623" t="s">
        <v>1756</v>
      </c>
      <c r="J1623" t="s">
        <v>5312</v>
      </c>
    </row>
    <row r="1624" spans="1:10">
      <c r="A1624">
        <v>142051</v>
      </c>
      <c r="B1624" t="s">
        <v>446</v>
      </c>
      <c r="C1624" t="s">
        <v>5313</v>
      </c>
      <c r="D1624" t="s">
        <v>12</v>
      </c>
      <c r="E1624" t="s">
        <v>5314</v>
      </c>
      <c r="F1624" t="s">
        <v>14</v>
      </c>
      <c r="G1624" s="1">
        <v>2983.6</v>
      </c>
      <c r="H1624" t="s">
        <v>232</v>
      </c>
      <c r="I1624" t="s">
        <v>5315</v>
      </c>
      <c r="J1624" t="s">
        <v>5316</v>
      </c>
    </row>
    <row r="1625" spans="1:10">
      <c r="A1625">
        <v>127825</v>
      </c>
      <c r="B1625" t="s">
        <v>446</v>
      </c>
      <c r="C1625" t="s">
        <v>5317</v>
      </c>
      <c r="D1625" t="s">
        <v>12</v>
      </c>
      <c r="E1625" t="s">
        <v>5318</v>
      </c>
      <c r="F1625" t="s">
        <v>14</v>
      </c>
      <c r="G1625" s="1">
        <v>2975</v>
      </c>
      <c r="H1625" t="s">
        <v>36</v>
      </c>
      <c r="I1625" t="s">
        <v>3110</v>
      </c>
      <c r="J1625" t="s">
        <v>5274</v>
      </c>
    </row>
    <row r="1626" spans="1:10">
      <c r="A1626">
        <v>140667</v>
      </c>
      <c r="B1626" t="s">
        <v>446</v>
      </c>
      <c r="C1626" t="s">
        <v>5319</v>
      </c>
      <c r="D1626" t="s">
        <v>12</v>
      </c>
      <c r="E1626" t="s">
        <v>5320</v>
      </c>
      <c r="F1626" t="s">
        <v>14</v>
      </c>
      <c r="G1626" s="1">
        <v>2956.25</v>
      </c>
      <c r="H1626" t="s">
        <v>777</v>
      </c>
      <c r="I1626" t="s">
        <v>2021</v>
      </c>
      <c r="J1626" t="s">
        <v>3645</v>
      </c>
    </row>
    <row r="1627" spans="1:10">
      <c r="A1627">
        <v>132087</v>
      </c>
      <c r="B1627" t="s">
        <v>446</v>
      </c>
      <c r="C1627" t="s">
        <v>5321</v>
      </c>
      <c r="D1627" t="s">
        <v>12</v>
      </c>
      <c r="E1627" t="s">
        <v>5322</v>
      </c>
      <c r="F1627" t="s">
        <v>14</v>
      </c>
      <c r="G1627" s="1">
        <v>2940</v>
      </c>
      <c r="H1627" t="s">
        <v>126</v>
      </c>
      <c r="I1627" t="s">
        <v>5323</v>
      </c>
      <c r="J1627" t="s">
        <v>5324</v>
      </c>
    </row>
    <row r="1628" spans="1:10">
      <c r="A1628">
        <v>130190</v>
      </c>
      <c r="B1628" t="s">
        <v>446</v>
      </c>
      <c r="C1628" t="s">
        <v>5325</v>
      </c>
      <c r="D1628" t="s">
        <v>12</v>
      </c>
      <c r="E1628" t="s">
        <v>5326</v>
      </c>
      <c r="F1628" t="s">
        <v>14</v>
      </c>
      <c r="G1628" s="1">
        <v>2933.33</v>
      </c>
      <c r="H1628" t="s">
        <v>1917</v>
      </c>
      <c r="I1628" t="s">
        <v>5327</v>
      </c>
      <c r="J1628" t="s">
        <v>5328</v>
      </c>
    </row>
    <row r="1629" spans="1:10">
      <c r="A1629">
        <v>114608</v>
      </c>
      <c r="B1629" t="s">
        <v>446</v>
      </c>
      <c r="C1629" t="s">
        <v>5329</v>
      </c>
      <c r="D1629" t="s">
        <v>12</v>
      </c>
      <c r="E1629" t="s">
        <v>5330</v>
      </c>
      <c r="F1629" t="s">
        <v>14</v>
      </c>
      <c r="G1629" s="1">
        <v>2928.23</v>
      </c>
      <c r="H1629" t="s">
        <v>131</v>
      </c>
      <c r="I1629" t="s">
        <v>5331</v>
      </c>
      <c r="J1629" t="s">
        <v>5332</v>
      </c>
    </row>
    <row r="1630" spans="1:10">
      <c r="A1630">
        <v>104008</v>
      </c>
      <c r="B1630" t="s">
        <v>446</v>
      </c>
      <c r="C1630" t="s">
        <v>5333</v>
      </c>
      <c r="D1630" t="s">
        <v>12</v>
      </c>
      <c r="E1630" t="s">
        <v>5334</v>
      </c>
      <c r="F1630" t="s">
        <v>14</v>
      </c>
      <c r="G1630" s="1">
        <v>2923.1</v>
      </c>
      <c r="H1630" t="s">
        <v>27</v>
      </c>
      <c r="I1630" t="s">
        <v>5335</v>
      </c>
      <c r="J1630" t="s">
        <v>5336</v>
      </c>
    </row>
    <row r="1631" spans="1:10">
      <c r="A1631">
        <v>147705</v>
      </c>
      <c r="B1631" t="s">
        <v>446</v>
      </c>
      <c r="C1631" t="s">
        <v>5337</v>
      </c>
      <c r="D1631" t="s">
        <v>12</v>
      </c>
      <c r="E1631" t="s">
        <v>5338</v>
      </c>
      <c r="F1631" t="s">
        <v>14</v>
      </c>
      <c r="G1631" s="1">
        <v>2909</v>
      </c>
      <c r="H1631" t="s">
        <v>777</v>
      </c>
      <c r="I1631" t="s">
        <v>5339</v>
      </c>
      <c r="J1631" t="s">
        <v>5340</v>
      </c>
    </row>
    <row r="1632" spans="1:10">
      <c r="A1632">
        <v>146739</v>
      </c>
      <c r="B1632" t="s">
        <v>446</v>
      </c>
      <c r="C1632" t="s">
        <v>5341</v>
      </c>
      <c r="D1632" t="s">
        <v>12</v>
      </c>
      <c r="E1632" t="s">
        <v>5342</v>
      </c>
      <c r="F1632" t="s">
        <v>14</v>
      </c>
      <c r="G1632" s="1">
        <v>2895.4</v>
      </c>
      <c r="H1632" t="s">
        <v>1017</v>
      </c>
      <c r="I1632" t="s">
        <v>4416</v>
      </c>
      <c r="J1632" t="s">
        <v>5343</v>
      </c>
    </row>
    <row r="1633" spans="1:10">
      <c r="A1633">
        <v>140858</v>
      </c>
      <c r="B1633" t="s">
        <v>446</v>
      </c>
      <c r="C1633" t="s">
        <v>5344</v>
      </c>
      <c r="D1633" t="s">
        <v>12</v>
      </c>
      <c r="E1633" t="s">
        <v>5345</v>
      </c>
      <c r="F1633" t="s">
        <v>14</v>
      </c>
      <c r="G1633" s="1">
        <v>2881.51</v>
      </c>
      <c r="H1633" t="s">
        <v>499</v>
      </c>
      <c r="I1633" t="s">
        <v>5346</v>
      </c>
      <c r="J1633" t="s">
        <v>5347</v>
      </c>
    </row>
    <row r="1634" spans="1:10">
      <c r="A1634">
        <v>128255</v>
      </c>
      <c r="B1634" t="s">
        <v>446</v>
      </c>
      <c r="C1634" t="s">
        <v>5348</v>
      </c>
      <c r="D1634" t="s">
        <v>12</v>
      </c>
      <c r="E1634" t="s">
        <v>5349</v>
      </c>
      <c r="F1634" t="s">
        <v>14</v>
      </c>
      <c r="G1634" s="1">
        <v>2881.5</v>
      </c>
      <c r="H1634" t="s">
        <v>777</v>
      </c>
      <c r="I1634" t="s">
        <v>2021</v>
      </c>
      <c r="J1634" t="s">
        <v>5350</v>
      </c>
    </row>
    <row r="1635" spans="1:10">
      <c r="A1635">
        <v>146963</v>
      </c>
      <c r="B1635" t="s">
        <v>446</v>
      </c>
      <c r="C1635" t="s">
        <v>5351</v>
      </c>
      <c r="D1635" t="s">
        <v>12</v>
      </c>
      <c r="E1635" t="s">
        <v>5352</v>
      </c>
      <c r="F1635" t="s">
        <v>14</v>
      </c>
      <c r="G1635" s="1">
        <v>2870</v>
      </c>
      <c r="H1635" t="s">
        <v>140</v>
      </c>
      <c r="I1635" t="s">
        <v>1748</v>
      </c>
      <c r="J1635" t="s">
        <v>5353</v>
      </c>
    </row>
    <row r="1636" spans="1:10">
      <c r="A1636">
        <v>128836</v>
      </c>
      <c r="B1636" t="s">
        <v>446</v>
      </c>
      <c r="C1636" t="s">
        <v>5354</v>
      </c>
      <c r="D1636" t="s">
        <v>12</v>
      </c>
      <c r="E1636" t="s">
        <v>5355</v>
      </c>
      <c r="F1636" t="s">
        <v>14</v>
      </c>
      <c r="G1636" s="1">
        <v>2850</v>
      </c>
      <c r="H1636" t="s">
        <v>425</v>
      </c>
      <c r="I1636" t="s">
        <v>5356</v>
      </c>
      <c r="J1636" t="s">
        <v>5357</v>
      </c>
    </row>
    <row r="1637" spans="1:10">
      <c r="A1637">
        <v>146821</v>
      </c>
      <c r="B1637" t="s">
        <v>446</v>
      </c>
      <c r="C1637" t="s">
        <v>5358</v>
      </c>
      <c r="D1637" t="s">
        <v>12</v>
      </c>
      <c r="E1637" t="s">
        <v>5359</v>
      </c>
      <c r="F1637" t="s">
        <v>14</v>
      </c>
      <c r="G1637" s="1">
        <v>2835</v>
      </c>
      <c r="H1637" t="s">
        <v>777</v>
      </c>
      <c r="I1637" t="s">
        <v>4133</v>
      </c>
      <c r="J1637" t="s">
        <v>4308</v>
      </c>
    </row>
    <row r="1638" spans="1:10">
      <c r="A1638">
        <v>127581</v>
      </c>
      <c r="B1638" t="s">
        <v>446</v>
      </c>
      <c r="C1638" t="s">
        <v>5360</v>
      </c>
      <c r="D1638" t="s">
        <v>12</v>
      </c>
      <c r="E1638" t="s">
        <v>5361</v>
      </c>
      <c r="F1638" t="s">
        <v>14</v>
      </c>
      <c r="G1638" s="1">
        <v>2833.86</v>
      </c>
      <c r="H1638" t="s">
        <v>1144</v>
      </c>
      <c r="I1638" t="s">
        <v>5362</v>
      </c>
      <c r="J1638" t="s">
        <v>5363</v>
      </c>
    </row>
    <row r="1639" spans="1:10">
      <c r="A1639">
        <v>151113</v>
      </c>
      <c r="B1639" t="s">
        <v>446</v>
      </c>
      <c r="C1639" t="s">
        <v>5364</v>
      </c>
      <c r="D1639" t="s">
        <v>12</v>
      </c>
      <c r="E1639" t="s">
        <v>5365</v>
      </c>
      <c r="F1639" t="s">
        <v>14</v>
      </c>
      <c r="G1639" s="1">
        <v>2822.25</v>
      </c>
      <c r="H1639" t="s">
        <v>36</v>
      </c>
      <c r="I1639" t="s">
        <v>5264</v>
      </c>
      <c r="J1639" t="s">
        <v>5366</v>
      </c>
    </row>
    <row r="1640" spans="1:10">
      <c r="A1640">
        <v>151650</v>
      </c>
      <c r="B1640" t="s">
        <v>446</v>
      </c>
      <c r="C1640" t="s">
        <v>5367</v>
      </c>
      <c r="D1640" t="s">
        <v>12</v>
      </c>
      <c r="E1640" t="s">
        <v>5368</v>
      </c>
      <c r="F1640" t="s">
        <v>14</v>
      </c>
      <c r="G1640" s="1">
        <v>2814.9</v>
      </c>
      <c r="H1640" t="s">
        <v>140</v>
      </c>
      <c r="I1640" t="s">
        <v>284</v>
      </c>
      <c r="J1640" t="s">
        <v>5369</v>
      </c>
    </row>
    <row r="1641" spans="1:10">
      <c r="A1641">
        <v>150974</v>
      </c>
      <c r="B1641" t="s">
        <v>446</v>
      </c>
      <c r="C1641" t="s">
        <v>5370</v>
      </c>
      <c r="D1641" t="s">
        <v>124</v>
      </c>
      <c r="E1641" t="s">
        <v>5371</v>
      </c>
      <c r="F1641" t="s">
        <v>14</v>
      </c>
      <c r="G1641" s="1">
        <v>2800</v>
      </c>
      <c r="H1641" t="s">
        <v>126</v>
      </c>
      <c r="I1641" t="s">
        <v>156</v>
      </c>
      <c r="J1641" t="s">
        <v>5372</v>
      </c>
    </row>
    <row r="1642" spans="1:10">
      <c r="A1642">
        <v>142761</v>
      </c>
      <c r="B1642" t="s">
        <v>446</v>
      </c>
      <c r="C1642" t="s">
        <v>5373</v>
      </c>
      <c r="D1642" t="s">
        <v>12</v>
      </c>
      <c r="E1642" t="s">
        <v>5374</v>
      </c>
      <c r="F1642" t="s">
        <v>14</v>
      </c>
      <c r="G1642" s="1">
        <v>2800</v>
      </c>
      <c r="H1642" t="s">
        <v>140</v>
      </c>
      <c r="I1642" t="s">
        <v>5375</v>
      </c>
      <c r="J1642" t="s">
        <v>5376</v>
      </c>
    </row>
    <row r="1643" spans="1:10">
      <c r="A1643">
        <v>127529</v>
      </c>
      <c r="B1643" t="s">
        <v>446</v>
      </c>
      <c r="C1643" t="s">
        <v>5377</v>
      </c>
      <c r="D1643" t="s">
        <v>12</v>
      </c>
      <c r="E1643" t="s">
        <v>5378</v>
      </c>
      <c r="F1643" t="s">
        <v>14</v>
      </c>
      <c r="G1643" s="1">
        <v>2792.25</v>
      </c>
      <c r="H1643" t="s">
        <v>232</v>
      </c>
      <c r="I1643" t="s">
        <v>5379</v>
      </c>
      <c r="J1643" t="s">
        <v>5380</v>
      </c>
    </row>
    <row r="1644" spans="1:10">
      <c r="A1644">
        <v>127070</v>
      </c>
      <c r="B1644" t="s">
        <v>446</v>
      </c>
      <c r="C1644" t="s">
        <v>5381</v>
      </c>
      <c r="D1644" t="s">
        <v>12</v>
      </c>
      <c r="E1644" t="s">
        <v>5382</v>
      </c>
      <c r="F1644" t="s">
        <v>14</v>
      </c>
      <c r="G1644" s="1">
        <v>2773.35</v>
      </c>
      <c r="H1644" t="s">
        <v>56</v>
      </c>
      <c r="I1644" t="s">
        <v>1138</v>
      </c>
      <c r="J1644" t="s">
        <v>5383</v>
      </c>
    </row>
    <row r="1645" spans="1:10">
      <c r="A1645">
        <v>141628</v>
      </c>
      <c r="B1645" t="s">
        <v>446</v>
      </c>
      <c r="C1645" t="s">
        <v>5384</v>
      </c>
      <c r="D1645" t="s">
        <v>12</v>
      </c>
      <c r="E1645" t="s">
        <v>5385</v>
      </c>
      <c r="F1645" t="s">
        <v>14</v>
      </c>
      <c r="G1645" s="1">
        <v>2771.94</v>
      </c>
      <c r="H1645" t="s">
        <v>21</v>
      </c>
      <c r="I1645" t="s">
        <v>5386</v>
      </c>
      <c r="J1645" t="s">
        <v>5387</v>
      </c>
    </row>
    <row r="1646" spans="1:10">
      <c r="A1646">
        <v>148302</v>
      </c>
      <c r="B1646" t="s">
        <v>446</v>
      </c>
      <c r="C1646" t="s">
        <v>5388</v>
      </c>
      <c r="D1646" t="s">
        <v>12</v>
      </c>
      <c r="E1646" t="s">
        <v>5389</v>
      </c>
      <c r="F1646" t="s">
        <v>14</v>
      </c>
      <c r="G1646" s="1">
        <v>2761.62</v>
      </c>
      <c r="H1646" t="s">
        <v>36</v>
      </c>
      <c r="I1646" t="s">
        <v>1820</v>
      </c>
      <c r="J1646" t="s">
        <v>5390</v>
      </c>
    </row>
    <row r="1647" spans="1:10">
      <c r="A1647">
        <v>143939</v>
      </c>
      <c r="B1647" t="s">
        <v>446</v>
      </c>
      <c r="C1647" t="s">
        <v>5391</v>
      </c>
      <c r="D1647" t="s">
        <v>12</v>
      </c>
      <c r="E1647" t="s">
        <v>5392</v>
      </c>
      <c r="F1647" t="s">
        <v>14</v>
      </c>
      <c r="G1647" s="1">
        <v>2760</v>
      </c>
      <c r="H1647" t="s">
        <v>848</v>
      </c>
      <c r="I1647" t="s">
        <v>2449</v>
      </c>
      <c r="J1647" t="s">
        <v>5393</v>
      </c>
    </row>
    <row r="1648" spans="1:10">
      <c r="A1648" t="s">
        <v>5394</v>
      </c>
      <c r="B1648" t="s">
        <v>446</v>
      </c>
      <c r="C1648" t="s">
        <v>5395</v>
      </c>
      <c r="D1648" t="s">
        <v>12</v>
      </c>
      <c r="E1648" t="s">
        <v>5396</v>
      </c>
      <c r="F1648" t="s">
        <v>168</v>
      </c>
      <c r="G1648" s="1">
        <v>2756.15</v>
      </c>
      <c r="H1648" t="s">
        <v>56</v>
      </c>
      <c r="I1648" t="s">
        <v>549</v>
      </c>
      <c r="J1648" t="s">
        <v>5397</v>
      </c>
    </row>
    <row r="1649" spans="1:10">
      <c r="A1649">
        <v>150761</v>
      </c>
      <c r="B1649" t="s">
        <v>446</v>
      </c>
      <c r="C1649" t="s">
        <v>5398</v>
      </c>
      <c r="D1649" t="s">
        <v>12</v>
      </c>
      <c r="E1649" t="s">
        <v>5399</v>
      </c>
      <c r="F1649" t="s">
        <v>168</v>
      </c>
      <c r="G1649" s="1">
        <v>2755</v>
      </c>
      <c r="H1649" t="s">
        <v>777</v>
      </c>
      <c r="I1649" t="s">
        <v>2021</v>
      </c>
      <c r="J1649" t="s">
        <v>4038</v>
      </c>
    </row>
    <row r="1650" spans="1:10">
      <c r="A1650">
        <v>144013</v>
      </c>
      <c r="B1650" t="s">
        <v>446</v>
      </c>
      <c r="C1650" t="s">
        <v>5400</v>
      </c>
      <c r="D1650" t="s">
        <v>12</v>
      </c>
      <c r="E1650" t="s">
        <v>5401</v>
      </c>
      <c r="F1650" t="s">
        <v>14</v>
      </c>
      <c r="G1650" s="1">
        <v>2750</v>
      </c>
      <c r="H1650" t="s">
        <v>425</v>
      </c>
      <c r="I1650" t="s">
        <v>2731</v>
      </c>
      <c r="J1650" t="s">
        <v>2732</v>
      </c>
    </row>
    <row r="1651" spans="1:10">
      <c r="A1651">
        <v>103208</v>
      </c>
      <c r="B1651" t="s">
        <v>446</v>
      </c>
      <c r="C1651" t="s">
        <v>5402</v>
      </c>
      <c r="D1651" t="s">
        <v>1986</v>
      </c>
      <c r="E1651" t="s">
        <v>5403</v>
      </c>
      <c r="F1651" t="s">
        <v>14</v>
      </c>
      <c r="G1651" s="1">
        <v>2744.46</v>
      </c>
      <c r="H1651" t="s">
        <v>126</v>
      </c>
      <c r="I1651" t="s">
        <v>5404</v>
      </c>
      <c r="J1651" t="s">
        <v>472</v>
      </c>
    </row>
    <row r="1652" spans="1:10">
      <c r="A1652">
        <v>103196</v>
      </c>
      <c r="B1652" t="s">
        <v>446</v>
      </c>
      <c r="C1652" t="s">
        <v>5405</v>
      </c>
      <c r="D1652" t="s">
        <v>1986</v>
      </c>
      <c r="E1652" t="s">
        <v>5406</v>
      </c>
      <c r="F1652" t="s">
        <v>14</v>
      </c>
      <c r="G1652" s="1">
        <v>2734.98</v>
      </c>
      <c r="H1652" t="s">
        <v>126</v>
      </c>
      <c r="I1652" t="s">
        <v>471</v>
      </c>
      <c r="J1652" t="s">
        <v>472</v>
      </c>
    </row>
    <row r="1653" spans="1:10">
      <c r="A1653">
        <v>122133</v>
      </c>
      <c r="B1653" t="s">
        <v>446</v>
      </c>
      <c r="C1653" t="s">
        <v>5407</v>
      </c>
      <c r="D1653" t="s">
        <v>12</v>
      </c>
      <c r="E1653" t="s">
        <v>5408</v>
      </c>
      <c r="F1653" t="s">
        <v>14</v>
      </c>
      <c r="G1653" s="1">
        <v>2730.02</v>
      </c>
      <c r="H1653" t="s">
        <v>1124</v>
      </c>
      <c r="I1653" t="s">
        <v>5409</v>
      </c>
      <c r="J1653" t="s">
        <v>5410</v>
      </c>
    </row>
    <row r="1654" spans="1:10">
      <c r="A1654">
        <v>144604</v>
      </c>
      <c r="B1654" t="s">
        <v>446</v>
      </c>
      <c r="C1654" t="s">
        <v>5411</v>
      </c>
      <c r="D1654" t="s">
        <v>12</v>
      </c>
      <c r="E1654" t="s">
        <v>5412</v>
      </c>
      <c r="F1654" t="s">
        <v>14</v>
      </c>
      <c r="G1654" s="1">
        <v>2725</v>
      </c>
      <c r="H1654" t="s">
        <v>918</v>
      </c>
      <c r="I1654" t="s">
        <v>919</v>
      </c>
      <c r="J1654" t="s">
        <v>5413</v>
      </c>
    </row>
    <row r="1655" spans="1:10">
      <c r="A1655">
        <v>132589</v>
      </c>
      <c r="B1655" t="s">
        <v>446</v>
      </c>
      <c r="C1655" t="s">
        <v>5414</v>
      </c>
      <c r="D1655" t="s">
        <v>12</v>
      </c>
      <c r="E1655" t="s">
        <v>5415</v>
      </c>
      <c r="F1655" t="s">
        <v>14</v>
      </c>
      <c r="G1655" s="1">
        <v>2724.28</v>
      </c>
      <c r="H1655" t="s">
        <v>15</v>
      </c>
      <c r="I1655" t="s">
        <v>5416</v>
      </c>
      <c r="J1655" t="s">
        <v>5417</v>
      </c>
    </row>
    <row r="1656" spans="1:10">
      <c r="A1656">
        <v>128341</v>
      </c>
      <c r="B1656" t="s">
        <v>446</v>
      </c>
      <c r="C1656" t="s">
        <v>5418</v>
      </c>
      <c r="D1656" t="s">
        <v>12</v>
      </c>
      <c r="E1656" t="s">
        <v>5419</v>
      </c>
      <c r="F1656" t="s">
        <v>14</v>
      </c>
      <c r="G1656" s="1">
        <v>2718.63</v>
      </c>
      <c r="H1656" t="s">
        <v>56</v>
      </c>
      <c r="I1656" t="s">
        <v>2899</v>
      </c>
      <c r="J1656" t="s">
        <v>5420</v>
      </c>
    </row>
    <row r="1657" spans="1:10">
      <c r="A1657">
        <v>131453</v>
      </c>
      <c r="B1657" t="s">
        <v>446</v>
      </c>
      <c r="C1657" t="s">
        <v>5421</v>
      </c>
      <c r="D1657" t="s">
        <v>12</v>
      </c>
      <c r="E1657" t="s">
        <v>5422</v>
      </c>
      <c r="F1657" t="s">
        <v>14</v>
      </c>
      <c r="G1657" s="1">
        <v>2716.62</v>
      </c>
      <c r="H1657" t="s">
        <v>36</v>
      </c>
      <c r="I1657" t="s">
        <v>2491</v>
      </c>
      <c r="J1657" t="s">
        <v>5423</v>
      </c>
    </row>
    <row r="1658" spans="1:10">
      <c r="A1658">
        <v>108476</v>
      </c>
      <c r="B1658" t="s">
        <v>446</v>
      </c>
      <c r="C1658" t="s">
        <v>5424</v>
      </c>
      <c r="D1658" t="s">
        <v>12</v>
      </c>
      <c r="E1658" t="s">
        <v>5425</v>
      </c>
      <c r="F1658" t="s">
        <v>14</v>
      </c>
      <c r="G1658" s="1">
        <v>2712.5</v>
      </c>
      <c r="H1658" t="s">
        <v>1378</v>
      </c>
      <c r="I1658" t="s">
        <v>5426</v>
      </c>
      <c r="J1658" t="s">
        <v>5427</v>
      </c>
    </row>
    <row r="1659" spans="1:10">
      <c r="A1659" t="s">
        <v>5428</v>
      </c>
      <c r="B1659" t="s">
        <v>446</v>
      </c>
      <c r="C1659" t="s">
        <v>5429</v>
      </c>
      <c r="D1659" t="s">
        <v>12</v>
      </c>
      <c r="E1659" t="s">
        <v>5430</v>
      </c>
      <c r="F1659" t="s">
        <v>168</v>
      </c>
      <c r="G1659" s="1">
        <v>2704.77</v>
      </c>
      <c r="H1659" t="s">
        <v>499</v>
      </c>
      <c r="I1659" t="s">
        <v>5431</v>
      </c>
      <c r="J1659" t="s">
        <v>5432</v>
      </c>
    </row>
    <row r="1660" spans="1:10">
      <c r="A1660">
        <v>145286</v>
      </c>
      <c r="B1660" t="s">
        <v>446</v>
      </c>
      <c r="C1660" t="s">
        <v>2154</v>
      </c>
      <c r="D1660" t="s">
        <v>12</v>
      </c>
      <c r="E1660" t="s">
        <v>5433</v>
      </c>
      <c r="F1660" t="s">
        <v>14</v>
      </c>
      <c r="G1660" s="1">
        <v>2703</v>
      </c>
      <c r="H1660" t="s">
        <v>56</v>
      </c>
      <c r="I1660" t="s">
        <v>5434</v>
      </c>
      <c r="J1660" t="s">
        <v>5435</v>
      </c>
    </row>
    <row r="1661" spans="1:10">
      <c r="A1661">
        <v>122544</v>
      </c>
      <c r="B1661" t="s">
        <v>446</v>
      </c>
      <c r="C1661" t="s">
        <v>5436</v>
      </c>
      <c r="D1661" t="s">
        <v>12</v>
      </c>
      <c r="E1661" t="s">
        <v>5437</v>
      </c>
      <c r="F1661" t="s">
        <v>14</v>
      </c>
      <c r="G1661" s="1">
        <v>2700</v>
      </c>
      <c r="H1661" t="s">
        <v>777</v>
      </c>
      <c r="I1661" t="s">
        <v>2021</v>
      </c>
      <c r="J1661" t="s">
        <v>3645</v>
      </c>
    </row>
    <row r="1662" spans="1:10">
      <c r="A1662">
        <v>151327</v>
      </c>
      <c r="B1662" t="s">
        <v>446</v>
      </c>
      <c r="C1662" t="s">
        <v>5438</v>
      </c>
      <c r="D1662" t="s">
        <v>124</v>
      </c>
      <c r="E1662" t="s">
        <v>5439</v>
      </c>
      <c r="F1662" t="s">
        <v>14</v>
      </c>
      <c r="G1662" s="1">
        <v>2696.38</v>
      </c>
      <c r="H1662" t="s">
        <v>3941</v>
      </c>
      <c r="I1662" t="s">
        <v>5440</v>
      </c>
      <c r="J1662" t="s">
        <v>5441</v>
      </c>
    </row>
    <row r="1663" spans="1:10">
      <c r="A1663">
        <v>150816</v>
      </c>
      <c r="B1663" t="s">
        <v>446</v>
      </c>
      <c r="C1663" t="s">
        <v>5442</v>
      </c>
      <c r="D1663" t="s">
        <v>12</v>
      </c>
      <c r="E1663" t="s">
        <v>5443</v>
      </c>
      <c r="F1663" t="s">
        <v>168</v>
      </c>
      <c r="G1663" s="1">
        <v>2694.25</v>
      </c>
      <c r="H1663" t="s">
        <v>1378</v>
      </c>
      <c r="I1663" t="s">
        <v>5444</v>
      </c>
      <c r="J1663" t="s">
        <v>5445</v>
      </c>
    </row>
    <row r="1664" spans="1:10">
      <c r="A1664">
        <v>128733</v>
      </c>
      <c r="B1664" t="s">
        <v>446</v>
      </c>
      <c r="C1664" t="s">
        <v>5446</v>
      </c>
      <c r="D1664" t="s">
        <v>12</v>
      </c>
      <c r="E1664" t="s">
        <v>5447</v>
      </c>
      <c r="F1664" t="s">
        <v>14</v>
      </c>
      <c r="G1664" s="1">
        <v>2678</v>
      </c>
      <c r="H1664" t="s">
        <v>499</v>
      </c>
      <c r="I1664" t="s">
        <v>5448</v>
      </c>
      <c r="J1664" t="s">
        <v>5449</v>
      </c>
    </row>
    <row r="1665" spans="1:10">
      <c r="A1665">
        <v>152476</v>
      </c>
      <c r="B1665" t="s">
        <v>446</v>
      </c>
      <c r="C1665" t="s">
        <v>5450</v>
      </c>
      <c r="D1665" t="s">
        <v>12</v>
      </c>
      <c r="E1665" t="s">
        <v>5451</v>
      </c>
      <c r="F1665" t="s">
        <v>14</v>
      </c>
      <c r="G1665" s="1">
        <v>2675</v>
      </c>
      <c r="H1665" t="s">
        <v>140</v>
      </c>
      <c r="I1665" t="s">
        <v>1993</v>
      </c>
      <c r="J1665" t="s">
        <v>1994</v>
      </c>
    </row>
    <row r="1666" spans="1:10">
      <c r="A1666">
        <v>118300</v>
      </c>
      <c r="B1666" t="s">
        <v>446</v>
      </c>
      <c r="C1666" t="s">
        <v>5452</v>
      </c>
      <c r="D1666" t="s">
        <v>12</v>
      </c>
      <c r="E1666" t="s">
        <v>5453</v>
      </c>
      <c r="F1666" t="s">
        <v>14</v>
      </c>
      <c r="G1666" s="1">
        <v>2654.82</v>
      </c>
      <c r="H1666" t="s">
        <v>1378</v>
      </c>
      <c r="I1666" t="s">
        <v>4811</v>
      </c>
      <c r="J1666" t="s">
        <v>5454</v>
      </c>
    </row>
    <row r="1667" spans="1:10">
      <c r="A1667">
        <v>150068</v>
      </c>
      <c r="B1667" t="s">
        <v>446</v>
      </c>
      <c r="C1667" t="s">
        <v>5455</v>
      </c>
      <c r="D1667" t="s">
        <v>12</v>
      </c>
      <c r="E1667" t="s">
        <v>5456</v>
      </c>
      <c r="F1667" t="s">
        <v>14</v>
      </c>
      <c r="G1667" s="1">
        <v>2650</v>
      </c>
      <c r="H1667" t="s">
        <v>777</v>
      </c>
      <c r="I1667" t="s">
        <v>4824</v>
      </c>
      <c r="J1667" t="s">
        <v>5457</v>
      </c>
    </row>
    <row r="1668" spans="1:10">
      <c r="A1668">
        <v>104331</v>
      </c>
      <c r="B1668" t="s">
        <v>446</v>
      </c>
      <c r="C1668" t="s">
        <v>5458</v>
      </c>
      <c r="D1668" t="s">
        <v>12</v>
      </c>
      <c r="E1668" t="s">
        <v>5459</v>
      </c>
      <c r="F1668" t="s">
        <v>14</v>
      </c>
      <c r="G1668" s="1">
        <v>2630</v>
      </c>
      <c r="H1668" t="s">
        <v>1378</v>
      </c>
      <c r="I1668" t="s">
        <v>1379</v>
      </c>
      <c r="J1668" t="s">
        <v>1380</v>
      </c>
    </row>
    <row r="1669" spans="1:10">
      <c r="A1669">
        <v>126645</v>
      </c>
      <c r="B1669" t="s">
        <v>446</v>
      </c>
      <c r="C1669" t="s">
        <v>5460</v>
      </c>
      <c r="D1669" t="s">
        <v>12</v>
      </c>
      <c r="E1669" t="s">
        <v>5461</v>
      </c>
      <c r="F1669" t="s">
        <v>14</v>
      </c>
      <c r="G1669" s="1">
        <v>2625</v>
      </c>
      <c r="H1669" t="s">
        <v>777</v>
      </c>
      <c r="I1669" t="s">
        <v>2307</v>
      </c>
      <c r="J1669" t="s">
        <v>5462</v>
      </c>
    </row>
    <row r="1670" spans="1:10">
      <c r="A1670">
        <v>146480</v>
      </c>
      <c r="B1670" t="s">
        <v>446</v>
      </c>
      <c r="C1670" t="s">
        <v>5463</v>
      </c>
      <c r="D1670" t="s">
        <v>12</v>
      </c>
      <c r="E1670" t="s">
        <v>5464</v>
      </c>
      <c r="F1670" t="s">
        <v>14</v>
      </c>
      <c r="G1670" s="1">
        <v>2617</v>
      </c>
      <c r="H1670" t="s">
        <v>425</v>
      </c>
      <c r="I1670" t="s">
        <v>5465</v>
      </c>
      <c r="J1670" t="s">
        <v>5466</v>
      </c>
    </row>
    <row r="1671" spans="1:10">
      <c r="A1671">
        <v>150517</v>
      </c>
      <c r="B1671" t="s">
        <v>446</v>
      </c>
      <c r="C1671" t="s">
        <v>5467</v>
      </c>
      <c r="D1671" t="s">
        <v>12</v>
      </c>
      <c r="E1671" t="s">
        <v>5468</v>
      </c>
      <c r="F1671" t="s">
        <v>14</v>
      </c>
      <c r="G1671" s="1">
        <v>2575</v>
      </c>
      <c r="H1671" t="s">
        <v>36</v>
      </c>
      <c r="I1671" t="s">
        <v>1820</v>
      </c>
      <c r="J1671" t="s">
        <v>5469</v>
      </c>
    </row>
    <row r="1672" spans="1:10">
      <c r="A1672">
        <v>119912</v>
      </c>
      <c r="B1672" t="s">
        <v>446</v>
      </c>
      <c r="C1672" t="s">
        <v>5470</v>
      </c>
      <c r="D1672" t="s">
        <v>12</v>
      </c>
      <c r="E1672" t="s">
        <v>5471</v>
      </c>
      <c r="F1672" t="s">
        <v>14</v>
      </c>
      <c r="G1672" s="1">
        <v>2564.04</v>
      </c>
      <c r="H1672" t="s">
        <v>36</v>
      </c>
      <c r="I1672" t="s">
        <v>5472</v>
      </c>
      <c r="J1672" t="s">
        <v>5473</v>
      </c>
    </row>
    <row r="1673" spans="1:10">
      <c r="A1673">
        <v>141041</v>
      </c>
      <c r="B1673" t="s">
        <v>446</v>
      </c>
      <c r="C1673" t="s">
        <v>5474</v>
      </c>
      <c r="D1673" t="s">
        <v>12</v>
      </c>
      <c r="E1673" t="s">
        <v>5475</v>
      </c>
      <c r="F1673" t="s">
        <v>14</v>
      </c>
      <c r="G1673" s="1">
        <v>2550</v>
      </c>
      <c r="H1673" t="s">
        <v>1378</v>
      </c>
      <c r="I1673" t="s">
        <v>5476</v>
      </c>
      <c r="J1673" t="s">
        <v>5477</v>
      </c>
    </row>
    <row r="1674" spans="1:10">
      <c r="A1674">
        <v>143202</v>
      </c>
      <c r="B1674" t="s">
        <v>446</v>
      </c>
      <c r="C1674" t="s">
        <v>5478</v>
      </c>
      <c r="D1674" t="s">
        <v>12</v>
      </c>
      <c r="E1674" t="s">
        <v>5479</v>
      </c>
      <c r="F1674" t="s">
        <v>14</v>
      </c>
      <c r="G1674" s="1">
        <v>2533.73</v>
      </c>
      <c r="H1674" t="s">
        <v>777</v>
      </c>
      <c r="I1674" t="s">
        <v>5480</v>
      </c>
      <c r="J1674" t="s">
        <v>5481</v>
      </c>
    </row>
    <row r="1675" spans="1:10">
      <c r="A1675">
        <v>146635</v>
      </c>
      <c r="B1675" t="s">
        <v>446</v>
      </c>
      <c r="C1675" t="s">
        <v>5482</v>
      </c>
      <c r="D1675" t="s">
        <v>12</v>
      </c>
      <c r="E1675" t="s">
        <v>5483</v>
      </c>
      <c r="F1675" t="s">
        <v>14</v>
      </c>
      <c r="G1675" s="1">
        <v>2529.88</v>
      </c>
      <c r="H1675" t="s">
        <v>36</v>
      </c>
      <c r="I1675" t="s">
        <v>1906</v>
      </c>
      <c r="J1675" t="s">
        <v>5484</v>
      </c>
    </row>
    <row r="1676" spans="1:10">
      <c r="A1676">
        <v>115066</v>
      </c>
      <c r="B1676" t="s">
        <v>446</v>
      </c>
      <c r="C1676" t="s">
        <v>5485</v>
      </c>
      <c r="D1676" t="s">
        <v>12</v>
      </c>
      <c r="E1676" t="s">
        <v>5486</v>
      </c>
      <c r="F1676" t="s">
        <v>14</v>
      </c>
      <c r="G1676" s="1">
        <v>2527.75</v>
      </c>
      <c r="H1676" t="s">
        <v>553</v>
      </c>
      <c r="I1676" t="s">
        <v>3873</v>
      </c>
      <c r="J1676" t="s">
        <v>5487</v>
      </c>
    </row>
    <row r="1677" spans="1:10">
      <c r="A1677">
        <v>102963</v>
      </c>
      <c r="B1677" t="s">
        <v>446</v>
      </c>
      <c r="C1677" t="s">
        <v>5488</v>
      </c>
      <c r="D1677" t="s">
        <v>12</v>
      </c>
      <c r="E1677" t="s">
        <v>5489</v>
      </c>
      <c r="F1677" t="s">
        <v>14</v>
      </c>
      <c r="G1677" s="1">
        <v>2511.96</v>
      </c>
      <c r="H1677" t="s">
        <v>232</v>
      </c>
      <c r="I1677" t="s">
        <v>5490</v>
      </c>
      <c r="J1677" t="s">
        <v>5491</v>
      </c>
    </row>
    <row r="1678" spans="1:10">
      <c r="A1678">
        <v>151205</v>
      </c>
      <c r="B1678" t="s">
        <v>446</v>
      </c>
      <c r="C1678" t="s">
        <v>5492</v>
      </c>
      <c r="D1678" t="s">
        <v>12</v>
      </c>
      <c r="E1678" t="s">
        <v>5493</v>
      </c>
      <c r="F1678" t="s">
        <v>14</v>
      </c>
      <c r="G1678" s="1">
        <v>2500</v>
      </c>
      <c r="H1678" t="s">
        <v>3970</v>
      </c>
      <c r="I1678" t="s">
        <v>3971</v>
      </c>
      <c r="J1678" t="s">
        <v>5494</v>
      </c>
    </row>
    <row r="1679" spans="1:10">
      <c r="A1679">
        <v>150804</v>
      </c>
      <c r="B1679" t="s">
        <v>446</v>
      </c>
      <c r="C1679" t="s">
        <v>5495</v>
      </c>
      <c r="D1679" t="s">
        <v>12</v>
      </c>
      <c r="E1679" t="s">
        <v>5496</v>
      </c>
      <c r="F1679" t="s">
        <v>14</v>
      </c>
      <c r="G1679" s="1">
        <v>2500</v>
      </c>
      <c r="H1679" t="s">
        <v>27</v>
      </c>
      <c r="I1679" t="s">
        <v>1696</v>
      </c>
      <c r="J1679" t="s">
        <v>5497</v>
      </c>
    </row>
    <row r="1680" spans="1:10">
      <c r="A1680">
        <v>149964</v>
      </c>
      <c r="B1680" t="s">
        <v>446</v>
      </c>
      <c r="C1680" t="s">
        <v>5498</v>
      </c>
      <c r="D1680" t="s">
        <v>12</v>
      </c>
      <c r="E1680" t="s">
        <v>5499</v>
      </c>
      <c r="F1680" t="s">
        <v>14</v>
      </c>
      <c r="G1680" s="1">
        <v>2500</v>
      </c>
      <c r="H1680" t="s">
        <v>140</v>
      </c>
      <c r="I1680" t="s">
        <v>1361</v>
      </c>
      <c r="J1680" t="s">
        <v>5500</v>
      </c>
    </row>
    <row r="1681" spans="1:10">
      <c r="A1681">
        <v>148189</v>
      </c>
      <c r="B1681" t="s">
        <v>446</v>
      </c>
      <c r="C1681" t="s">
        <v>5501</v>
      </c>
      <c r="D1681" t="s">
        <v>12</v>
      </c>
      <c r="E1681" t="s">
        <v>5502</v>
      </c>
      <c r="F1681" t="s">
        <v>14</v>
      </c>
      <c r="G1681" s="1">
        <v>2500</v>
      </c>
      <c r="H1681" t="s">
        <v>2083</v>
      </c>
      <c r="I1681" t="s">
        <v>5503</v>
      </c>
      <c r="J1681" t="s">
        <v>5504</v>
      </c>
    </row>
    <row r="1682" spans="1:10">
      <c r="A1682">
        <v>150764</v>
      </c>
      <c r="B1682" t="s">
        <v>446</v>
      </c>
      <c r="C1682" t="s">
        <v>5505</v>
      </c>
      <c r="D1682" t="s">
        <v>12</v>
      </c>
      <c r="E1682" t="s">
        <v>5506</v>
      </c>
      <c r="F1682" t="s">
        <v>14</v>
      </c>
      <c r="G1682" s="1">
        <v>2500</v>
      </c>
      <c r="H1682" t="s">
        <v>85</v>
      </c>
      <c r="I1682" t="s">
        <v>5507</v>
      </c>
      <c r="J1682" t="s">
        <v>5508</v>
      </c>
    </row>
    <row r="1683" spans="1:10">
      <c r="A1683">
        <v>147260</v>
      </c>
      <c r="B1683" t="s">
        <v>446</v>
      </c>
      <c r="C1683" t="s">
        <v>5509</v>
      </c>
      <c r="D1683" t="s">
        <v>12</v>
      </c>
      <c r="E1683" t="s">
        <v>5510</v>
      </c>
      <c r="F1683" t="s">
        <v>14</v>
      </c>
      <c r="G1683" s="1">
        <v>2481.69</v>
      </c>
      <c r="H1683" t="s">
        <v>1378</v>
      </c>
      <c r="I1683" t="s">
        <v>2295</v>
      </c>
      <c r="J1683" t="s">
        <v>5511</v>
      </c>
    </row>
    <row r="1684" spans="1:10">
      <c r="A1684">
        <v>142801</v>
      </c>
      <c r="B1684" t="s">
        <v>446</v>
      </c>
      <c r="C1684" t="s">
        <v>5512</v>
      </c>
      <c r="D1684" t="s">
        <v>12</v>
      </c>
      <c r="E1684" t="s">
        <v>5513</v>
      </c>
      <c r="F1684" t="s">
        <v>14</v>
      </c>
      <c r="G1684" s="1">
        <v>2475.7800000000002</v>
      </c>
      <c r="H1684" t="s">
        <v>1017</v>
      </c>
      <c r="I1684" t="s">
        <v>1943</v>
      </c>
      <c r="J1684" t="s">
        <v>5514</v>
      </c>
    </row>
    <row r="1685" spans="1:10">
      <c r="A1685">
        <v>103095</v>
      </c>
      <c r="B1685" t="s">
        <v>446</v>
      </c>
      <c r="C1685" t="s">
        <v>5515</v>
      </c>
      <c r="D1685" t="s">
        <v>1986</v>
      </c>
      <c r="E1685" t="s">
        <v>5516</v>
      </c>
      <c r="F1685" t="s">
        <v>14</v>
      </c>
      <c r="G1685" s="1">
        <v>2462.48</v>
      </c>
      <c r="H1685" t="s">
        <v>126</v>
      </c>
      <c r="I1685" t="s">
        <v>471</v>
      </c>
      <c r="J1685" t="s">
        <v>472</v>
      </c>
    </row>
    <row r="1686" spans="1:10">
      <c r="A1686">
        <v>149584</v>
      </c>
      <c r="B1686" t="s">
        <v>446</v>
      </c>
      <c r="C1686" t="s">
        <v>5517</v>
      </c>
      <c r="D1686" t="s">
        <v>12</v>
      </c>
      <c r="E1686" t="s">
        <v>5518</v>
      </c>
      <c r="F1686" t="s">
        <v>14</v>
      </c>
      <c r="G1686" s="1">
        <v>2455</v>
      </c>
      <c r="H1686" t="s">
        <v>499</v>
      </c>
      <c r="I1686" t="s">
        <v>1878</v>
      </c>
      <c r="J1686" t="s">
        <v>5519</v>
      </c>
    </row>
    <row r="1687" spans="1:10">
      <c r="A1687" t="s">
        <v>5520</v>
      </c>
      <c r="B1687" t="s">
        <v>446</v>
      </c>
      <c r="C1687" t="s">
        <v>5521</v>
      </c>
      <c r="D1687" t="s">
        <v>12</v>
      </c>
      <c r="E1687" t="s">
        <v>5522</v>
      </c>
      <c r="F1687" t="s">
        <v>168</v>
      </c>
      <c r="G1687" s="1">
        <v>2452.1</v>
      </c>
      <c r="H1687" t="s">
        <v>27</v>
      </c>
      <c r="I1687" t="s">
        <v>5523</v>
      </c>
      <c r="J1687" t="s">
        <v>5524</v>
      </c>
    </row>
    <row r="1688" spans="1:10">
      <c r="A1688">
        <v>128775</v>
      </c>
      <c r="B1688" t="s">
        <v>446</v>
      </c>
      <c r="C1688" t="s">
        <v>5525</v>
      </c>
      <c r="D1688" t="s">
        <v>12</v>
      </c>
      <c r="E1688" t="s">
        <v>5526</v>
      </c>
      <c r="F1688" t="s">
        <v>14</v>
      </c>
      <c r="G1688" s="1">
        <v>2441.9</v>
      </c>
      <c r="H1688" t="s">
        <v>72</v>
      </c>
      <c r="I1688" t="s">
        <v>2190</v>
      </c>
      <c r="J1688" t="s">
        <v>5527</v>
      </c>
    </row>
    <row r="1689" spans="1:10">
      <c r="A1689">
        <v>110746</v>
      </c>
      <c r="B1689" t="s">
        <v>446</v>
      </c>
      <c r="C1689" t="s">
        <v>5528</v>
      </c>
      <c r="D1689" t="s">
        <v>12</v>
      </c>
      <c r="E1689" t="s">
        <v>5529</v>
      </c>
      <c r="F1689" t="s">
        <v>14</v>
      </c>
      <c r="G1689" s="1">
        <v>2425.87</v>
      </c>
      <c r="H1689" t="s">
        <v>232</v>
      </c>
      <c r="I1689" t="s">
        <v>5530</v>
      </c>
      <c r="J1689" t="s">
        <v>5531</v>
      </c>
    </row>
    <row r="1690" spans="1:10">
      <c r="A1690">
        <v>151265</v>
      </c>
      <c r="B1690" t="s">
        <v>446</v>
      </c>
      <c r="C1690" t="s">
        <v>5532</v>
      </c>
      <c r="D1690" t="s">
        <v>12</v>
      </c>
      <c r="E1690" t="s">
        <v>5533</v>
      </c>
      <c r="F1690" t="s">
        <v>14</v>
      </c>
      <c r="G1690" s="1">
        <v>2425</v>
      </c>
      <c r="H1690" t="s">
        <v>140</v>
      </c>
      <c r="I1690" t="s">
        <v>5534</v>
      </c>
      <c r="J1690" t="s">
        <v>5535</v>
      </c>
    </row>
    <row r="1691" spans="1:10">
      <c r="A1691">
        <v>113153</v>
      </c>
      <c r="B1691" t="s">
        <v>446</v>
      </c>
      <c r="C1691" t="s">
        <v>5536</v>
      </c>
      <c r="D1691" t="s">
        <v>12</v>
      </c>
      <c r="E1691" t="s">
        <v>5537</v>
      </c>
      <c r="F1691" t="s">
        <v>14</v>
      </c>
      <c r="G1691" s="1">
        <v>2423.4</v>
      </c>
      <c r="H1691" t="s">
        <v>140</v>
      </c>
      <c r="I1691" t="s">
        <v>5538</v>
      </c>
      <c r="J1691" t="s">
        <v>5539</v>
      </c>
    </row>
    <row r="1692" spans="1:10">
      <c r="A1692">
        <v>150259</v>
      </c>
      <c r="B1692" t="s">
        <v>446</v>
      </c>
      <c r="C1692" t="s">
        <v>5540</v>
      </c>
      <c r="D1692" t="s">
        <v>12</v>
      </c>
      <c r="E1692" t="s">
        <v>5541</v>
      </c>
      <c r="F1692" t="s">
        <v>14</v>
      </c>
      <c r="G1692" s="1">
        <v>2412.8200000000002</v>
      </c>
      <c r="H1692" t="s">
        <v>1017</v>
      </c>
      <c r="I1692" t="s">
        <v>1494</v>
      </c>
      <c r="J1692" t="s">
        <v>5542</v>
      </c>
    </row>
    <row r="1693" spans="1:10">
      <c r="A1693">
        <v>144192</v>
      </c>
      <c r="B1693" t="s">
        <v>446</v>
      </c>
      <c r="C1693" t="s">
        <v>5543</v>
      </c>
      <c r="D1693" t="s">
        <v>12</v>
      </c>
      <c r="E1693" t="s">
        <v>5544</v>
      </c>
      <c r="F1693" t="s">
        <v>14</v>
      </c>
      <c r="G1693" s="1">
        <v>2401</v>
      </c>
      <c r="H1693" t="s">
        <v>72</v>
      </c>
      <c r="I1693" t="s">
        <v>5545</v>
      </c>
      <c r="J1693" t="s">
        <v>5546</v>
      </c>
    </row>
    <row r="1694" spans="1:10">
      <c r="A1694">
        <v>140975</v>
      </c>
      <c r="B1694" t="s">
        <v>446</v>
      </c>
      <c r="C1694" t="s">
        <v>5547</v>
      </c>
      <c r="D1694" t="s">
        <v>12</v>
      </c>
      <c r="E1694" t="s">
        <v>5548</v>
      </c>
      <c r="F1694" t="s">
        <v>14</v>
      </c>
      <c r="G1694" s="1">
        <v>2400</v>
      </c>
      <c r="H1694" t="s">
        <v>85</v>
      </c>
      <c r="I1694" t="s">
        <v>5549</v>
      </c>
      <c r="J1694" t="s">
        <v>5550</v>
      </c>
    </row>
    <row r="1695" spans="1:10">
      <c r="A1695">
        <v>140520</v>
      </c>
      <c r="B1695" t="s">
        <v>446</v>
      </c>
      <c r="C1695" t="s">
        <v>5551</v>
      </c>
      <c r="D1695" t="s">
        <v>124</v>
      </c>
      <c r="E1695" t="s">
        <v>5552</v>
      </c>
      <c r="F1695" t="s">
        <v>14</v>
      </c>
      <c r="G1695" s="1">
        <v>2400</v>
      </c>
      <c r="H1695" t="s">
        <v>126</v>
      </c>
      <c r="I1695" t="s">
        <v>156</v>
      </c>
      <c r="J1695" t="s">
        <v>3294</v>
      </c>
    </row>
    <row r="1696" spans="1:10">
      <c r="A1696">
        <v>118249</v>
      </c>
      <c r="B1696" t="s">
        <v>446</v>
      </c>
      <c r="C1696" t="s">
        <v>5553</v>
      </c>
      <c r="D1696" t="s">
        <v>124</v>
      </c>
      <c r="E1696" t="s">
        <v>5554</v>
      </c>
      <c r="F1696" t="s">
        <v>14</v>
      </c>
      <c r="G1696" s="1">
        <v>2400</v>
      </c>
      <c r="H1696" t="s">
        <v>126</v>
      </c>
      <c r="I1696" t="s">
        <v>156</v>
      </c>
      <c r="J1696" t="s">
        <v>180</v>
      </c>
    </row>
    <row r="1697" spans="1:10">
      <c r="A1697">
        <v>143034</v>
      </c>
      <c r="B1697" t="s">
        <v>446</v>
      </c>
      <c r="C1697" t="s">
        <v>5555</v>
      </c>
      <c r="D1697" t="s">
        <v>124</v>
      </c>
      <c r="E1697" t="s">
        <v>5556</v>
      </c>
      <c r="F1697" t="s">
        <v>14</v>
      </c>
      <c r="G1697" s="1">
        <v>2400</v>
      </c>
      <c r="H1697" t="s">
        <v>3941</v>
      </c>
      <c r="I1697" t="s">
        <v>5557</v>
      </c>
      <c r="J1697" t="s">
        <v>5558</v>
      </c>
    </row>
    <row r="1698" spans="1:10">
      <c r="A1698">
        <v>116387</v>
      </c>
      <c r="B1698" t="s">
        <v>446</v>
      </c>
      <c r="C1698" t="s">
        <v>5559</v>
      </c>
      <c r="D1698" t="s">
        <v>12</v>
      </c>
      <c r="E1698" t="s">
        <v>5560</v>
      </c>
      <c r="F1698" t="s">
        <v>14</v>
      </c>
      <c r="G1698" s="1">
        <v>2400</v>
      </c>
      <c r="H1698" t="s">
        <v>140</v>
      </c>
      <c r="I1698" t="s">
        <v>669</v>
      </c>
      <c r="J1698" t="s">
        <v>5561</v>
      </c>
    </row>
    <row r="1699" spans="1:10">
      <c r="A1699">
        <v>142434</v>
      </c>
      <c r="B1699" t="s">
        <v>446</v>
      </c>
      <c r="C1699" t="s">
        <v>5562</v>
      </c>
      <c r="D1699" t="s">
        <v>12</v>
      </c>
      <c r="E1699" t="s">
        <v>5563</v>
      </c>
      <c r="F1699" t="s">
        <v>14</v>
      </c>
      <c r="G1699" s="1">
        <v>2400</v>
      </c>
      <c r="H1699" t="s">
        <v>36</v>
      </c>
      <c r="I1699" t="s">
        <v>3399</v>
      </c>
      <c r="J1699" t="s">
        <v>5564</v>
      </c>
    </row>
    <row r="1700" spans="1:10">
      <c r="A1700">
        <v>125273</v>
      </c>
      <c r="B1700" t="s">
        <v>446</v>
      </c>
      <c r="C1700" t="s">
        <v>5565</v>
      </c>
      <c r="D1700" t="s">
        <v>12</v>
      </c>
      <c r="E1700" t="s">
        <v>5566</v>
      </c>
      <c r="F1700" t="s">
        <v>14</v>
      </c>
      <c r="G1700" s="1">
        <v>2395</v>
      </c>
      <c r="H1700" t="s">
        <v>777</v>
      </c>
      <c r="I1700" t="s">
        <v>2021</v>
      </c>
      <c r="J1700" t="s">
        <v>3262</v>
      </c>
    </row>
    <row r="1701" spans="1:10">
      <c r="A1701">
        <v>105581</v>
      </c>
      <c r="B1701" t="s">
        <v>446</v>
      </c>
      <c r="C1701" t="s">
        <v>5567</v>
      </c>
      <c r="D1701" t="s">
        <v>12</v>
      </c>
      <c r="E1701" t="s">
        <v>5568</v>
      </c>
      <c r="F1701" t="s">
        <v>14</v>
      </c>
      <c r="G1701" s="1">
        <v>2387.5</v>
      </c>
      <c r="H1701" t="s">
        <v>777</v>
      </c>
      <c r="I1701" t="s">
        <v>5569</v>
      </c>
      <c r="J1701" t="s">
        <v>5570</v>
      </c>
    </row>
    <row r="1702" spans="1:10">
      <c r="A1702">
        <v>145626</v>
      </c>
      <c r="B1702" t="s">
        <v>446</v>
      </c>
      <c r="C1702" t="s">
        <v>5571</v>
      </c>
      <c r="D1702" t="s">
        <v>12</v>
      </c>
      <c r="E1702" t="s">
        <v>5572</v>
      </c>
      <c r="F1702" t="s">
        <v>14</v>
      </c>
      <c r="G1702" s="1">
        <v>2383</v>
      </c>
      <c r="H1702" t="s">
        <v>140</v>
      </c>
      <c r="I1702" t="s">
        <v>3485</v>
      </c>
      <c r="J1702" t="s">
        <v>506</v>
      </c>
    </row>
    <row r="1703" spans="1:10">
      <c r="A1703" t="s">
        <v>5573</v>
      </c>
      <c r="B1703" t="s">
        <v>446</v>
      </c>
      <c r="C1703" t="s">
        <v>5574</v>
      </c>
      <c r="D1703" t="s">
        <v>12</v>
      </c>
      <c r="E1703" t="s">
        <v>5575</v>
      </c>
      <c r="F1703" t="s">
        <v>168</v>
      </c>
      <c r="G1703" s="1">
        <v>2380</v>
      </c>
      <c r="H1703" t="s">
        <v>333</v>
      </c>
      <c r="I1703" t="s">
        <v>334</v>
      </c>
      <c r="J1703" t="s">
        <v>5576</v>
      </c>
    </row>
    <row r="1704" spans="1:10">
      <c r="A1704">
        <v>151267</v>
      </c>
      <c r="B1704" t="s">
        <v>446</v>
      </c>
      <c r="C1704" t="s">
        <v>5577</v>
      </c>
      <c r="D1704" t="s">
        <v>12</v>
      </c>
      <c r="E1704" t="s">
        <v>5578</v>
      </c>
      <c r="F1704" t="s">
        <v>14</v>
      </c>
      <c r="G1704" s="1">
        <v>2355</v>
      </c>
      <c r="H1704" t="s">
        <v>918</v>
      </c>
      <c r="I1704" t="s">
        <v>4209</v>
      </c>
      <c r="J1704" t="s">
        <v>4210</v>
      </c>
    </row>
    <row r="1705" spans="1:10">
      <c r="A1705">
        <v>130111</v>
      </c>
      <c r="B1705" t="s">
        <v>446</v>
      </c>
      <c r="C1705" t="s">
        <v>5579</v>
      </c>
      <c r="D1705" t="s">
        <v>12</v>
      </c>
      <c r="E1705" t="s">
        <v>5580</v>
      </c>
      <c r="F1705" t="s">
        <v>14</v>
      </c>
      <c r="G1705" s="1">
        <v>2352.08</v>
      </c>
      <c r="H1705" t="s">
        <v>232</v>
      </c>
      <c r="I1705" t="s">
        <v>233</v>
      </c>
      <c r="J1705" t="s">
        <v>5581</v>
      </c>
    </row>
    <row r="1706" spans="1:10">
      <c r="A1706">
        <v>131504</v>
      </c>
      <c r="B1706" t="s">
        <v>446</v>
      </c>
      <c r="C1706" t="s">
        <v>5582</v>
      </c>
      <c r="D1706" t="s">
        <v>12</v>
      </c>
      <c r="E1706" t="s">
        <v>5583</v>
      </c>
      <c r="F1706" t="s">
        <v>14</v>
      </c>
      <c r="G1706" s="1">
        <v>2350</v>
      </c>
      <c r="H1706" t="s">
        <v>95</v>
      </c>
      <c r="I1706" t="s">
        <v>506</v>
      </c>
      <c r="J1706" t="s">
        <v>1522</v>
      </c>
    </row>
    <row r="1707" spans="1:10">
      <c r="A1707">
        <v>148733</v>
      </c>
      <c r="B1707" t="s">
        <v>446</v>
      </c>
      <c r="C1707" t="s">
        <v>5584</v>
      </c>
      <c r="D1707" t="s">
        <v>12</v>
      </c>
      <c r="E1707" t="s">
        <v>5585</v>
      </c>
      <c r="F1707" t="s">
        <v>14</v>
      </c>
      <c r="G1707" s="1">
        <v>2339.6999999999998</v>
      </c>
      <c r="H1707" t="s">
        <v>918</v>
      </c>
      <c r="I1707" t="s">
        <v>919</v>
      </c>
      <c r="J1707" t="s">
        <v>5586</v>
      </c>
    </row>
    <row r="1708" spans="1:10">
      <c r="A1708">
        <v>141029</v>
      </c>
      <c r="B1708" t="s">
        <v>446</v>
      </c>
      <c r="C1708" t="s">
        <v>5587</v>
      </c>
      <c r="D1708" t="s">
        <v>12</v>
      </c>
      <c r="E1708" t="s">
        <v>5588</v>
      </c>
      <c r="F1708" t="s">
        <v>14</v>
      </c>
      <c r="G1708" s="1">
        <v>2338.1999999999998</v>
      </c>
      <c r="H1708" t="s">
        <v>95</v>
      </c>
      <c r="I1708" t="s">
        <v>506</v>
      </c>
      <c r="J1708" t="s">
        <v>1522</v>
      </c>
    </row>
    <row r="1709" spans="1:10">
      <c r="A1709" t="s">
        <v>5589</v>
      </c>
      <c r="B1709" t="s">
        <v>446</v>
      </c>
      <c r="C1709" t="s">
        <v>5590</v>
      </c>
      <c r="D1709" t="s">
        <v>12</v>
      </c>
      <c r="E1709" t="s">
        <v>5591</v>
      </c>
      <c r="F1709" t="s">
        <v>168</v>
      </c>
      <c r="G1709" s="1">
        <v>2331.31</v>
      </c>
      <c r="H1709" t="s">
        <v>126</v>
      </c>
      <c r="I1709" t="s">
        <v>156</v>
      </c>
      <c r="J1709" t="s">
        <v>180</v>
      </c>
    </row>
    <row r="1710" spans="1:10">
      <c r="A1710">
        <v>114964</v>
      </c>
      <c r="B1710" t="s">
        <v>446</v>
      </c>
      <c r="C1710" t="s">
        <v>5592</v>
      </c>
      <c r="D1710" t="s">
        <v>12</v>
      </c>
      <c r="E1710" t="s">
        <v>5593</v>
      </c>
      <c r="F1710" t="s">
        <v>14</v>
      </c>
      <c r="G1710" s="1">
        <v>2327.7800000000002</v>
      </c>
      <c r="H1710" t="s">
        <v>36</v>
      </c>
      <c r="I1710" t="s">
        <v>2005</v>
      </c>
      <c r="J1710" t="s">
        <v>5594</v>
      </c>
    </row>
    <row r="1711" spans="1:10">
      <c r="A1711">
        <v>151376</v>
      </c>
      <c r="B1711" t="s">
        <v>446</v>
      </c>
      <c r="C1711" t="s">
        <v>5595</v>
      </c>
      <c r="D1711" t="s">
        <v>12</v>
      </c>
      <c r="E1711" t="s">
        <v>5596</v>
      </c>
      <c r="F1711" t="s">
        <v>14</v>
      </c>
      <c r="G1711" s="1">
        <v>2326.86</v>
      </c>
      <c r="H1711" t="s">
        <v>848</v>
      </c>
      <c r="I1711" t="s">
        <v>5597</v>
      </c>
      <c r="J1711" t="s">
        <v>5598</v>
      </c>
    </row>
    <row r="1712" spans="1:10">
      <c r="A1712">
        <v>109679</v>
      </c>
      <c r="B1712" t="s">
        <v>446</v>
      </c>
      <c r="C1712" t="s">
        <v>5599</v>
      </c>
      <c r="D1712" t="s">
        <v>12</v>
      </c>
      <c r="E1712" t="s">
        <v>5600</v>
      </c>
      <c r="F1712" t="s">
        <v>14</v>
      </c>
      <c r="G1712" s="1">
        <v>2314.46</v>
      </c>
      <c r="H1712" t="s">
        <v>1378</v>
      </c>
      <c r="I1712" t="s">
        <v>1379</v>
      </c>
      <c r="J1712" t="s">
        <v>1380</v>
      </c>
    </row>
    <row r="1713" spans="1:10">
      <c r="A1713">
        <v>145315</v>
      </c>
      <c r="B1713" t="s">
        <v>446</v>
      </c>
      <c r="C1713" t="s">
        <v>5601</v>
      </c>
      <c r="D1713" t="s">
        <v>12</v>
      </c>
      <c r="E1713" t="s">
        <v>5602</v>
      </c>
      <c r="F1713" t="s">
        <v>14</v>
      </c>
      <c r="G1713" s="1">
        <v>2310</v>
      </c>
      <c r="H1713" t="s">
        <v>777</v>
      </c>
      <c r="I1713" t="s">
        <v>2021</v>
      </c>
      <c r="J1713" t="s">
        <v>5603</v>
      </c>
    </row>
    <row r="1714" spans="1:10">
      <c r="A1714">
        <v>104702</v>
      </c>
      <c r="B1714" t="s">
        <v>446</v>
      </c>
      <c r="C1714" t="s">
        <v>5604</v>
      </c>
      <c r="D1714" t="s">
        <v>12</v>
      </c>
      <c r="E1714" t="s">
        <v>5605</v>
      </c>
      <c r="F1714" t="s">
        <v>14</v>
      </c>
      <c r="G1714" s="1">
        <v>2309.2800000000002</v>
      </c>
      <c r="H1714" t="s">
        <v>36</v>
      </c>
      <c r="I1714" t="s">
        <v>5606</v>
      </c>
      <c r="J1714" t="s">
        <v>5607</v>
      </c>
    </row>
    <row r="1715" spans="1:10">
      <c r="A1715">
        <v>119534</v>
      </c>
      <c r="B1715" t="s">
        <v>446</v>
      </c>
      <c r="C1715" t="s">
        <v>5608</v>
      </c>
      <c r="D1715" t="s">
        <v>12</v>
      </c>
      <c r="E1715" t="s">
        <v>5609</v>
      </c>
      <c r="F1715" t="s">
        <v>14</v>
      </c>
      <c r="G1715" s="1">
        <v>2308.2199999999998</v>
      </c>
      <c r="H1715" t="s">
        <v>140</v>
      </c>
      <c r="I1715" t="s">
        <v>5610</v>
      </c>
      <c r="J1715" t="s">
        <v>5611</v>
      </c>
    </row>
    <row r="1716" spans="1:10">
      <c r="A1716">
        <v>105505</v>
      </c>
      <c r="B1716" t="s">
        <v>446</v>
      </c>
      <c r="C1716" t="s">
        <v>5612</v>
      </c>
      <c r="D1716" t="s">
        <v>12</v>
      </c>
      <c r="E1716" t="s">
        <v>5613</v>
      </c>
      <c r="F1716" t="s">
        <v>14</v>
      </c>
      <c r="G1716" s="1">
        <v>2306.87</v>
      </c>
      <c r="H1716" t="s">
        <v>36</v>
      </c>
      <c r="I1716" t="s">
        <v>2435</v>
      </c>
      <c r="J1716" t="s">
        <v>5614</v>
      </c>
    </row>
    <row r="1717" spans="1:10">
      <c r="A1717">
        <v>127466</v>
      </c>
      <c r="B1717" t="s">
        <v>446</v>
      </c>
      <c r="C1717" t="s">
        <v>5615</v>
      </c>
      <c r="D1717" t="s">
        <v>12</v>
      </c>
      <c r="E1717" t="s">
        <v>5616</v>
      </c>
      <c r="F1717" t="s">
        <v>14</v>
      </c>
      <c r="G1717" s="1">
        <v>2295</v>
      </c>
      <c r="H1717" t="s">
        <v>1378</v>
      </c>
      <c r="I1717" t="s">
        <v>3916</v>
      </c>
      <c r="J1717" t="s">
        <v>5617</v>
      </c>
    </row>
    <row r="1718" spans="1:10">
      <c r="A1718">
        <v>141102</v>
      </c>
      <c r="B1718" t="s">
        <v>446</v>
      </c>
      <c r="C1718" t="s">
        <v>5618</v>
      </c>
      <c r="D1718" t="s">
        <v>12</v>
      </c>
      <c r="E1718" t="s">
        <v>5619</v>
      </c>
      <c r="F1718" t="s">
        <v>14</v>
      </c>
      <c r="G1718" s="1">
        <v>2267.61</v>
      </c>
      <c r="H1718" t="s">
        <v>21</v>
      </c>
      <c r="I1718" t="s">
        <v>5620</v>
      </c>
      <c r="J1718" t="s">
        <v>5621</v>
      </c>
    </row>
    <row r="1719" spans="1:10">
      <c r="A1719">
        <v>151172</v>
      </c>
      <c r="B1719" t="s">
        <v>446</v>
      </c>
      <c r="C1719" t="s">
        <v>5622</v>
      </c>
      <c r="D1719" t="s">
        <v>12</v>
      </c>
      <c r="E1719" t="s">
        <v>5623</v>
      </c>
      <c r="F1719" t="s">
        <v>14</v>
      </c>
      <c r="G1719" s="1">
        <v>2264.29</v>
      </c>
      <c r="H1719" t="s">
        <v>777</v>
      </c>
      <c r="I1719" t="s">
        <v>5624</v>
      </c>
      <c r="J1719" t="s">
        <v>5625</v>
      </c>
    </row>
    <row r="1720" spans="1:10">
      <c r="A1720">
        <v>125598</v>
      </c>
      <c r="B1720" t="s">
        <v>446</v>
      </c>
      <c r="C1720" t="s">
        <v>5626</v>
      </c>
      <c r="D1720" t="s">
        <v>331</v>
      </c>
      <c r="E1720" t="s">
        <v>5627</v>
      </c>
      <c r="F1720" t="s">
        <v>14</v>
      </c>
      <c r="G1720" s="1">
        <v>2254</v>
      </c>
      <c r="H1720" t="s">
        <v>56</v>
      </c>
      <c r="I1720" t="s">
        <v>5628</v>
      </c>
      <c r="J1720" t="s">
        <v>5629</v>
      </c>
    </row>
    <row r="1721" spans="1:10">
      <c r="A1721">
        <v>151251</v>
      </c>
      <c r="B1721" t="s">
        <v>446</v>
      </c>
      <c r="C1721" t="s">
        <v>5630</v>
      </c>
      <c r="D1721" t="s">
        <v>12</v>
      </c>
      <c r="E1721" t="s">
        <v>5631</v>
      </c>
      <c r="F1721" t="s">
        <v>14</v>
      </c>
      <c r="G1721" s="1">
        <v>2250</v>
      </c>
      <c r="H1721" t="s">
        <v>777</v>
      </c>
      <c r="I1721" t="s">
        <v>2021</v>
      </c>
      <c r="J1721" t="s">
        <v>5632</v>
      </c>
    </row>
    <row r="1722" spans="1:10">
      <c r="A1722">
        <v>130438</v>
      </c>
      <c r="B1722" t="s">
        <v>446</v>
      </c>
      <c r="C1722" t="s">
        <v>5633</v>
      </c>
      <c r="D1722" t="s">
        <v>124</v>
      </c>
      <c r="E1722" t="s">
        <v>5634</v>
      </c>
      <c r="F1722" t="s">
        <v>14</v>
      </c>
      <c r="G1722" s="1">
        <v>2250</v>
      </c>
      <c r="H1722" t="s">
        <v>126</v>
      </c>
      <c r="I1722" t="s">
        <v>156</v>
      </c>
      <c r="J1722" t="s">
        <v>180</v>
      </c>
    </row>
    <row r="1723" spans="1:10">
      <c r="A1723">
        <v>150355</v>
      </c>
      <c r="B1723" t="s">
        <v>446</v>
      </c>
      <c r="C1723" t="s">
        <v>5635</v>
      </c>
      <c r="D1723" t="s">
        <v>25</v>
      </c>
      <c r="E1723" t="s">
        <v>5636</v>
      </c>
      <c r="F1723" t="s">
        <v>14</v>
      </c>
      <c r="G1723" s="1">
        <v>2243</v>
      </c>
      <c r="H1723" t="s">
        <v>27</v>
      </c>
      <c r="I1723" t="s">
        <v>27</v>
      </c>
      <c r="J1723" t="s">
        <v>5637</v>
      </c>
    </row>
    <row r="1724" spans="1:10">
      <c r="A1724">
        <v>144092</v>
      </c>
      <c r="B1724" t="s">
        <v>446</v>
      </c>
      <c r="C1724" t="s">
        <v>5638</v>
      </c>
      <c r="D1724" t="s">
        <v>12</v>
      </c>
      <c r="E1724" t="s">
        <v>5639</v>
      </c>
      <c r="F1724" t="s">
        <v>14</v>
      </c>
      <c r="G1724" s="1">
        <v>2222.5</v>
      </c>
      <c r="H1724" t="s">
        <v>36</v>
      </c>
      <c r="I1724" t="s">
        <v>1820</v>
      </c>
      <c r="J1724" t="s">
        <v>5640</v>
      </c>
    </row>
    <row r="1725" spans="1:10">
      <c r="A1725">
        <v>150048</v>
      </c>
      <c r="B1725" t="s">
        <v>446</v>
      </c>
      <c r="C1725" t="s">
        <v>5641</v>
      </c>
      <c r="D1725" t="s">
        <v>12</v>
      </c>
      <c r="E1725" t="s">
        <v>5642</v>
      </c>
      <c r="F1725" t="s">
        <v>14</v>
      </c>
      <c r="G1725" s="1">
        <v>2219</v>
      </c>
      <c r="H1725" t="s">
        <v>36</v>
      </c>
      <c r="I1725" t="s">
        <v>1645</v>
      </c>
      <c r="J1725" t="s">
        <v>5643</v>
      </c>
    </row>
    <row r="1726" spans="1:10">
      <c r="A1726">
        <v>120376</v>
      </c>
      <c r="B1726" t="s">
        <v>446</v>
      </c>
      <c r="C1726" t="s">
        <v>5644</v>
      </c>
      <c r="D1726" t="s">
        <v>12</v>
      </c>
      <c r="E1726" t="s">
        <v>5645</v>
      </c>
      <c r="F1726" t="s">
        <v>14</v>
      </c>
      <c r="G1726" s="1">
        <v>2216.85</v>
      </c>
      <c r="H1726" t="s">
        <v>918</v>
      </c>
      <c r="I1726" t="s">
        <v>5646</v>
      </c>
      <c r="J1726" t="s">
        <v>5647</v>
      </c>
    </row>
    <row r="1727" spans="1:10">
      <c r="A1727">
        <v>103210</v>
      </c>
      <c r="B1727" t="s">
        <v>446</v>
      </c>
      <c r="C1727" t="s">
        <v>5648</v>
      </c>
      <c r="D1727" t="s">
        <v>1986</v>
      </c>
      <c r="E1727" t="s">
        <v>5649</v>
      </c>
      <c r="F1727" t="s">
        <v>14</v>
      </c>
      <c r="G1727" s="1">
        <v>2177.7399999999998</v>
      </c>
      <c r="H1727" t="s">
        <v>126</v>
      </c>
      <c r="I1727" t="s">
        <v>471</v>
      </c>
      <c r="J1727" t="s">
        <v>472</v>
      </c>
    </row>
    <row r="1728" spans="1:10">
      <c r="A1728">
        <v>145101</v>
      </c>
      <c r="B1728" t="s">
        <v>446</v>
      </c>
      <c r="C1728" t="s">
        <v>5650</v>
      </c>
      <c r="D1728" t="s">
        <v>25</v>
      </c>
      <c r="E1728" t="s">
        <v>5651</v>
      </c>
      <c r="F1728" t="s">
        <v>14</v>
      </c>
      <c r="G1728" s="1">
        <v>2176</v>
      </c>
      <c r="H1728" t="s">
        <v>27</v>
      </c>
      <c r="I1728" t="s">
        <v>136</v>
      </c>
      <c r="J1728" t="s">
        <v>5652</v>
      </c>
    </row>
    <row r="1729" spans="1:10">
      <c r="A1729">
        <v>132407</v>
      </c>
      <c r="B1729" t="s">
        <v>446</v>
      </c>
      <c r="C1729" t="s">
        <v>5653</v>
      </c>
      <c r="D1729" t="s">
        <v>12</v>
      </c>
      <c r="E1729" t="s">
        <v>5654</v>
      </c>
      <c r="F1729" t="s">
        <v>14</v>
      </c>
      <c r="G1729" s="1">
        <v>2175</v>
      </c>
      <c r="H1729" t="s">
        <v>2083</v>
      </c>
      <c r="I1729" t="s">
        <v>5655</v>
      </c>
      <c r="J1729" t="s">
        <v>5656</v>
      </c>
    </row>
    <row r="1730" spans="1:10">
      <c r="A1730">
        <v>127807</v>
      </c>
      <c r="B1730" t="s">
        <v>446</v>
      </c>
      <c r="C1730" t="s">
        <v>5657</v>
      </c>
      <c r="D1730" t="s">
        <v>512</v>
      </c>
      <c r="E1730" t="s">
        <v>5658</v>
      </c>
      <c r="F1730" t="s">
        <v>14</v>
      </c>
      <c r="G1730" s="1">
        <v>2167.92</v>
      </c>
      <c r="H1730" t="s">
        <v>928</v>
      </c>
      <c r="I1730" t="s">
        <v>5659</v>
      </c>
      <c r="J1730" t="s">
        <v>5660</v>
      </c>
    </row>
    <row r="1731" spans="1:10">
      <c r="A1731">
        <v>150706</v>
      </c>
      <c r="B1731" t="s">
        <v>446</v>
      </c>
      <c r="C1731" t="s">
        <v>5661</v>
      </c>
      <c r="D1731" t="s">
        <v>12</v>
      </c>
      <c r="E1731" t="s">
        <v>5662</v>
      </c>
      <c r="F1731" t="s">
        <v>168</v>
      </c>
      <c r="G1731" s="1">
        <v>2156.89</v>
      </c>
      <c r="H1731" t="s">
        <v>777</v>
      </c>
      <c r="I1731" t="s">
        <v>5663</v>
      </c>
      <c r="J1731" t="s">
        <v>5664</v>
      </c>
    </row>
    <row r="1732" spans="1:10">
      <c r="A1732">
        <v>129158</v>
      </c>
      <c r="B1732" t="s">
        <v>446</v>
      </c>
      <c r="C1732" t="s">
        <v>5665</v>
      </c>
      <c r="D1732" t="s">
        <v>12</v>
      </c>
      <c r="E1732" t="s">
        <v>5666</v>
      </c>
      <c r="F1732" t="s">
        <v>14</v>
      </c>
      <c r="G1732" s="1">
        <v>2151</v>
      </c>
      <c r="H1732" t="s">
        <v>918</v>
      </c>
      <c r="I1732" t="s">
        <v>3144</v>
      </c>
      <c r="J1732" t="s">
        <v>5667</v>
      </c>
    </row>
    <row r="1733" spans="1:10">
      <c r="A1733">
        <v>151626</v>
      </c>
      <c r="B1733" t="s">
        <v>446</v>
      </c>
      <c r="C1733" t="s">
        <v>5668</v>
      </c>
      <c r="D1733" t="s">
        <v>12</v>
      </c>
      <c r="E1733" t="s">
        <v>5669</v>
      </c>
      <c r="F1733" t="s">
        <v>14</v>
      </c>
      <c r="G1733" s="1">
        <v>2124.4</v>
      </c>
      <c r="H1733" t="s">
        <v>56</v>
      </c>
      <c r="I1733" t="s">
        <v>5670</v>
      </c>
      <c r="J1733" t="s">
        <v>5671</v>
      </c>
    </row>
    <row r="1734" spans="1:10">
      <c r="A1734">
        <v>151159</v>
      </c>
      <c r="B1734" t="s">
        <v>446</v>
      </c>
      <c r="C1734" t="s">
        <v>5672</v>
      </c>
      <c r="D1734" t="s">
        <v>12</v>
      </c>
      <c r="E1734" t="s">
        <v>5673</v>
      </c>
      <c r="F1734" t="s">
        <v>14</v>
      </c>
      <c r="G1734" s="1">
        <v>2100</v>
      </c>
      <c r="H1734" t="s">
        <v>126</v>
      </c>
      <c r="I1734" t="s">
        <v>156</v>
      </c>
      <c r="J1734" t="s">
        <v>180</v>
      </c>
    </row>
    <row r="1735" spans="1:10">
      <c r="A1735">
        <v>152343</v>
      </c>
      <c r="B1735" t="s">
        <v>446</v>
      </c>
      <c r="C1735" t="s">
        <v>5674</v>
      </c>
      <c r="D1735" t="s">
        <v>12</v>
      </c>
      <c r="E1735" t="s">
        <v>5675</v>
      </c>
      <c r="F1735" t="s">
        <v>14</v>
      </c>
      <c r="G1735" s="1">
        <v>2083.0300000000002</v>
      </c>
      <c r="H1735" t="s">
        <v>140</v>
      </c>
      <c r="I1735" t="s">
        <v>1704</v>
      </c>
      <c r="J1735" t="s">
        <v>5676</v>
      </c>
    </row>
    <row r="1736" spans="1:10">
      <c r="A1736">
        <v>140876</v>
      </c>
      <c r="B1736" t="s">
        <v>446</v>
      </c>
      <c r="C1736" t="s">
        <v>5677</v>
      </c>
      <c r="D1736" t="s">
        <v>12</v>
      </c>
      <c r="E1736" t="s">
        <v>5678</v>
      </c>
      <c r="F1736" t="s">
        <v>14</v>
      </c>
      <c r="G1736" s="1">
        <v>2075.5</v>
      </c>
      <c r="H1736" t="s">
        <v>1378</v>
      </c>
      <c r="I1736" t="s">
        <v>1379</v>
      </c>
      <c r="J1736" t="s">
        <v>5679</v>
      </c>
    </row>
    <row r="1737" spans="1:10">
      <c r="A1737" t="s">
        <v>5680</v>
      </c>
      <c r="B1737" t="s">
        <v>446</v>
      </c>
      <c r="C1737" t="s">
        <v>5681</v>
      </c>
      <c r="D1737" t="s">
        <v>12</v>
      </c>
      <c r="E1737" t="s">
        <v>5682</v>
      </c>
      <c r="F1737" t="s">
        <v>168</v>
      </c>
      <c r="G1737" s="1">
        <v>2064.1799999999998</v>
      </c>
      <c r="H1737" t="s">
        <v>56</v>
      </c>
      <c r="I1737" t="s">
        <v>1353</v>
      </c>
      <c r="J1737" t="s">
        <v>5683</v>
      </c>
    </row>
    <row r="1738" spans="1:10">
      <c r="A1738">
        <v>152668</v>
      </c>
      <c r="B1738" t="s">
        <v>446</v>
      </c>
      <c r="C1738" t="s">
        <v>5684</v>
      </c>
      <c r="D1738" t="s">
        <v>124</v>
      </c>
      <c r="E1738" t="s">
        <v>5685</v>
      </c>
      <c r="F1738" t="s">
        <v>14</v>
      </c>
      <c r="G1738" s="1">
        <v>2050</v>
      </c>
      <c r="H1738" t="s">
        <v>848</v>
      </c>
      <c r="I1738" t="s">
        <v>848</v>
      </c>
      <c r="J1738" t="s">
        <v>5686</v>
      </c>
    </row>
    <row r="1739" spans="1:10">
      <c r="A1739">
        <v>147905</v>
      </c>
      <c r="B1739" t="s">
        <v>446</v>
      </c>
      <c r="C1739" t="s">
        <v>5687</v>
      </c>
      <c r="D1739" t="s">
        <v>12</v>
      </c>
      <c r="E1739" t="s">
        <v>5688</v>
      </c>
      <c r="F1739" t="s">
        <v>14</v>
      </c>
      <c r="G1739" s="1">
        <v>2044</v>
      </c>
      <c r="H1739" t="s">
        <v>918</v>
      </c>
      <c r="I1739" t="s">
        <v>5169</v>
      </c>
      <c r="J1739" t="s">
        <v>5170</v>
      </c>
    </row>
    <row r="1740" spans="1:10">
      <c r="A1740">
        <v>145051</v>
      </c>
      <c r="B1740" t="s">
        <v>446</v>
      </c>
      <c r="C1740" t="s">
        <v>5689</v>
      </c>
      <c r="D1740" t="s">
        <v>245</v>
      </c>
      <c r="E1740" t="s">
        <v>5690</v>
      </c>
      <c r="F1740" t="s">
        <v>14</v>
      </c>
      <c r="G1740" s="1">
        <v>2041</v>
      </c>
      <c r="H1740" t="s">
        <v>375</v>
      </c>
      <c r="I1740" t="s">
        <v>3552</v>
      </c>
      <c r="J1740" t="s">
        <v>5691</v>
      </c>
    </row>
    <row r="1741" spans="1:10">
      <c r="A1741">
        <v>150678</v>
      </c>
      <c r="B1741" t="s">
        <v>446</v>
      </c>
      <c r="C1741" t="s">
        <v>5692</v>
      </c>
      <c r="D1741" t="s">
        <v>25</v>
      </c>
      <c r="E1741" t="s">
        <v>5693</v>
      </c>
      <c r="F1741" t="s">
        <v>14</v>
      </c>
      <c r="G1741" s="1">
        <v>2041</v>
      </c>
      <c r="H1741" t="s">
        <v>27</v>
      </c>
      <c r="I1741" t="s">
        <v>5694</v>
      </c>
      <c r="J1741" t="s">
        <v>5695</v>
      </c>
    </row>
    <row r="1742" spans="1:10">
      <c r="A1742">
        <v>128084</v>
      </c>
      <c r="B1742" t="s">
        <v>446</v>
      </c>
      <c r="C1742" t="s">
        <v>5696</v>
      </c>
      <c r="D1742" t="s">
        <v>245</v>
      </c>
      <c r="E1742" t="s">
        <v>5697</v>
      </c>
      <c r="F1742" t="s">
        <v>14</v>
      </c>
      <c r="G1742" s="1">
        <v>2041</v>
      </c>
      <c r="H1742" t="s">
        <v>27</v>
      </c>
      <c r="I1742" t="s">
        <v>5698</v>
      </c>
      <c r="J1742" t="s">
        <v>5699</v>
      </c>
    </row>
    <row r="1743" spans="1:10">
      <c r="A1743">
        <v>149482</v>
      </c>
      <c r="B1743" t="s">
        <v>446</v>
      </c>
      <c r="C1743" t="s">
        <v>5700</v>
      </c>
      <c r="D1743" t="s">
        <v>25</v>
      </c>
      <c r="E1743" t="s">
        <v>5701</v>
      </c>
      <c r="F1743" t="s">
        <v>14</v>
      </c>
      <c r="G1743" s="1">
        <v>2041</v>
      </c>
      <c r="H1743" t="s">
        <v>27</v>
      </c>
      <c r="I1743" t="s">
        <v>5702</v>
      </c>
      <c r="J1743" t="s">
        <v>5703</v>
      </c>
    </row>
    <row r="1744" spans="1:10">
      <c r="A1744">
        <v>130970</v>
      </c>
      <c r="B1744" t="s">
        <v>446</v>
      </c>
      <c r="C1744" t="s">
        <v>5704</v>
      </c>
      <c r="D1744" t="s">
        <v>12</v>
      </c>
      <c r="E1744" t="s">
        <v>5705</v>
      </c>
      <c r="F1744" t="s">
        <v>14</v>
      </c>
      <c r="G1744" s="1">
        <v>2040</v>
      </c>
      <c r="H1744" t="s">
        <v>27</v>
      </c>
      <c r="I1744" t="s">
        <v>5706</v>
      </c>
      <c r="J1744" t="s">
        <v>5707</v>
      </c>
    </row>
    <row r="1745" spans="1:10">
      <c r="A1745">
        <v>145003</v>
      </c>
      <c r="B1745" t="s">
        <v>446</v>
      </c>
      <c r="C1745" t="s">
        <v>5708</v>
      </c>
      <c r="D1745" t="s">
        <v>12</v>
      </c>
      <c r="E1745" t="s">
        <v>5709</v>
      </c>
      <c r="F1745" t="s">
        <v>14</v>
      </c>
      <c r="G1745" s="1">
        <v>2036.68</v>
      </c>
      <c r="H1745" t="s">
        <v>232</v>
      </c>
      <c r="I1745" t="s">
        <v>233</v>
      </c>
      <c r="J1745" t="s">
        <v>4750</v>
      </c>
    </row>
    <row r="1746" spans="1:10">
      <c r="A1746">
        <v>142736</v>
      </c>
      <c r="B1746" t="s">
        <v>446</v>
      </c>
      <c r="C1746" t="s">
        <v>5710</v>
      </c>
      <c r="D1746" t="s">
        <v>12</v>
      </c>
      <c r="E1746" t="s">
        <v>5711</v>
      </c>
      <c r="F1746" t="s">
        <v>14</v>
      </c>
      <c r="G1746" s="1">
        <v>2034.5</v>
      </c>
      <c r="H1746" t="s">
        <v>1378</v>
      </c>
      <c r="I1746" t="s">
        <v>1379</v>
      </c>
      <c r="J1746" t="s">
        <v>1380</v>
      </c>
    </row>
    <row r="1747" spans="1:10">
      <c r="A1747">
        <v>146104</v>
      </c>
      <c r="B1747" t="s">
        <v>446</v>
      </c>
      <c r="C1747" t="s">
        <v>5712</v>
      </c>
      <c r="D1747" t="s">
        <v>12</v>
      </c>
      <c r="E1747" t="s">
        <v>5713</v>
      </c>
      <c r="F1747" t="s">
        <v>14</v>
      </c>
      <c r="G1747" s="1">
        <v>2023.6</v>
      </c>
      <c r="H1747" t="s">
        <v>140</v>
      </c>
      <c r="I1747" t="s">
        <v>5714</v>
      </c>
      <c r="J1747" t="s">
        <v>5715</v>
      </c>
    </row>
    <row r="1748" spans="1:10">
      <c r="A1748">
        <v>151899</v>
      </c>
      <c r="B1748" t="s">
        <v>446</v>
      </c>
      <c r="C1748" t="s">
        <v>5716</v>
      </c>
      <c r="D1748" t="s">
        <v>12</v>
      </c>
      <c r="E1748" t="s">
        <v>5717</v>
      </c>
      <c r="F1748" t="s">
        <v>14</v>
      </c>
      <c r="G1748" s="1">
        <v>2005</v>
      </c>
      <c r="H1748" t="s">
        <v>36</v>
      </c>
      <c r="I1748" t="s">
        <v>5050</v>
      </c>
      <c r="J1748" t="s">
        <v>5274</v>
      </c>
    </row>
    <row r="1749" spans="1:10">
      <c r="A1749">
        <v>140300</v>
      </c>
      <c r="B1749" t="s">
        <v>446</v>
      </c>
      <c r="C1749" t="s">
        <v>5718</v>
      </c>
      <c r="D1749" t="s">
        <v>12</v>
      </c>
      <c r="E1749" t="s">
        <v>5719</v>
      </c>
      <c r="F1749" t="s">
        <v>168</v>
      </c>
      <c r="G1749" s="1">
        <v>2000.1</v>
      </c>
      <c r="H1749" t="s">
        <v>36</v>
      </c>
      <c r="I1749" t="s">
        <v>964</v>
      </c>
      <c r="J1749" t="s">
        <v>5720</v>
      </c>
    </row>
    <row r="1750" spans="1:10">
      <c r="A1750">
        <v>150431</v>
      </c>
      <c r="B1750" t="s">
        <v>446</v>
      </c>
      <c r="C1750" t="s">
        <v>5721</v>
      </c>
      <c r="D1750" t="s">
        <v>12</v>
      </c>
      <c r="E1750" t="s">
        <v>5722</v>
      </c>
      <c r="F1750" t="s">
        <v>14</v>
      </c>
      <c r="G1750" s="1">
        <v>2000</v>
      </c>
      <c r="H1750" t="s">
        <v>27</v>
      </c>
      <c r="I1750" t="s">
        <v>5723</v>
      </c>
      <c r="J1750" t="s">
        <v>5724</v>
      </c>
    </row>
    <row r="1751" spans="1:10">
      <c r="A1751">
        <v>152468</v>
      </c>
      <c r="B1751" t="s">
        <v>446</v>
      </c>
      <c r="C1751" t="s">
        <v>5725</v>
      </c>
      <c r="D1751" t="s">
        <v>12</v>
      </c>
      <c r="E1751" t="s">
        <v>5726</v>
      </c>
      <c r="F1751" t="s">
        <v>14</v>
      </c>
      <c r="G1751" s="1">
        <v>2000</v>
      </c>
      <c r="H1751" t="s">
        <v>36</v>
      </c>
      <c r="I1751" t="s">
        <v>1820</v>
      </c>
      <c r="J1751" t="s">
        <v>1821</v>
      </c>
    </row>
    <row r="1752" spans="1:10">
      <c r="A1752">
        <v>108060</v>
      </c>
      <c r="B1752" t="s">
        <v>446</v>
      </c>
      <c r="C1752" t="s">
        <v>5727</v>
      </c>
      <c r="D1752" t="s">
        <v>12</v>
      </c>
      <c r="E1752" t="s">
        <v>5728</v>
      </c>
      <c r="F1752" t="s">
        <v>14</v>
      </c>
      <c r="G1752" s="1">
        <v>1975.03</v>
      </c>
      <c r="H1752" t="s">
        <v>232</v>
      </c>
      <c r="I1752" t="s">
        <v>5729</v>
      </c>
      <c r="J1752" t="s">
        <v>5730</v>
      </c>
    </row>
    <row r="1753" spans="1:10">
      <c r="A1753">
        <v>125467</v>
      </c>
      <c r="B1753" t="s">
        <v>446</v>
      </c>
      <c r="C1753" t="s">
        <v>5731</v>
      </c>
      <c r="D1753" t="s">
        <v>12</v>
      </c>
      <c r="E1753" t="s">
        <v>5732</v>
      </c>
      <c r="F1753" t="s">
        <v>14</v>
      </c>
      <c r="G1753" s="1">
        <v>1975</v>
      </c>
      <c r="H1753" t="s">
        <v>1017</v>
      </c>
      <c r="I1753" t="s">
        <v>5733</v>
      </c>
      <c r="J1753" t="s">
        <v>5734</v>
      </c>
    </row>
    <row r="1754" spans="1:10">
      <c r="A1754">
        <v>120986</v>
      </c>
      <c r="B1754" t="s">
        <v>446</v>
      </c>
      <c r="C1754" t="s">
        <v>5735</v>
      </c>
      <c r="D1754" t="s">
        <v>2098</v>
      </c>
      <c r="E1754" t="s">
        <v>5736</v>
      </c>
      <c r="F1754" t="s">
        <v>14</v>
      </c>
      <c r="G1754" s="1">
        <v>1959.94</v>
      </c>
      <c r="H1754" t="s">
        <v>85</v>
      </c>
      <c r="I1754" t="s">
        <v>4402</v>
      </c>
      <c r="J1754" t="s">
        <v>4403</v>
      </c>
    </row>
    <row r="1755" spans="1:10">
      <c r="A1755">
        <v>100021</v>
      </c>
      <c r="B1755" t="s">
        <v>446</v>
      </c>
      <c r="C1755" t="s">
        <v>5737</v>
      </c>
      <c r="D1755" t="s">
        <v>12</v>
      </c>
      <c r="E1755" t="s">
        <v>5738</v>
      </c>
      <c r="F1755" t="s">
        <v>14</v>
      </c>
      <c r="G1755" s="1">
        <v>1939.69</v>
      </c>
      <c r="H1755" t="s">
        <v>777</v>
      </c>
      <c r="I1755" t="s">
        <v>4746</v>
      </c>
      <c r="J1755" t="s">
        <v>5739</v>
      </c>
    </row>
    <row r="1756" spans="1:10">
      <c r="A1756">
        <v>140279</v>
      </c>
      <c r="B1756" t="s">
        <v>446</v>
      </c>
      <c r="C1756" t="s">
        <v>5740</v>
      </c>
      <c r="D1756" t="s">
        <v>12</v>
      </c>
      <c r="E1756" t="s">
        <v>5741</v>
      </c>
      <c r="F1756" t="s">
        <v>14</v>
      </c>
      <c r="G1756" s="1">
        <v>1939.37</v>
      </c>
      <c r="H1756" t="s">
        <v>553</v>
      </c>
      <c r="I1756" t="s">
        <v>1971</v>
      </c>
      <c r="J1756" t="s">
        <v>5742</v>
      </c>
    </row>
    <row r="1757" spans="1:10">
      <c r="A1757">
        <v>131028</v>
      </c>
      <c r="B1757" t="s">
        <v>446</v>
      </c>
      <c r="C1757" t="s">
        <v>5743</v>
      </c>
      <c r="D1757" t="s">
        <v>12</v>
      </c>
      <c r="E1757" t="s">
        <v>5744</v>
      </c>
      <c r="F1757" t="s">
        <v>14</v>
      </c>
      <c r="G1757" s="1">
        <v>1938</v>
      </c>
      <c r="H1757" t="s">
        <v>36</v>
      </c>
      <c r="I1757" t="s">
        <v>1820</v>
      </c>
      <c r="J1757" t="s">
        <v>5745</v>
      </c>
    </row>
    <row r="1758" spans="1:10">
      <c r="A1758">
        <v>121137</v>
      </c>
      <c r="B1758" t="s">
        <v>446</v>
      </c>
      <c r="C1758" t="s">
        <v>5746</v>
      </c>
      <c r="D1758" t="s">
        <v>12</v>
      </c>
      <c r="E1758" t="s">
        <v>5747</v>
      </c>
      <c r="F1758" t="s">
        <v>14</v>
      </c>
      <c r="G1758" s="1">
        <v>1936</v>
      </c>
      <c r="H1758" t="s">
        <v>36</v>
      </c>
      <c r="I1758" t="s">
        <v>5264</v>
      </c>
      <c r="J1758" t="s">
        <v>5748</v>
      </c>
    </row>
    <row r="1759" spans="1:10">
      <c r="A1759">
        <v>105579</v>
      </c>
      <c r="B1759" t="s">
        <v>446</v>
      </c>
      <c r="C1759" t="s">
        <v>5749</v>
      </c>
      <c r="D1759" t="s">
        <v>12</v>
      </c>
      <c r="E1759" t="s">
        <v>5750</v>
      </c>
      <c r="F1759" t="s">
        <v>14</v>
      </c>
      <c r="G1759" s="1">
        <v>1933</v>
      </c>
      <c r="H1759" t="s">
        <v>140</v>
      </c>
      <c r="I1759" t="s">
        <v>1704</v>
      </c>
      <c r="J1759" t="s">
        <v>5751</v>
      </c>
    </row>
    <row r="1760" spans="1:10">
      <c r="A1760" t="s">
        <v>5752</v>
      </c>
      <c r="B1760" t="s">
        <v>446</v>
      </c>
      <c r="C1760" t="s">
        <v>5753</v>
      </c>
      <c r="D1760" t="s">
        <v>12</v>
      </c>
      <c r="E1760" t="s">
        <v>5754</v>
      </c>
      <c r="F1760" t="s">
        <v>168</v>
      </c>
      <c r="G1760" s="1">
        <v>1920.25</v>
      </c>
      <c r="H1760" t="s">
        <v>1144</v>
      </c>
      <c r="I1760" t="s">
        <v>5755</v>
      </c>
      <c r="J1760" t="s">
        <v>5756</v>
      </c>
    </row>
    <row r="1761" spans="1:10">
      <c r="A1761">
        <v>111835</v>
      </c>
      <c r="B1761" t="s">
        <v>446</v>
      </c>
      <c r="C1761" t="s">
        <v>5757</v>
      </c>
      <c r="D1761" t="s">
        <v>12</v>
      </c>
      <c r="E1761" t="s">
        <v>5758</v>
      </c>
      <c r="F1761" t="s">
        <v>14</v>
      </c>
      <c r="G1761" s="1">
        <v>1913</v>
      </c>
      <c r="H1761" t="s">
        <v>1378</v>
      </c>
      <c r="I1761" t="s">
        <v>3173</v>
      </c>
      <c r="J1761" t="s">
        <v>3174</v>
      </c>
    </row>
    <row r="1762" spans="1:10">
      <c r="A1762">
        <v>149684</v>
      </c>
      <c r="B1762" t="s">
        <v>446</v>
      </c>
      <c r="C1762" t="s">
        <v>5759</v>
      </c>
      <c r="D1762" t="s">
        <v>12</v>
      </c>
      <c r="E1762" t="s">
        <v>5760</v>
      </c>
      <c r="F1762" t="s">
        <v>14</v>
      </c>
      <c r="G1762" s="1">
        <v>1908.42</v>
      </c>
      <c r="H1762" t="s">
        <v>333</v>
      </c>
      <c r="I1762" t="s">
        <v>5761</v>
      </c>
      <c r="J1762" t="s">
        <v>5762</v>
      </c>
    </row>
    <row r="1763" spans="1:10">
      <c r="A1763">
        <v>103623</v>
      </c>
      <c r="B1763" t="s">
        <v>446</v>
      </c>
      <c r="C1763" t="s">
        <v>5763</v>
      </c>
      <c r="D1763" t="s">
        <v>12</v>
      </c>
      <c r="E1763" t="s">
        <v>5764</v>
      </c>
      <c r="F1763" t="s">
        <v>14</v>
      </c>
      <c r="G1763" s="1">
        <v>1902.49</v>
      </c>
      <c r="H1763" t="s">
        <v>36</v>
      </c>
      <c r="I1763" t="s">
        <v>5765</v>
      </c>
      <c r="J1763" t="s">
        <v>5766</v>
      </c>
    </row>
    <row r="1764" spans="1:10">
      <c r="A1764">
        <v>149809</v>
      </c>
      <c r="B1764" t="s">
        <v>446</v>
      </c>
      <c r="C1764" t="s">
        <v>5767</v>
      </c>
      <c r="D1764" t="s">
        <v>12</v>
      </c>
      <c r="E1764" t="s">
        <v>5768</v>
      </c>
      <c r="F1764" t="s">
        <v>14</v>
      </c>
      <c r="G1764" s="1">
        <v>1883.6</v>
      </c>
      <c r="H1764" t="s">
        <v>36</v>
      </c>
      <c r="I1764" t="s">
        <v>5769</v>
      </c>
      <c r="J1764" t="s">
        <v>5770</v>
      </c>
    </row>
    <row r="1765" spans="1:10">
      <c r="A1765">
        <v>151979</v>
      </c>
      <c r="B1765" t="s">
        <v>446</v>
      </c>
      <c r="C1765" t="s">
        <v>5771</v>
      </c>
      <c r="D1765" t="s">
        <v>12</v>
      </c>
      <c r="E1765" t="s">
        <v>5772</v>
      </c>
      <c r="F1765" t="s">
        <v>14</v>
      </c>
      <c r="G1765" s="1">
        <v>1881.36</v>
      </c>
      <c r="H1765" t="s">
        <v>1017</v>
      </c>
      <c r="I1765" t="s">
        <v>1494</v>
      </c>
      <c r="J1765" t="s">
        <v>5773</v>
      </c>
    </row>
    <row r="1766" spans="1:10">
      <c r="A1766">
        <v>152358</v>
      </c>
      <c r="B1766" t="s">
        <v>446</v>
      </c>
      <c r="C1766" t="s">
        <v>5774</v>
      </c>
      <c r="D1766" t="s">
        <v>331</v>
      </c>
      <c r="E1766" t="s">
        <v>5775</v>
      </c>
      <c r="F1766" t="s">
        <v>14</v>
      </c>
      <c r="G1766" s="1">
        <v>1870</v>
      </c>
      <c r="H1766" t="s">
        <v>333</v>
      </c>
      <c r="I1766" t="s">
        <v>1756</v>
      </c>
      <c r="J1766" t="s">
        <v>5776</v>
      </c>
    </row>
    <row r="1767" spans="1:10">
      <c r="A1767">
        <v>128667</v>
      </c>
      <c r="B1767" t="s">
        <v>446</v>
      </c>
      <c r="C1767" t="s">
        <v>5777</v>
      </c>
      <c r="D1767" t="s">
        <v>12</v>
      </c>
      <c r="E1767" t="s">
        <v>5778</v>
      </c>
      <c r="F1767" t="s">
        <v>14</v>
      </c>
      <c r="G1767" s="1">
        <v>1868.49</v>
      </c>
      <c r="H1767" t="s">
        <v>56</v>
      </c>
      <c r="I1767" t="s">
        <v>3304</v>
      </c>
      <c r="J1767" t="s">
        <v>5779</v>
      </c>
    </row>
    <row r="1768" spans="1:10">
      <c r="A1768">
        <v>150398</v>
      </c>
      <c r="B1768" t="s">
        <v>446</v>
      </c>
      <c r="C1768" t="s">
        <v>5780</v>
      </c>
      <c r="D1768" t="s">
        <v>12</v>
      </c>
      <c r="E1768" t="s">
        <v>5781</v>
      </c>
      <c r="F1768" t="s">
        <v>14</v>
      </c>
      <c r="G1768" s="1">
        <v>1848.29</v>
      </c>
      <c r="H1768" t="s">
        <v>140</v>
      </c>
      <c r="I1768" t="s">
        <v>1890</v>
      </c>
      <c r="J1768" t="s">
        <v>1596</v>
      </c>
    </row>
    <row r="1769" spans="1:10">
      <c r="A1769">
        <v>151069</v>
      </c>
      <c r="B1769" t="s">
        <v>446</v>
      </c>
      <c r="C1769" t="s">
        <v>5782</v>
      </c>
      <c r="D1769" t="s">
        <v>12</v>
      </c>
      <c r="E1769" t="s">
        <v>5783</v>
      </c>
      <c r="F1769" t="s">
        <v>14</v>
      </c>
      <c r="G1769" s="1">
        <v>1845</v>
      </c>
      <c r="H1769" t="s">
        <v>36</v>
      </c>
      <c r="I1769" t="s">
        <v>1820</v>
      </c>
      <c r="J1769" t="s">
        <v>5640</v>
      </c>
    </row>
    <row r="1770" spans="1:10">
      <c r="A1770">
        <v>145439</v>
      </c>
      <c r="B1770" t="s">
        <v>446</v>
      </c>
      <c r="C1770" t="s">
        <v>5784</v>
      </c>
      <c r="D1770" t="s">
        <v>12</v>
      </c>
      <c r="E1770" t="s">
        <v>5785</v>
      </c>
      <c r="F1770" t="s">
        <v>14</v>
      </c>
      <c r="G1770" s="1">
        <v>1843.69</v>
      </c>
      <c r="H1770" t="s">
        <v>232</v>
      </c>
      <c r="I1770" t="s">
        <v>1441</v>
      </c>
      <c r="J1770" t="s">
        <v>1442</v>
      </c>
    </row>
    <row r="1771" spans="1:10">
      <c r="A1771">
        <v>141934</v>
      </c>
      <c r="B1771" t="s">
        <v>446</v>
      </c>
      <c r="C1771" t="s">
        <v>5786</v>
      </c>
      <c r="D1771" t="s">
        <v>12</v>
      </c>
      <c r="E1771" t="s">
        <v>5787</v>
      </c>
      <c r="F1771" t="s">
        <v>14</v>
      </c>
      <c r="G1771" s="1">
        <v>1839.96</v>
      </c>
      <c r="H1771" t="s">
        <v>499</v>
      </c>
      <c r="I1771" t="s">
        <v>3844</v>
      </c>
      <c r="J1771" t="s">
        <v>5788</v>
      </c>
    </row>
    <row r="1772" spans="1:10">
      <c r="A1772" t="s">
        <v>5789</v>
      </c>
      <c r="B1772" t="s">
        <v>446</v>
      </c>
      <c r="C1772" t="s">
        <v>5790</v>
      </c>
      <c r="D1772" t="s">
        <v>12</v>
      </c>
      <c r="E1772" t="s">
        <v>5791</v>
      </c>
      <c r="F1772" t="s">
        <v>168</v>
      </c>
      <c r="G1772" s="1">
        <v>1837.5</v>
      </c>
      <c r="H1772" t="s">
        <v>56</v>
      </c>
      <c r="I1772" t="s">
        <v>5792</v>
      </c>
      <c r="J1772" t="s">
        <v>5793</v>
      </c>
    </row>
    <row r="1773" spans="1:10">
      <c r="A1773">
        <v>150681</v>
      </c>
      <c r="B1773" t="s">
        <v>446</v>
      </c>
      <c r="C1773" t="s">
        <v>5794</v>
      </c>
      <c r="D1773" t="s">
        <v>12</v>
      </c>
      <c r="E1773" t="s">
        <v>5795</v>
      </c>
      <c r="F1773" t="s">
        <v>14</v>
      </c>
      <c r="G1773" s="1">
        <v>1830</v>
      </c>
      <c r="H1773" t="s">
        <v>95</v>
      </c>
      <c r="I1773" t="s">
        <v>506</v>
      </c>
      <c r="J1773" t="s">
        <v>1522</v>
      </c>
    </row>
    <row r="1774" spans="1:10">
      <c r="A1774">
        <v>141358</v>
      </c>
      <c r="B1774" t="s">
        <v>446</v>
      </c>
      <c r="C1774" t="s">
        <v>5796</v>
      </c>
      <c r="D1774" t="s">
        <v>12</v>
      </c>
      <c r="E1774" t="s">
        <v>5797</v>
      </c>
      <c r="F1774" t="s">
        <v>168</v>
      </c>
      <c r="G1774" s="1">
        <v>1827.04</v>
      </c>
      <c r="H1774" t="s">
        <v>553</v>
      </c>
      <c r="I1774" t="s">
        <v>3873</v>
      </c>
      <c r="J1774" t="s">
        <v>5798</v>
      </c>
    </row>
    <row r="1775" spans="1:10">
      <c r="A1775">
        <v>150610</v>
      </c>
      <c r="B1775" t="s">
        <v>446</v>
      </c>
      <c r="C1775" t="s">
        <v>5799</v>
      </c>
      <c r="D1775" t="s">
        <v>12</v>
      </c>
      <c r="E1775" t="s">
        <v>5800</v>
      </c>
      <c r="F1775" t="s">
        <v>14</v>
      </c>
      <c r="G1775" s="1">
        <v>1825</v>
      </c>
      <c r="H1775" t="s">
        <v>36</v>
      </c>
      <c r="I1775" t="s">
        <v>5801</v>
      </c>
      <c r="J1775" t="s">
        <v>5802</v>
      </c>
    </row>
    <row r="1776" spans="1:10">
      <c r="A1776">
        <v>151571</v>
      </c>
      <c r="B1776" t="s">
        <v>446</v>
      </c>
      <c r="C1776" t="s">
        <v>5803</v>
      </c>
      <c r="D1776" t="s">
        <v>12</v>
      </c>
      <c r="E1776" t="s">
        <v>5804</v>
      </c>
      <c r="F1776" t="s">
        <v>14</v>
      </c>
      <c r="G1776" s="1">
        <v>1824.93</v>
      </c>
      <c r="H1776" t="s">
        <v>56</v>
      </c>
      <c r="I1776" t="s">
        <v>4372</v>
      </c>
      <c r="J1776" t="s">
        <v>5805</v>
      </c>
    </row>
    <row r="1777" spans="1:10">
      <c r="A1777">
        <v>106452</v>
      </c>
      <c r="B1777" t="s">
        <v>446</v>
      </c>
      <c r="C1777" t="s">
        <v>5806</v>
      </c>
      <c r="D1777" t="s">
        <v>12</v>
      </c>
      <c r="E1777" t="s">
        <v>5807</v>
      </c>
      <c r="F1777" t="s">
        <v>14</v>
      </c>
      <c r="G1777" s="1">
        <v>1820.82</v>
      </c>
      <c r="H1777" t="s">
        <v>232</v>
      </c>
      <c r="I1777" t="s">
        <v>233</v>
      </c>
      <c r="J1777" t="s">
        <v>2986</v>
      </c>
    </row>
    <row r="1778" spans="1:10">
      <c r="A1778">
        <v>110988</v>
      </c>
      <c r="B1778" t="s">
        <v>446</v>
      </c>
      <c r="C1778" t="s">
        <v>5808</v>
      </c>
      <c r="D1778" t="s">
        <v>12</v>
      </c>
      <c r="E1778" t="s">
        <v>5809</v>
      </c>
      <c r="F1778" t="s">
        <v>14</v>
      </c>
      <c r="G1778" s="1">
        <v>1818.05</v>
      </c>
      <c r="H1778" t="s">
        <v>232</v>
      </c>
      <c r="I1778" t="s">
        <v>233</v>
      </c>
      <c r="J1778" t="s">
        <v>5810</v>
      </c>
    </row>
    <row r="1779" spans="1:10">
      <c r="A1779" t="s">
        <v>5811</v>
      </c>
      <c r="B1779" t="s">
        <v>446</v>
      </c>
      <c r="C1779" t="s">
        <v>5812</v>
      </c>
      <c r="D1779" t="s">
        <v>12</v>
      </c>
      <c r="E1779" t="s">
        <v>5813</v>
      </c>
      <c r="F1779" t="s">
        <v>168</v>
      </c>
      <c r="G1779" s="1">
        <v>1810.86</v>
      </c>
      <c r="H1779" t="s">
        <v>36</v>
      </c>
      <c r="I1779" t="s">
        <v>2144</v>
      </c>
      <c r="J1779" t="s">
        <v>5814</v>
      </c>
    </row>
    <row r="1780" spans="1:10">
      <c r="A1780">
        <v>150244</v>
      </c>
      <c r="B1780" t="s">
        <v>446</v>
      </c>
      <c r="C1780" t="s">
        <v>5815</v>
      </c>
      <c r="D1780" t="s">
        <v>12</v>
      </c>
      <c r="E1780" t="s">
        <v>5816</v>
      </c>
      <c r="F1780" t="s">
        <v>14</v>
      </c>
      <c r="G1780" s="1">
        <v>1810</v>
      </c>
      <c r="H1780" t="s">
        <v>95</v>
      </c>
      <c r="I1780" t="s">
        <v>506</v>
      </c>
      <c r="J1780" t="s">
        <v>1522</v>
      </c>
    </row>
    <row r="1781" spans="1:10">
      <c r="A1781">
        <v>152520</v>
      </c>
      <c r="B1781" t="s">
        <v>446</v>
      </c>
      <c r="C1781" t="s">
        <v>5817</v>
      </c>
      <c r="D1781" t="s">
        <v>12</v>
      </c>
      <c r="E1781" t="s">
        <v>5818</v>
      </c>
      <c r="F1781" t="s">
        <v>14</v>
      </c>
      <c r="G1781" s="1">
        <v>1787.17</v>
      </c>
      <c r="H1781" t="s">
        <v>85</v>
      </c>
      <c r="I1781" t="s">
        <v>5819</v>
      </c>
      <c r="J1781" t="s">
        <v>5820</v>
      </c>
    </row>
    <row r="1782" spans="1:10">
      <c r="A1782">
        <v>149060</v>
      </c>
      <c r="B1782" t="s">
        <v>446</v>
      </c>
      <c r="C1782" t="s">
        <v>5821</v>
      </c>
      <c r="D1782" t="s">
        <v>12</v>
      </c>
      <c r="E1782" t="s">
        <v>5822</v>
      </c>
      <c r="F1782" t="s">
        <v>14</v>
      </c>
      <c r="G1782" s="1">
        <v>1777</v>
      </c>
      <c r="H1782" t="s">
        <v>848</v>
      </c>
      <c r="I1782" t="s">
        <v>5597</v>
      </c>
      <c r="J1782" t="s">
        <v>5823</v>
      </c>
    </row>
    <row r="1783" spans="1:10">
      <c r="A1783">
        <v>127937</v>
      </c>
      <c r="B1783" t="s">
        <v>446</v>
      </c>
      <c r="C1783" t="s">
        <v>5824</v>
      </c>
      <c r="D1783" t="s">
        <v>12</v>
      </c>
      <c r="E1783" t="s">
        <v>5825</v>
      </c>
      <c r="F1783" t="s">
        <v>14</v>
      </c>
      <c r="G1783" s="1">
        <v>1775</v>
      </c>
      <c r="H1783" t="s">
        <v>36</v>
      </c>
      <c r="I1783" t="s">
        <v>1820</v>
      </c>
      <c r="J1783" t="s">
        <v>5826</v>
      </c>
    </row>
    <row r="1784" spans="1:10">
      <c r="A1784">
        <v>150118</v>
      </c>
      <c r="B1784" t="s">
        <v>446</v>
      </c>
      <c r="C1784" t="s">
        <v>5827</v>
      </c>
      <c r="D1784" t="s">
        <v>12</v>
      </c>
      <c r="E1784" t="s">
        <v>5828</v>
      </c>
      <c r="F1784" t="s">
        <v>14</v>
      </c>
      <c r="G1784" s="1">
        <v>1753</v>
      </c>
      <c r="H1784" t="s">
        <v>140</v>
      </c>
      <c r="I1784" t="s">
        <v>1890</v>
      </c>
      <c r="J1784" t="s">
        <v>1596</v>
      </c>
    </row>
    <row r="1785" spans="1:10">
      <c r="A1785">
        <v>101112</v>
      </c>
      <c r="B1785" t="s">
        <v>446</v>
      </c>
      <c r="C1785" t="s">
        <v>5829</v>
      </c>
      <c r="D1785" t="s">
        <v>12</v>
      </c>
      <c r="E1785" t="s">
        <v>5830</v>
      </c>
      <c r="F1785" t="s">
        <v>14</v>
      </c>
      <c r="G1785" s="1">
        <v>1752.1</v>
      </c>
      <c r="H1785" t="s">
        <v>437</v>
      </c>
      <c r="I1785" t="s">
        <v>3235</v>
      </c>
      <c r="J1785" t="s">
        <v>5831</v>
      </c>
    </row>
    <row r="1786" spans="1:10">
      <c r="A1786">
        <v>129839</v>
      </c>
      <c r="B1786" t="s">
        <v>446</v>
      </c>
      <c r="C1786" t="s">
        <v>5832</v>
      </c>
      <c r="D1786" t="s">
        <v>12</v>
      </c>
      <c r="E1786" t="s">
        <v>5833</v>
      </c>
      <c r="F1786" t="s">
        <v>14</v>
      </c>
      <c r="G1786" s="1">
        <v>1750</v>
      </c>
      <c r="H1786" t="s">
        <v>499</v>
      </c>
      <c r="I1786" t="s">
        <v>5834</v>
      </c>
      <c r="J1786" t="s">
        <v>5835</v>
      </c>
    </row>
    <row r="1787" spans="1:10">
      <c r="A1787">
        <v>144993</v>
      </c>
      <c r="B1787" t="s">
        <v>446</v>
      </c>
      <c r="C1787" t="s">
        <v>5836</v>
      </c>
      <c r="D1787" t="s">
        <v>12</v>
      </c>
      <c r="E1787" t="s">
        <v>5837</v>
      </c>
      <c r="F1787" t="s">
        <v>14</v>
      </c>
      <c r="G1787" s="1">
        <v>1746.42</v>
      </c>
      <c r="H1787" t="s">
        <v>553</v>
      </c>
      <c r="I1787" t="s">
        <v>5838</v>
      </c>
      <c r="J1787" t="s">
        <v>5839</v>
      </c>
    </row>
    <row r="1788" spans="1:10">
      <c r="A1788">
        <v>104467</v>
      </c>
      <c r="B1788" t="s">
        <v>446</v>
      </c>
      <c r="C1788" t="s">
        <v>5840</v>
      </c>
      <c r="D1788" t="s">
        <v>12</v>
      </c>
      <c r="E1788" t="s">
        <v>5841</v>
      </c>
      <c r="F1788" t="s">
        <v>14</v>
      </c>
      <c r="G1788" s="1">
        <v>1734.55</v>
      </c>
      <c r="H1788" t="s">
        <v>1378</v>
      </c>
      <c r="I1788" t="s">
        <v>2864</v>
      </c>
      <c r="J1788" t="s">
        <v>5842</v>
      </c>
    </row>
    <row r="1789" spans="1:10">
      <c r="A1789">
        <v>147322</v>
      </c>
      <c r="B1789" t="s">
        <v>446</v>
      </c>
      <c r="C1789" t="s">
        <v>5843</v>
      </c>
      <c r="D1789" t="s">
        <v>12</v>
      </c>
      <c r="E1789" t="s">
        <v>5844</v>
      </c>
      <c r="F1789" t="s">
        <v>14</v>
      </c>
      <c r="G1789" s="1">
        <v>1726.6</v>
      </c>
      <c r="H1789" t="s">
        <v>56</v>
      </c>
      <c r="I1789" t="s">
        <v>1138</v>
      </c>
      <c r="J1789" t="s">
        <v>5845</v>
      </c>
    </row>
    <row r="1790" spans="1:10">
      <c r="A1790">
        <v>150755</v>
      </c>
      <c r="B1790" t="s">
        <v>446</v>
      </c>
      <c r="C1790" t="s">
        <v>5846</v>
      </c>
      <c r="D1790" t="s">
        <v>12</v>
      </c>
      <c r="E1790" t="s">
        <v>5847</v>
      </c>
      <c r="F1790" t="s">
        <v>14</v>
      </c>
      <c r="G1790" s="1">
        <v>1714</v>
      </c>
      <c r="H1790" t="s">
        <v>777</v>
      </c>
      <c r="I1790" t="s">
        <v>5848</v>
      </c>
      <c r="J1790" t="s">
        <v>5849</v>
      </c>
    </row>
    <row r="1791" spans="1:10">
      <c r="A1791">
        <v>150731</v>
      </c>
      <c r="B1791" t="s">
        <v>446</v>
      </c>
      <c r="C1791" t="s">
        <v>5850</v>
      </c>
      <c r="D1791" t="s">
        <v>25</v>
      </c>
      <c r="E1791" t="s">
        <v>5851</v>
      </c>
      <c r="F1791" t="s">
        <v>14</v>
      </c>
      <c r="G1791" s="1">
        <v>1714</v>
      </c>
      <c r="H1791" t="s">
        <v>27</v>
      </c>
      <c r="I1791" t="s">
        <v>889</v>
      </c>
      <c r="J1791" t="s">
        <v>5852</v>
      </c>
    </row>
    <row r="1792" spans="1:10">
      <c r="A1792">
        <v>145618</v>
      </c>
      <c r="B1792" t="s">
        <v>446</v>
      </c>
      <c r="C1792" t="s">
        <v>5853</v>
      </c>
      <c r="D1792" t="s">
        <v>25</v>
      </c>
      <c r="E1792" t="s">
        <v>5854</v>
      </c>
      <c r="F1792" t="s">
        <v>14</v>
      </c>
      <c r="G1792" s="1">
        <v>1714</v>
      </c>
      <c r="H1792" t="s">
        <v>27</v>
      </c>
      <c r="I1792" t="s">
        <v>27</v>
      </c>
      <c r="J1792" t="s">
        <v>5855</v>
      </c>
    </row>
    <row r="1793" spans="1:10">
      <c r="A1793">
        <v>152519</v>
      </c>
      <c r="B1793" t="s">
        <v>446</v>
      </c>
      <c r="C1793" t="s">
        <v>5856</v>
      </c>
      <c r="D1793" t="s">
        <v>331</v>
      </c>
      <c r="E1793" t="s">
        <v>5857</v>
      </c>
      <c r="F1793" t="s">
        <v>14</v>
      </c>
      <c r="G1793" s="1">
        <v>1713.35</v>
      </c>
      <c r="H1793" t="s">
        <v>333</v>
      </c>
      <c r="I1793" t="s">
        <v>1756</v>
      </c>
      <c r="J1793" t="s">
        <v>5858</v>
      </c>
    </row>
    <row r="1794" spans="1:10">
      <c r="A1794">
        <v>144982</v>
      </c>
      <c r="B1794" t="s">
        <v>446</v>
      </c>
      <c r="C1794" t="s">
        <v>5859</v>
      </c>
      <c r="D1794" t="s">
        <v>12</v>
      </c>
      <c r="E1794" t="s">
        <v>5860</v>
      </c>
      <c r="F1794" t="s">
        <v>14</v>
      </c>
      <c r="G1794" s="1">
        <v>1703.12</v>
      </c>
      <c r="H1794" t="s">
        <v>1144</v>
      </c>
      <c r="I1794" t="s">
        <v>5861</v>
      </c>
      <c r="J1794" t="s">
        <v>5862</v>
      </c>
    </row>
    <row r="1795" spans="1:10">
      <c r="A1795" t="s">
        <v>5863</v>
      </c>
      <c r="B1795" t="s">
        <v>446</v>
      </c>
      <c r="C1795" t="s">
        <v>5864</v>
      </c>
      <c r="D1795" t="s">
        <v>12</v>
      </c>
      <c r="E1795" t="s">
        <v>5865</v>
      </c>
      <c r="F1795" t="s">
        <v>168</v>
      </c>
      <c r="G1795" s="1">
        <v>1702.3</v>
      </c>
      <c r="H1795" t="s">
        <v>27</v>
      </c>
      <c r="I1795" t="s">
        <v>947</v>
      </c>
      <c r="J1795" t="s">
        <v>5866</v>
      </c>
    </row>
    <row r="1796" spans="1:10">
      <c r="A1796">
        <v>130334</v>
      </c>
      <c r="B1796" t="s">
        <v>446</v>
      </c>
      <c r="C1796" t="s">
        <v>5867</v>
      </c>
      <c r="D1796" t="s">
        <v>12</v>
      </c>
      <c r="E1796" t="s">
        <v>5868</v>
      </c>
      <c r="F1796" t="s">
        <v>14</v>
      </c>
      <c r="G1796" s="1">
        <v>1698.38</v>
      </c>
      <c r="H1796" t="s">
        <v>499</v>
      </c>
      <c r="I1796" t="s">
        <v>2632</v>
      </c>
      <c r="J1796" t="s">
        <v>5869</v>
      </c>
    </row>
    <row r="1797" spans="1:10">
      <c r="A1797">
        <v>114444</v>
      </c>
      <c r="B1797" t="s">
        <v>446</v>
      </c>
      <c r="C1797" t="s">
        <v>5870</v>
      </c>
      <c r="D1797" t="s">
        <v>12</v>
      </c>
      <c r="E1797" t="s">
        <v>5871</v>
      </c>
      <c r="F1797" t="s">
        <v>14</v>
      </c>
      <c r="G1797" s="1">
        <v>1694.22</v>
      </c>
      <c r="H1797" t="s">
        <v>1017</v>
      </c>
      <c r="I1797" t="s">
        <v>4756</v>
      </c>
      <c r="J1797" t="s">
        <v>4956</v>
      </c>
    </row>
    <row r="1798" spans="1:10">
      <c r="A1798">
        <v>151137</v>
      </c>
      <c r="B1798" t="s">
        <v>446</v>
      </c>
      <c r="C1798" t="s">
        <v>5872</v>
      </c>
      <c r="D1798" t="s">
        <v>12</v>
      </c>
      <c r="E1798" t="s">
        <v>5873</v>
      </c>
      <c r="F1798" t="s">
        <v>14</v>
      </c>
      <c r="G1798" s="1">
        <v>1676</v>
      </c>
      <c r="H1798" t="s">
        <v>499</v>
      </c>
      <c r="I1798" t="s">
        <v>1878</v>
      </c>
      <c r="J1798" t="s">
        <v>5874</v>
      </c>
    </row>
    <row r="1799" spans="1:10">
      <c r="A1799">
        <v>100298</v>
      </c>
      <c r="B1799" t="s">
        <v>446</v>
      </c>
      <c r="C1799" t="s">
        <v>5875</v>
      </c>
      <c r="D1799" t="s">
        <v>512</v>
      </c>
      <c r="E1799" t="s">
        <v>5876</v>
      </c>
      <c r="F1799" t="s">
        <v>14</v>
      </c>
      <c r="G1799" s="1">
        <v>1660.52</v>
      </c>
      <c r="H1799" t="s">
        <v>553</v>
      </c>
      <c r="I1799" t="s">
        <v>1971</v>
      </c>
      <c r="J1799" t="s">
        <v>5877</v>
      </c>
    </row>
    <row r="1800" spans="1:10">
      <c r="A1800">
        <v>118163</v>
      </c>
      <c r="B1800" t="s">
        <v>446</v>
      </c>
      <c r="C1800" t="s">
        <v>5878</v>
      </c>
      <c r="D1800" t="s">
        <v>12</v>
      </c>
      <c r="E1800" t="s">
        <v>5879</v>
      </c>
      <c r="F1800" t="s">
        <v>14</v>
      </c>
      <c r="G1800" s="1">
        <v>1658.88</v>
      </c>
      <c r="H1800" t="s">
        <v>36</v>
      </c>
      <c r="I1800" t="s">
        <v>2905</v>
      </c>
      <c r="J1800" t="s">
        <v>5880</v>
      </c>
    </row>
    <row r="1801" spans="1:10">
      <c r="A1801">
        <v>127499</v>
      </c>
      <c r="B1801" t="s">
        <v>446</v>
      </c>
      <c r="C1801" t="s">
        <v>5881</v>
      </c>
      <c r="D1801" t="s">
        <v>12</v>
      </c>
      <c r="E1801" t="s">
        <v>5882</v>
      </c>
      <c r="F1801" t="s">
        <v>14</v>
      </c>
      <c r="G1801" s="1">
        <v>1658.4</v>
      </c>
      <c r="H1801" t="s">
        <v>928</v>
      </c>
      <c r="I1801" t="s">
        <v>5883</v>
      </c>
      <c r="J1801" t="s">
        <v>5884</v>
      </c>
    </row>
    <row r="1802" spans="1:10">
      <c r="A1802">
        <v>110642</v>
      </c>
      <c r="B1802" t="s">
        <v>446</v>
      </c>
      <c r="C1802" t="s">
        <v>5885</v>
      </c>
      <c r="D1802" t="s">
        <v>124</v>
      </c>
      <c r="E1802" t="s">
        <v>5886</v>
      </c>
      <c r="F1802" t="s">
        <v>14</v>
      </c>
      <c r="G1802" s="1">
        <v>1657.5</v>
      </c>
      <c r="H1802" t="s">
        <v>126</v>
      </c>
      <c r="I1802" t="s">
        <v>156</v>
      </c>
      <c r="J1802" t="s">
        <v>5887</v>
      </c>
    </row>
    <row r="1803" spans="1:10">
      <c r="A1803">
        <v>145314</v>
      </c>
      <c r="B1803" t="s">
        <v>446</v>
      </c>
      <c r="C1803" t="s">
        <v>5888</v>
      </c>
      <c r="D1803" t="s">
        <v>12</v>
      </c>
      <c r="E1803" t="s">
        <v>5889</v>
      </c>
      <c r="F1803" t="s">
        <v>14</v>
      </c>
      <c r="G1803" s="1">
        <v>1634.62</v>
      </c>
      <c r="H1803" t="s">
        <v>499</v>
      </c>
      <c r="I1803" t="s">
        <v>5890</v>
      </c>
      <c r="J1803" t="s">
        <v>5891</v>
      </c>
    </row>
    <row r="1804" spans="1:10">
      <c r="A1804" t="s">
        <v>5892</v>
      </c>
      <c r="B1804" t="s">
        <v>446</v>
      </c>
      <c r="C1804" t="s">
        <v>5893</v>
      </c>
      <c r="D1804" t="s">
        <v>12</v>
      </c>
      <c r="E1804" t="s">
        <v>5894</v>
      </c>
      <c r="F1804" t="s">
        <v>168</v>
      </c>
      <c r="G1804" s="1">
        <v>1628.28</v>
      </c>
      <c r="H1804" t="s">
        <v>56</v>
      </c>
      <c r="I1804" t="s">
        <v>549</v>
      </c>
      <c r="J1804" t="s">
        <v>5397</v>
      </c>
    </row>
    <row r="1805" spans="1:10">
      <c r="A1805">
        <v>151313</v>
      </c>
      <c r="B1805" t="s">
        <v>446</v>
      </c>
      <c r="C1805" t="s">
        <v>5895</v>
      </c>
      <c r="D1805" t="s">
        <v>12</v>
      </c>
      <c r="E1805" t="s">
        <v>5896</v>
      </c>
      <c r="F1805" t="s">
        <v>14</v>
      </c>
      <c r="G1805" s="1">
        <v>1626.66</v>
      </c>
      <c r="H1805" t="s">
        <v>1378</v>
      </c>
      <c r="I1805" t="s">
        <v>5897</v>
      </c>
      <c r="J1805" t="s">
        <v>5898</v>
      </c>
    </row>
    <row r="1806" spans="1:10">
      <c r="A1806">
        <v>151360</v>
      </c>
      <c r="B1806" t="s">
        <v>446</v>
      </c>
      <c r="C1806" t="s">
        <v>5899</v>
      </c>
      <c r="D1806" t="s">
        <v>331</v>
      </c>
      <c r="E1806" t="s">
        <v>5900</v>
      </c>
      <c r="F1806" t="s">
        <v>14</v>
      </c>
      <c r="G1806" s="1">
        <v>1626.5</v>
      </c>
      <c r="H1806" t="s">
        <v>333</v>
      </c>
      <c r="I1806" t="s">
        <v>3577</v>
      </c>
      <c r="J1806" t="s">
        <v>5901</v>
      </c>
    </row>
    <row r="1807" spans="1:10">
      <c r="A1807">
        <v>127180</v>
      </c>
      <c r="B1807" t="s">
        <v>446</v>
      </c>
      <c r="C1807" t="s">
        <v>5902</v>
      </c>
      <c r="D1807" t="s">
        <v>12</v>
      </c>
      <c r="E1807" t="s">
        <v>5903</v>
      </c>
      <c r="F1807" t="s">
        <v>14</v>
      </c>
      <c r="G1807" s="1">
        <v>1623.9</v>
      </c>
      <c r="H1807" t="s">
        <v>553</v>
      </c>
      <c r="I1807" t="s">
        <v>5904</v>
      </c>
      <c r="J1807" t="s">
        <v>5905</v>
      </c>
    </row>
    <row r="1808" spans="1:10">
      <c r="A1808">
        <v>140547</v>
      </c>
      <c r="B1808" t="s">
        <v>446</v>
      </c>
      <c r="C1808" t="s">
        <v>5906</v>
      </c>
      <c r="D1808" t="s">
        <v>12</v>
      </c>
      <c r="E1808" t="s">
        <v>5907</v>
      </c>
      <c r="F1808" t="s">
        <v>14</v>
      </c>
      <c r="G1808" s="1">
        <v>1623.36</v>
      </c>
      <c r="H1808" t="s">
        <v>1017</v>
      </c>
      <c r="I1808" t="s">
        <v>5908</v>
      </c>
      <c r="J1808" t="s">
        <v>5909</v>
      </c>
    </row>
    <row r="1809" spans="1:10">
      <c r="A1809">
        <v>126603</v>
      </c>
      <c r="B1809" t="s">
        <v>446</v>
      </c>
      <c r="C1809" t="s">
        <v>5910</v>
      </c>
      <c r="D1809" t="s">
        <v>12</v>
      </c>
      <c r="E1809" t="s">
        <v>5911</v>
      </c>
      <c r="F1809" t="s">
        <v>14</v>
      </c>
      <c r="G1809" s="1">
        <v>1617</v>
      </c>
      <c r="H1809" t="s">
        <v>36</v>
      </c>
      <c r="I1809" t="s">
        <v>3110</v>
      </c>
      <c r="J1809" t="s">
        <v>5912</v>
      </c>
    </row>
    <row r="1810" spans="1:10">
      <c r="A1810">
        <v>146681</v>
      </c>
      <c r="B1810" t="s">
        <v>446</v>
      </c>
      <c r="C1810" t="s">
        <v>5913</v>
      </c>
      <c r="D1810" t="s">
        <v>12</v>
      </c>
      <c r="E1810" t="s">
        <v>5914</v>
      </c>
      <c r="F1810" t="s">
        <v>14</v>
      </c>
      <c r="G1810" s="1">
        <v>1616.37</v>
      </c>
      <c r="H1810" t="s">
        <v>1917</v>
      </c>
      <c r="I1810" t="s">
        <v>5915</v>
      </c>
      <c r="J1810" t="s">
        <v>5916</v>
      </c>
    </row>
    <row r="1811" spans="1:10">
      <c r="A1811">
        <v>146282</v>
      </c>
      <c r="B1811" t="s">
        <v>446</v>
      </c>
      <c r="C1811" t="s">
        <v>5917</v>
      </c>
      <c r="D1811" t="s">
        <v>12</v>
      </c>
      <c r="E1811" t="s">
        <v>5918</v>
      </c>
      <c r="F1811" t="s">
        <v>14</v>
      </c>
      <c r="G1811" s="1">
        <v>1600</v>
      </c>
      <c r="H1811" t="s">
        <v>36</v>
      </c>
      <c r="I1811" t="s">
        <v>5050</v>
      </c>
      <c r="J1811" t="s">
        <v>5274</v>
      </c>
    </row>
    <row r="1812" spans="1:10">
      <c r="A1812">
        <v>150278</v>
      </c>
      <c r="B1812" t="s">
        <v>446</v>
      </c>
      <c r="C1812" t="s">
        <v>5919</v>
      </c>
      <c r="D1812" t="s">
        <v>12</v>
      </c>
      <c r="E1812" t="s">
        <v>5920</v>
      </c>
      <c r="F1812" t="s">
        <v>14</v>
      </c>
      <c r="G1812" s="1">
        <v>1599.38</v>
      </c>
      <c r="H1812" t="s">
        <v>56</v>
      </c>
      <c r="I1812" t="s">
        <v>1138</v>
      </c>
      <c r="J1812" t="s">
        <v>5845</v>
      </c>
    </row>
    <row r="1813" spans="1:10">
      <c r="A1813">
        <v>118736</v>
      </c>
      <c r="B1813" t="s">
        <v>446</v>
      </c>
      <c r="C1813" t="s">
        <v>5921</v>
      </c>
      <c r="D1813" t="s">
        <v>12</v>
      </c>
      <c r="E1813" t="s">
        <v>5922</v>
      </c>
      <c r="F1813" t="s">
        <v>14</v>
      </c>
      <c r="G1813" s="1">
        <v>1593.86</v>
      </c>
      <c r="H1813" t="s">
        <v>140</v>
      </c>
      <c r="I1813" t="s">
        <v>5923</v>
      </c>
      <c r="J1813" t="s">
        <v>5924</v>
      </c>
    </row>
    <row r="1814" spans="1:10">
      <c r="A1814">
        <v>112169</v>
      </c>
      <c r="B1814" t="s">
        <v>446</v>
      </c>
      <c r="C1814" t="s">
        <v>5925</v>
      </c>
      <c r="D1814" t="s">
        <v>12</v>
      </c>
      <c r="E1814" t="s">
        <v>5926</v>
      </c>
      <c r="F1814" t="s">
        <v>14</v>
      </c>
      <c r="G1814" s="1">
        <v>1590.37</v>
      </c>
      <c r="H1814" t="s">
        <v>36</v>
      </c>
      <c r="I1814" t="s">
        <v>5927</v>
      </c>
      <c r="J1814" t="s">
        <v>5928</v>
      </c>
    </row>
    <row r="1815" spans="1:10">
      <c r="A1815">
        <v>150197</v>
      </c>
      <c r="B1815" t="s">
        <v>446</v>
      </c>
      <c r="C1815" t="s">
        <v>5929</v>
      </c>
      <c r="D1815" t="s">
        <v>12</v>
      </c>
      <c r="E1815" t="s">
        <v>5930</v>
      </c>
      <c r="F1815" t="s">
        <v>14</v>
      </c>
      <c r="G1815" s="1">
        <v>1585.05</v>
      </c>
      <c r="H1815" t="s">
        <v>140</v>
      </c>
      <c r="I1815" t="s">
        <v>5931</v>
      </c>
      <c r="J1815" t="s">
        <v>5932</v>
      </c>
    </row>
    <row r="1816" spans="1:10">
      <c r="A1816">
        <v>150735</v>
      </c>
      <c r="B1816" t="s">
        <v>446</v>
      </c>
      <c r="C1816" t="s">
        <v>5933</v>
      </c>
      <c r="D1816" t="s">
        <v>12</v>
      </c>
      <c r="E1816" t="s">
        <v>5934</v>
      </c>
      <c r="F1816" t="s">
        <v>14</v>
      </c>
      <c r="G1816" s="1">
        <v>1579.38</v>
      </c>
      <c r="H1816" t="s">
        <v>777</v>
      </c>
      <c r="I1816" t="s">
        <v>5935</v>
      </c>
      <c r="J1816" t="s">
        <v>5936</v>
      </c>
    </row>
    <row r="1817" spans="1:10">
      <c r="A1817">
        <v>100630</v>
      </c>
      <c r="B1817" t="s">
        <v>446</v>
      </c>
      <c r="C1817" t="s">
        <v>5937</v>
      </c>
      <c r="D1817" t="s">
        <v>12</v>
      </c>
      <c r="E1817" t="s">
        <v>5938</v>
      </c>
      <c r="F1817" t="s">
        <v>14</v>
      </c>
      <c r="G1817" s="1">
        <v>1556.95</v>
      </c>
      <c r="H1817" t="s">
        <v>1017</v>
      </c>
      <c r="I1817" t="s">
        <v>5939</v>
      </c>
      <c r="J1817" t="s">
        <v>5940</v>
      </c>
    </row>
    <row r="1818" spans="1:10">
      <c r="A1818">
        <v>132383</v>
      </c>
      <c r="B1818" t="s">
        <v>446</v>
      </c>
      <c r="C1818" t="s">
        <v>5941</v>
      </c>
      <c r="D1818" t="s">
        <v>12</v>
      </c>
      <c r="E1818" t="s">
        <v>5942</v>
      </c>
      <c r="F1818" t="s">
        <v>14</v>
      </c>
      <c r="G1818" s="1">
        <v>1548</v>
      </c>
      <c r="H1818" t="s">
        <v>777</v>
      </c>
      <c r="I1818" t="s">
        <v>5943</v>
      </c>
      <c r="J1818" t="s">
        <v>5944</v>
      </c>
    </row>
    <row r="1819" spans="1:10">
      <c r="A1819">
        <v>150433</v>
      </c>
      <c r="B1819" t="s">
        <v>446</v>
      </c>
      <c r="C1819" t="s">
        <v>5945</v>
      </c>
      <c r="D1819" t="s">
        <v>12</v>
      </c>
      <c r="E1819" t="s">
        <v>5946</v>
      </c>
      <c r="F1819" t="s">
        <v>14</v>
      </c>
      <c r="G1819" s="1">
        <v>1544.74</v>
      </c>
      <c r="H1819" t="s">
        <v>499</v>
      </c>
      <c r="I1819" t="s">
        <v>2632</v>
      </c>
      <c r="J1819" t="s">
        <v>5947</v>
      </c>
    </row>
    <row r="1820" spans="1:10">
      <c r="A1820">
        <v>115839</v>
      </c>
      <c r="B1820" t="s">
        <v>446</v>
      </c>
      <c r="C1820" t="s">
        <v>5948</v>
      </c>
      <c r="D1820" t="s">
        <v>512</v>
      </c>
      <c r="E1820" t="s">
        <v>5949</v>
      </c>
      <c r="F1820" t="s">
        <v>14</v>
      </c>
      <c r="G1820" s="1">
        <v>1543.58</v>
      </c>
      <c r="H1820" t="s">
        <v>27</v>
      </c>
      <c r="I1820" t="s">
        <v>2686</v>
      </c>
      <c r="J1820" t="s">
        <v>2687</v>
      </c>
    </row>
    <row r="1821" spans="1:10">
      <c r="A1821">
        <v>150878</v>
      </c>
      <c r="B1821" t="s">
        <v>446</v>
      </c>
      <c r="C1821" t="s">
        <v>5950</v>
      </c>
      <c r="D1821" t="s">
        <v>12</v>
      </c>
      <c r="E1821" t="s">
        <v>5951</v>
      </c>
      <c r="F1821" t="s">
        <v>14</v>
      </c>
      <c r="G1821" s="1">
        <v>1541.38</v>
      </c>
      <c r="H1821" t="s">
        <v>499</v>
      </c>
      <c r="I1821" t="s">
        <v>5952</v>
      </c>
      <c r="J1821" t="s">
        <v>5953</v>
      </c>
    </row>
    <row r="1822" spans="1:10">
      <c r="A1822">
        <v>124006</v>
      </c>
      <c r="B1822" t="s">
        <v>446</v>
      </c>
      <c r="C1822" t="s">
        <v>5954</v>
      </c>
      <c r="D1822" t="s">
        <v>12</v>
      </c>
      <c r="E1822" t="s">
        <v>5955</v>
      </c>
      <c r="F1822" t="s">
        <v>14</v>
      </c>
      <c r="G1822" s="1">
        <v>1536.8</v>
      </c>
      <c r="H1822" t="s">
        <v>1017</v>
      </c>
      <c r="I1822" t="s">
        <v>4756</v>
      </c>
      <c r="J1822" t="s">
        <v>5956</v>
      </c>
    </row>
    <row r="1823" spans="1:10">
      <c r="A1823">
        <v>149622</v>
      </c>
      <c r="B1823" t="s">
        <v>446</v>
      </c>
      <c r="C1823" t="s">
        <v>5957</v>
      </c>
      <c r="D1823" t="s">
        <v>12</v>
      </c>
      <c r="E1823" t="s">
        <v>5958</v>
      </c>
      <c r="F1823" t="s">
        <v>168</v>
      </c>
      <c r="G1823" s="1">
        <v>1536.16</v>
      </c>
      <c r="H1823" t="s">
        <v>56</v>
      </c>
      <c r="I1823" t="s">
        <v>5959</v>
      </c>
      <c r="J1823" t="s">
        <v>5960</v>
      </c>
    </row>
    <row r="1824" spans="1:10">
      <c r="A1824" t="s">
        <v>5961</v>
      </c>
      <c r="B1824" t="s">
        <v>446</v>
      </c>
      <c r="C1824" t="s">
        <v>5962</v>
      </c>
      <c r="D1824" t="s">
        <v>512</v>
      </c>
      <c r="E1824" t="s">
        <v>4465</v>
      </c>
      <c r="F1824" t="s">
        <v>168</v>
      </c>
      <c r="G1824" s="1">
        <v>1525.86</v>
      </c>
      <c r="H1824" t="s">
        <v>56</v>
      </c>
      <c r="I1824" t="s">
        <v>5963</v>
      </c>
      <c r="J1824" t="s">
        <v>5964</v>
      </c>
    </row>
    <row r="1825" spans="1:10">
      <c r="A1825">
        <v>124875</v>
      </c>
      <c r="B1825" t="s">
        <v>446</v>
      </c>
      <c r="C1825" t="s">
        <v>5965</v>
      </c>
      <c r="D1825" t="s">
        <v>12</v>
      </c>
      <c r="E1825" t="s">
        <v>5966</v>
      </c>
      <c r="F1825" t="s">
        <v>14</v>
      </c>
      <c r="G1825" s="1">
        <v>1522.5</v>
      </c>
      <c r="H1825" t="s">
        <v>36</v>
      </c>
      <c r="I1825" t="s">
        <v>1833</v>
      </c>
      <c r="J1825" t="s">
        <v>5967</v>
      </c>
    </row>
    <row r="1826" spans="1:10">
      <c r="A1826">
        <v>103035</v>
      </c>
      <c r="B1826" t="s">
        <v>446</v>
      </c>
      <c r="C1826" t="s">
        <v>5968</v>
      </c>
      <c r="D1826" t="s">
        <v>12</v>
      </c>
      <c r="E1826" t="s">
        <v>5969</v>
      </c>
      <c r="F1826" t="s">
        <v>14</v>
      </c>
      <c r="G1826" s="1">
        <v>1522.11</v>
      </c>
      <c r="H1826" t="s">
        <v>15</v>
      </c>
      <c r="I1826" t="s">
        <v>3395</v>
      </c>
      <c r="J1826" t="s">
        <v>5970</v>
      </c>
    </row>
    <row r="1827" spans="1:10">
      <c r="A1827">
        <v>129953</v>
      </c>
      <c r="B1827" t="s">
        <v>446</v>
      </c>
      <c r="C1827" t="s">
        <v>5971</v>
      </c>
      <c r="D1827" t="s">
        <v>12</v>
      </c>
      <c r="E1827" t="s">
        <v>5972</v>
      </c>
      <c r="F1827" t="s">
        <v>14</v>
      </c>
      <c r="G1827" s="1">
        <v>1520.93</v>
      </c>
      <c r="H1827" t="s">
        <v>375</v>
      </c>
      <c r="I1827" t="s">
        <v>3552</v>
      </c>
      <c r="J1827" t="s">
        <v>5973</v>
      </c>
    </row>
    <row r="1828" spans="1:10">
      <c r="A1828">
        <v>125741</v>
      </c>
      <c r="B1828" t="s">
        <v>446</v>
      </c>
      <c r="C1828" t="s">
        <v>1810</v>
      </c>
      <c r="D1828" t="s">
        <v>12</v>
      </c>
      <c r="E1828" t="s">
        <v>5974</v>
      </c>
      <c r="F1828" t="s">
        <v>14</v>
      </c>
      <c r="G1828" s="1">
        <v>1520.34</v>
      </c>
      <c r="H1828" t="s">
        <v>232</v>
      </c>
      <c r="I1828" t="s">
        <v>1812</v>
      </c>
      <c r="J1828" t="s">
        <v>1813</v>
      </c>
    </row>
    <row r="1829" spans="1:10">
      <c r="A1829">
        <v>151657</v>
      </c>
      <c r="B1829" t="s">
        <v>446</v>
      </c>
      <c r="C1829" t="s">
        <v>5975</v>
      </c>
      <c r="D1829" t="s">
        <v>12</v>
      </c>
      <c r="E1829" t="s">
        <v>5976</v>
      </c>
      <c r="F1829" t="s">
        <v>14</v>
      </c>
      <c r="G1829" s="1">
        <v>1513.25</v>
      </c>
      <c r="H1829" t="s">
        <v>140</v>
      </c>
      <c r="I1829" t="s">
        <v>5977</v>
      </c>
      <c r="J1829" t="s">
        <v>5978</v>
      </c>
    </row>
    <row r="1830" spans="1:10">
      <c r="A1830">
        <v>151971</v>
      </c>
      <c r="B1830" t="s">
        <v>446</v>
      </c>
      <c r="C1830" t="s">
        <v>5979</v>
      </c>
      <c r="D1830" t="s">
        <v>12</v>
      </c>
      <c r="E1830" t="s">
        <v>5980</v>
      </c>
      <c r="F1830" t="s">
        <v>14</v>
      </c>
      <c r="G1830" s="1">
        <v>1500</v>
      </c>
      <c r="H1830" t="s">
        <v>140</v>
      </c>
      <c r="I1830" t="s">
        <v>3485</v>
      </c>
      <c r="J1830" t="s">
        <v>506</v>
      </c>
    </row>
    <row r="1831" spans="1:10">
      <c r="A1831">
        <v>150361</v>
      </c>
      <c r="B1831" t="s">
        <v>446</v>
      </c>
      <c r="C1831" t="s">
        <v>5981</v>
      </c>
      <c r="D1831" t="s">
        <v>12</v>
      </c>
      <c r="E1831" t="s">
        <v>5982</v>
      </c>
      <c r="F1831" t="s">
        <v>14</v>
      </c>
      <c r="G1831" s="1">
        <v>1500</v>
      </c>
      <c r="H1831" t="s">
        <v>1378</v>
      </c>
      <c r="I1831" t="s">
        <v>5983</v>
      </c>
      <c r="J1831" t="s">
        <v>5984</v>
      </c>
    </row>
    <row r="1832" spans="1:10">
      <c r="A1832">
        <v>149012</v>
      </c>
      <c r="B1832" t="s">
        <v>446</v>
      </c>
      <c r="C1832" t="s">
        <v>5985</v>
      </c>
      <c r="D1832" t="s">
        <v>12</v>
      </c>
      <c r="E1832" t="s">
        <v>5986</v>
      </c>
      <c r="F1832" t="s">
        <v>14</v>
      </c>
      <c r="G1832" s="1">
        <v>1500</v>
      </c>
      <c r="H1832" t="s">
        <v>928</v>
      </c>
      <c r="I1832" t="s">
        <v>5987</v>
      </c>
      <c r="J1832" t="s">
        <v>5988</v>
      </c>
    </row>
    <row r="1833" spans="1:10">
      <c r="A1833">
        <v>150788</v>
      </c>
      <c r="B1833" t="s">
        <v>446</v>
      </c>
      <c r="C1833" t="s">
        <v>5989</v>
      </c>
      <c r="D1833" t="s">
        <v>12</v>
      </c>
      <c r="E1833" t="s">
        <v>5990</v>
      </c>
      <c r="F1833" t="s">
        <v>14</v>
      </c>
      <c r="G1833" s="1">
        <v>1500</v>
      </c>
      <c r="H1833" t="s">
        <v>95</v>
      </c>
      <c r="I1833" t="s">
        <v>506</v>
      </c>
      <c r="J1833" t="s">
        <v>1522</v>
      </c>
    </row>
    <row r="1834" spans="1:10">
      <c r="A1834">
        <v>148157</v>
      </c>
      <c r="B1834" t="s">
        <v>446</v>
      </c>
      <c r="C1834" t="s">
        <v>5991</v>
      </c>
      <c r="D1834" t="s">
        <v>12</v>
      </c>
      <c r="E1834" t="s">
        <v>5992</v>
      </c>
      <c r="F1834" t="s">
        <v>14</v>
      </c>
      <c r="G1834" s="1">
        <v>1495.61</v>
      </c>
      <c r="H1834" t="s">
        <v>499</v>
      </c>
      <c r="I1834" t="s">
        <v>5993</v>
      </c>
      <c r="J1834" t="s">
        <v>5994</v>
      </c>
    </row>
    <row r="1835" spans="1:10">
      <c r="A1835">
        <v>129585</v>
      </c>
      <c r="B1835" t="s">
        <v>446</v>
      </c>
      <c r="C1835" t="s">
        <v>5995</v>
      </c>
      <c r="D1835" t="s">
        <v>12</v>
      </c>
      <c r="E1835" t="s">
        <v>5996</v>
      </c>
      <c r="F1835" t="s">
        <v>14</v>
      </c>
      <c r="G1835" s="1">
        <v>1483.37</v>
      </c>
      <c r="H1835" t="s">
        <v>36</v>
      </c>
      <c r="I1835" t="s">
        <v>3426</v>
      </c>
      <c r="J1835" t="s">
        <v>5997</v>
      </c>
    </row>
    <row r="1836" spans="1:10">
      <c r="A1836">
        <v>129493</v>
      </c>
      <c r="B1836" t="s">
        <v>446</v>
      </c>
      <c r="C1836" t="s">
        <v>5998</v>
      </c>
      <c r="D1836" t="s">
        <v>12</v>
      </c>
      <c r="E1836" t="s">
        <v>5999</v>
      </c>
      <c r="F1836" t="s">
        <v>14</v>
      </c>
      <c r="G1836" s="1">
        <v>1479.6</v>
      </c>
      <c r="H1836" t="s">
        <v>1378</v>
      </c>
      <c r="I1836" t="s">
        <v>2864</v>
      </c>
      <c r="J1836" t="s">
        <v>6000</v>
      </c>
    </row>
    <row r="1837" spans="1:10">
      <c r="A1837">
        <v>152054</v>
      </c>
      <c r="B1837" t="s">
        <v>446</v>
      </c>
      <c r="C1837" t="s">
        <v>6001</v>
      </c>
      <c r="D1837" t="s">
        <v>12</v>
      </c>
      <c r="E1837" t="s">
        <v>6002</v>
      </c>
      <c r="F1837" t="s">
        <v>14</v>
      </c>
      <c r="G1837" s="1">
        <v>1470.75</v>
      </c>
      <c r="H1837" t="s">
        <v>140</v>
      </c>
      <c r="I1837" t="s">
        <v>6003</v>
      </c>
      <c r="J1837" t="s">
        <v>6004</v>
      </c>
    </row>
    <row r="1838" spans="1:10">
      <c r="A1838">
        <v>140830</v>
      </c>
      <c r="B1838" t="s">
        <v>446</v>
      </c>
      <c r="C1838" t="s">
        <v>6005</v>
      </c>
      <c r="D1838" t="s">
        <v>12</v>
      </c>
      <c r="E1838" t="s">
        <v>6006</v>
      </c>
      <c r="F1838" t="s">
        <v>14</v>
      </c>
      <c r="G1838" s="1">
        <v>1470.54</v>
      </c>
      <c r="H1838" t="s">
        <v>1017</v>
      </c>
      <c r="I1838" t="s">
        <v>1943</v>
      </c>
      <c r="J1838" t="s">
        <v>6007</v>
      </c>
    </row>
    <row r="1839" spans="1:10">
      <c r="A1839">
        <v>147096</v>
      </c>
      <c r="B1839" t="s">
        <v>446</v>
      </c>
      <c r="C1839" t="s">
        <v>6008</v>
      </c>
      <c r="D1839" t="s">
        <v>12</v>
      </c>
      <c r="E1839" t="s">
        <v>6009</v>
      </c>
      <c r="F1839" t="s">
        <v>14</v>
      </c>
      <c r="G1839" s="1">
        <v>1458</v>
      </c>
      <c r="H1839" t="s">
        <v>85</v>
      </c>
      <c r="I1839" t="s">
        <v>6010</v>
      </c>
      <c r="J1839" t="s">
        <v>6011</v>
      </c>
    </row>
    <row r="1840" spans="1:10">
      <c r="A1840">
        <v>150876</v>
      </c>
      <c r="B1840" t="s">
        <v>446</v>
      </c>
      <c r="C1840" t="s">
        <v>6012</v>
      </c>
      <c r="D1840" t="s">
        <v>12</v>
      </c>
      <c r="E1840" t="s">
        <v>6013</v>
      </c>
      <c r="F1840" t="s">
        <v>14</v>
      </c>
      <c r="G1840" s="1">
        <v>1450</v>
      </c>
      <c r="H1840" t="s">
        <v>140</v>
      </c>
      <c r="I1840" t="s">
        <v>3485</v>
      </c>
      <c r="J1840" t="s">
        <v>506</v>
      </c>
    </row>
    <row r="1841" spans="1:10">
      <c r="A1841">
        <v>147381</v>
      </c>
      <c r="B1841" t="s">
        <v>446</v>
      </c>
      <c r="C1841" t="s">
        <v>6014</v>
      </c>
      <c r="D1841" t="s">
        <v>12</v>
      </c>
      <c r="E1841" t="s">
        <v>6015</v>
      </c>
      <c r="F1841" t="s">
        <v>14</v>
      </c>
      <c r="G1841" s="1">
        <v>1442.59</v>
      </c>
      <c r="H1841" t="s">
        <v>1017</v>
      </c>
      <c r="I1841" t="s">
        <v>2088</v>
      </c>
      <c r="J1841" t="s">
        <v>6016</v>
      </c>
    </row>
    <row r="1842" spans="1:10">
      <c r="A1842">
        <v>127872</v>
      </c>
      <c r="B1842" t="s">
        <v>446</v>
      </c>
      <c r="C1842" t="s">
        <v>6017</v>
      </c>
      <c r="D1842" t="s">
        <v>25</v>
      </c>
      <c r="E1842" t="s">
        <v>6018</v>
      </c>
      <c r="F1842" t="s">
        <v>14</v>
      </c>
      <c r="G1842" s="1">
        <v>1440</v>
      </c>
      <c r="H1842" t="s">
        <v>27</v>
      </c>
      <c r="I1842" t="s">
        <v>27</v>
      </c>
      <c r="J1842" t="s">
        <v>6019</v>
      </c>
    </row>
    <row r="1843" spans="1:10">
      <c r="A1843">
        <v>150307</v>
      </c>
      <c r="B1843" t="s">
        <v>446</v>
      </c>
      <c r="C1843" t="s">
        <v>6020</v>
      </c>
      <c r="D1843" t="s">
        <v>25</v>
      </c>
      <c r="E1843" t="s">
        <v>6021</v>
      </c>
      <c r="F1843" t="s">
        <v>14</v>
      </c>
      <c r="G1843" s="1">
        <v>1440</v>
      </c>
      <c r="H1843" t="s">
        <v>27</v>
      </c>
      <c r="I1843" t="s">
        <v>27</v>
      </c>
      <c r="J1843" t="s">
        <v>6022</v>
      </c>
    </row>
    <row r="1844" spans="1:10">
      <c r="A1844">
        <v>141401</v>
      </c>
      <c r="B1844" t="s">
        <v>446</v>
      </c>
      <c r="C1844" t="s">
        <v>6023</v>
      </c>
      <c r="D1844" t="s">
        <v>12</v>
      </c>
      <c r="E1844" t="s">
        <v>6024</v>
      </c>
      <c r="F1844" t="s">
        <v>14</v>
      </c>
      <c r="G1844" s="1">
        <v>1439.57</v>
      </c>
      <c r="H1844" t="s">
        <v>1017</v>
      </c>
      <c r="I1844" t="s">
        <v>5008</v>
      </c>
      <c r="J1844" t="s">
        <v>6025</v>
      </c>
    </row>
    <row r="1845" spans="1:10">
      <c r="A1845">
        <v>129246</v>
      </c>
      <c r="B1845" t="s">
        <v>446</v>
      </c>
      <c r="C1845" t="s">
        <v>6026</v>
      </c>
      <c r="D1845" t="s">
        <v>12</v>
      </c>
      <c r="E1845" t="s">
        <v>6027</v>
      </c>
      <c r="F1845" t="s">
        <v>14</v>
      </c>
      <c r="G1845" s="1">
        <v>1438.99</v>
      </c>
      <c r="H1845" t="s">
        <v>553</v>
      </c>
      <c r="I1845" t="s">
        <v>6028</v>
      </c>
      <c r="J1845" t="s">
        <v>6029</v>
      </c>
    </row>
    <row r="1846" spans="1:10">
      <c r="A1846">
        <v>113648</v>
      </c>
      <c r="B1846" t="s">
        <v>446</v>
      </c>
      <c r="C1846" t="s">
        <v>6030</v>
      </c>
      <c r="D1846" t="s">
        <v>12</v>
      </c>
      <c r="E1846" t="s">
        <v>6031</v>
      </c>
      <c r="F1846" t="s">
        <v>14</v>
      </c>
      <c r="G1846" s="1">
        <v>1419.95</v>
      </c>
      <c r="H1846" t="s">
        <v>499</v>
      </c>
      <c r="I1846" t="s">
        <v>3866</v>
      </c>
      <c r="J1846" t="s">
        <v>6032</v>
      </c>
    </row>
    <row r="1847" spans="1:10">
      <c r="A1847">
        <v>131900</v>
      </c>
      <c r="B1847" t="s">
        <v>446</v>
      </c>
      <c r="C1847" t="s">
        <v>6033</v>
      </c>
      <c r="D1847" t="s">
        <v>12</v>
      </c>
      <c r="E1847" t="s">
        <v>6034</v>
      </c>
      <c r="F1847" t="s">
        <v>14</v>
      </c>
      <c r="G1847" s="1">
        <v>1405.61</v>
      </c>
      <c r="H1847" t="s">
        <v>1017</v>
      </c>
      <c r="I1847" t="s">
        <v>5733</v>
      </c>
      <c r="J1847" t="s">
        <v>6035</v>
      </c>
    </row>
    <row r="1848" spans="1:10">
      <c r="A1848">
        <v>140086</v>
      </c>
      <c r="B1848" t="s">
        <v>446</v>
      </c>
      <c r="C1848" t="s">
        <v>6036</v>
      </c>
      <c r="D1848" t="s">
        <v>12</v>
      </c>
      <c r="E1848" t="s">
        <v>6037</v>
      </c>
      <c r="F1848" t="s">
        <v>14</v>
      </c>
      <c r="G1848" s="1">
        <v>1400</v>
      </c>
      <c r="H1848" t="s">
        <v>504</v>
      </c>
      <c r="I1848" t="s">
        <v>3411</v>
      </c>
      <c r="J1848" t="s">
        <v>6038</v>
      </c>
    </row>
    <row r="1849" spans="1:10">
      <c r="A1849">
        <v>150698</v>
      </c>
      <c r="B1849" t="s">
        <v>446</v>
      </c>
      <c r="C1849" t="s">
        <v>6039</v>
      </c>
      <c r="D1849" t="s">
        <v>12</v>
      </c>
      <c r="E1849" t="s">
        <v>6040</v>
      </c>
      <c r="F1849" t="s">
        <v>14</v>
      </c>
      <c r="G1849" s="1">
        <v>1400</v>
      </c>
      <c r="H1849" t="s">
        <v>36</v>
      </c>
      <c r="I1849" t="s">
        <v>1820</v>
      </c>
      <c r="J1849" t="s">
        <v>6041</v>
      </c>
    </row>
    <row r="1850" spans="1:10">
      <c r="A1850">
        <v>150308</v>
      </c>
      <c r="B1850" t="s">
        <v>446</v>
      </c>
      <c r="C1850" t="s">
        <v>6042</v>
      </c>
      <c r="D1850" t="s">
        <v>12</v>
      </c>
      <c r="E1850" t="s">
        <v>6043</v>
      </c>
      <c r="F1850" t="s">
        <v>14</v>
      </c>
      <c r="G1850" s="1">
        <v>1396.42</v>
      </c>
      <c r="H1850" t="s">
        <v>1017</v>
      </c>
      <c r="I1850" t="s">
        <v>1022</v>
      </c>
      <c r="J1850" t="s">
        <v>6044</v>
      </c>
    </row>
    <row r="1851" spans="1:10">
      <c r="A1851" t="s">
        <v>6045</v>
      </c>
      <c r="B1851" t="s">
        <v>446</v>
      </c>
      <c r="C1851" t="s">
        <v>6046</v>
      </c>
      <c r="D1851" t="s">
        <v>12</v>
      </c>
      <c r="E1851" t="s">
        <v>6047</v>
      </c>
      <c r="F1851" t="s">
        <v>168</v>
      </c>
      <c r="G1851" s="1">
        <v>1389.31</v>
      </c>
      <c r="H1851" t="s">
        <v>56</v>
      </c>
      <c r="I1851" t="s">
        <v>3053</v>
      </c>
      <c r="J1851" t="s">
        <v>3054</v>
      </c>
    </row>
    <row r="1852" spans="1:10">
      <c r="A1852">
        <v>118491</v>
      </c>
      <c r="B1852" t="s">
        <v>446</v>
      </c>
      <c r="C1852" t="s">
        <v>6048</v>
      </c>
      <c r="D1852" t="s">
        <v>12</v>
      </c>
      <c r="E1852" t="s">
        <v>6049</v>
      </c>
      <c r="F1852" t="s">
        <v>14</v>
      </c>
      <c r="G1852" s="1">
        <v>1380</v>
      </c>
      <c r="H1852" t="s">
        <v>499</v>
      </c>
      <c r="I1852" t="s">
        <v>1878</v>
      </c>
      <c r="J1852" t="s">
        <v>6050</v>
      </c>
    </row>
    <row r="1853" spans="1:10">
      <c r="A1853">
        <v>131234</v>
      </c>
      <c r="B1853" t="s">
        <v>446</v>
      </c>
      <c r="C1853" t="s">
        <v>6051</v>
      </c>
      <c r="D1853" t="s">
        <v>12</v>
      </c>
      <c r="E1853" t="s">
        <v>6052</v>
      </c>
      <c r="F1853" t="s">
        <v>14</v>
      </c>
      <c r="G1853" s="1">
        <v>1369.92</v>
      </c>
      <c r="H1853" t="s">
        <v>1017</v>
      </c>
      <c r="I1853" t="s">
        <v>1943</v>
      </c>
      <c r="J1853" t="s">
        <v>6053</v>
      </c>
    </row>
    <row r="1854" spans="1:10">
      <c r="A1854">
        <v>145772</v>
      </c>
      <c r="B1854" t="s">
        <v>446</v>
      </c>
      <c r="C1854" t="s">
        <v>6054</v>
      </c>
      <c r="D1854" t="s">
        <v>12</v>
      </c>
      <c r="E1854" t="s">
        <v>6055</v>
      </c>
      <c r="F1854" t="s">
        <v>14</v>
      </c>
      <c r="G1854" s="1">
        <v>1367.2</v>
      </c>
      <c r="H1854" t="s">
        <v>425</v>
      </c>
      <c r="I1854" t="s">
        <v>6056</v>
      </c>
      <c r="J1854" t="s">
        <v>6057</v>
      </c>
    </row>
    <row r="1855" spans="1:10">
      <c r="A1855">
        <v>126087</v>
      </c>
      <c r="B1855" t="s">
        <v>446</v>
      </c>
      <c r="C1855" t="s">
        <v>6058</v>
      </c>
      <c r="D1855" t="s">
        <v>12</v>
      </c>
      <c r="E1855" t="s">
        <v>6059</v>
      </c>
      <c r="F1855" t="s">
        <v>14</v>
      </c>
      <c r="G1855" s="1">
        <v>1361.59</v>
      </c>
      <c r="H1855" t="s">
        <v>1378</v>
      </c>
      <c r="I1855" t="s">
        <v>2295</v>
      </c>
      <c r="J1855" t="s">
        <v>6060</v>
      </c>
    </row>
    <row r="1856" spans="1:10">
      <c r="A1856">
        <v>148856</v>
      </c>
      <c r="B1856" t="s">
        <v>446</v>
      </c>
      <c r="C1856" t="s">
        <v>6061</v>
      </c>
      <c r="D1856" t="s">
        <v>12</v>
      </c>
      <c r="E1856" t="s">
        <v>6062</v>
      </c>
      <c r="F1856" t="s">
        <v>14</v>
      </c>
      <c r="G1856" s="1">
        <v>1360.85</v>
      </c>
      <c r="H1856" t="s">
        <v>1017</v>
      </c>
      <c r="I1856" t="s">
        <v>1943</v>
      </c>
      <c r="J1856" t="s">
        <v>6063</v>
      </c>
    </row>
    <row r="1857" spans="1:10">
      <c r="A1857">
        <v>144544</v>
      </c>
      <c r="B1857" t="s">
        <v>446</v>
      </c>
      <c r="C1857" t="s">
        <v>6064</v>
      </c>
      <c r="D1857" t="s">
        <v>12</v>
      </c>
      <c r="E1857" t="s">
        <v>6065</v>
      </c>
      <c r="F1857" t="s">
        <v>14</v>
      </c>
      <c r="G1857" s="1">
        <v>1356.8</v>
      </c>
      <c r="H1857" t="s">
        <v>36</v>
      </c>
      <c r="I1857" t="s">
        <v>6066</v>
      </c>
      <c r="J1857" t="s">
        <v>6067</v>
      </c>
    </row>
    <row r="1858" spans="1:10">
      <c r="A1858">
        <v>150747</v>
      </c>
      <c r="B1858" t="s">
        <v>446</v>
      </c>
      <c r="C1858" t="s">
        <v>6068</v>
      </c>
      <c r="D1858" t="s">
        <v>12</v>
      </c>
      <c r="E1858" t="s">
        <v>6069</v>
      </c>
      <c r="F1858" t="s">
        <v>14</v>
      </c>
      <c r="G1858" s="1">
        <v>1344.13</v>
      </c>
      <c r="H1858" t="s">
        <v>140</v>
      </c>
      <c r="I1858" t="s">
        <v>1993</v>
      </c>
      <c r="J1858" t="s">
        <v>1994</v>
      </c>
    </row>
    <row r="1859" spans="1:10">
      <c r="A1859">
        <v>144866</v>
      </c>
      <c r="B1859" t="s">
        <v>446</v>
      </c>
      <c r="C1859" t="s">
        <v>6070</v>
      </c>
      <c r="D1859" t="s">
        <v>12</v>
      </c>
      <c r="E1859" t="s">
        <v>6071</v>
      </c>
      <c r="F1859" t="s">
        <v>14</v>
      </c>
      <c r="G1859" s="1">
        <v>1330.51</v>
      </c>
      <c r="H1859" t="s">
        <v>425</v>
      </c>
      <c r="I1859" t="s">
        <v>6072</v>
      </c>
      <c r="J1859" t="s">
        <v>6073</v>
      </c>
    </row>
    <row r="1860" spans="1:10">
      <c r="A1860">
        <v>126868</v>
      </c>
      <c r="B1860" t="s">
        <v>446</v>
      </c>
      <c r="C1860" t="s">
        <v>6074</v>
      </c>
      <c r="D1860" t="s">
        <v>12</v>
      </c>
      <c r="E1860" t="s">
        <v>6075</v>
      </c>
      <c r="F1860" t="s">
        <v>14</v>
      </c>
      <c r="G1860" s="1">
        <v>1327.91</v>
      </c>
      <c r="H1860" t="s">
        <v>499</v>
      </c>
      <c r="I1860" t="s">
        <v>6076</v>
      </c>
      <c r="J1860" t="s">
        <v>6077</v>
      </c>
    </row>
    <row r="1861" spans="1:10">
      <c r="A1861">
        <v>151775</v>
      </c>
      <c r="B1861" t="s">
        <v>446</v>
      </c>
      <c r="C1861" t="s">
        <v>6078</v>
      </c>
      <c r="D1861" t="s">
        <v>12</v>
      </c>
      <c r="E1861" t="s">
        <v>6079</v>
      </c>
      <c r="F1861" t="s">
        <v>14</v>
      </c>
      <c r="G1861" s="1">
        <v>1326.8</v>
      </c>
      <c r="H1861" t="s">
        <v>777</v>
      </c>
      <c r="I1861" t="s">
        <v>4975</v>
      </c>
      <c r="J1861" t="s">
        <v>6080</v>
      </c>
    </row>
    <row r="1862" spans="1:10">
      <c r="A1862">
        <v>103645</v>
      </c>
      <c r="B1862" t="s">
        <v>446</v>
      </c>
      <c r="C1862" t="s">
        <v>6081</v>
      </c>
      <c r="D1862" t="s">
        <v>512</v>
      </c>
      <c r="E1862" t="s">
        <v>6082</v>
      </c>
      <c r="F1862" t="s">
        <v>14</v>
      </c>
      <c r="G1862" s="1">
        <v>1325.33</v>
      </c>
      <c r="H1862" t="s">
        <v>27</v>
      </c>
      <c r="I1862" t="s">
        <v>3239</v>
      </c>
      <c r="J1862" t="s">
        <v>6083</v>
      </c>
    </row>
    <row r="1863" spans="1:10">
      <c r="A1863">
        <v>112316</v>
      </c>
      <c r="B1863" t="s">
        <v>446</v>
      </c>
      <c r="C1863" t="s">
        <v>6084</v>
      </c>
      <c r="D1863" t="s">
        <v>512</v>
      </c>
      <c r="E1863" t="s">
        <v>6085</v>
      </c>
      <c r="F1863" t="s">
        <v>14</v>
      </c>
      <c r="G1863" s="1">
        <v>1322.53</v>
      </c>
      <c r="H1863" t="s">
        <v>553</v>
      </c>
      <c r="I1863" t="s">
        <v>6086</v>
      </c>
      <c r="J1863" t="s">
        <v>6087</v>
      </c>
    </row>
    <row r="1864" spans="1:10">
      <c r="A1864">
        <v>127770</v>
      </c>
      <c r="B1864" t="s">
        <v>446</v>
      </c>
      <c r="C1864" t="s">
        <v>6088</v>
      </c>
      <c r="D1864" t="s">
        <v>12</v>
      </c>
      <c r="E1864" t="s">
        <v>6089</v>
      </c>
      <c r="F1864" t="s">
        <v>14</v>
      </c>
      <c r="G1864" s="1">
        <v>1320</v>
      </c>
      <c r="H1864" t="s">
        <v>437</v>
      </c>
      <c r="I1864" t="s">
        <v>6090</v>
      </c>
      <c r="J1864" t="s">
        <v>6091</v>
      </c>
    </row>
    <row r="1865" spans="1:10">
      <c r="A1865">
        <v>147906</v>
      </c>
      <c r="B1865" t="s">
        <v>446</v>
      </c>
      <c r="C1865" t="s">
        <v>6092</v>
      </c>
      <c r="D1865" t="s">
        <v>12</v>
      </c>
      <c r="E1865" t="s">
        <v>6093</v>
      </c>
      <c r="F1865" t="s">
        <v>14</v>
      </c>
      <c r="G1865" s="1">
        <v>1304.08</v>
      </c>
      <c r="H1865" t="s">
        <v>1917</v>
      </c>
      <c r="I1865" t="s">
        <v>6094</v>
      </c>
      <c r="J1865" t="s">
        <v>6095</v>
      </c>
    </row>
    <row r="1866" spans="1:10">
      <c r="A1866">
        <v>151858</v>
      </c>
      <c r="B1866" t="s">
        <v>446</v>
      </c>
      <c r="C1866" t="s">
        <v>6096</v>
      </c>
      <c r="D1866" t="s">
        <v>12</v>
      </c>
      <c r="E1866" t="s">
        <v>6097</v>
      </c>
      <c r="F1866" t="s">
        <v>14</v>
      </c>
      <c r="G1866" s="1">
        <v>1300</v>
      </c>
      <c r="H1866" t="s">
        <v>85</v>
      </c>
      <c r="I1866" t="s">
        <v>6098</v>
      </c>
      <c r="J1866" t="s">
        <v>6099</v>
      </c>
    </row>
    <row r="1867" spans="1:10">
      <c r="A1867">
        <v>140429</v>
      </c>
      <c r="B1867" t="s">
        <v>446</v>
      </c>
      <c r="C1867" t="s">
        <v>6100</v>
      </c>
      <c r="D1867" t="s">
        <v>12</v>
      </c>
      <c r="E1867" t="s">
        <v>6101</v>
      </c>
      <c r="F1867" t="s">
        <v>14</v>
      </c>
      <c r="G1867" s="1">
        <v>1300</v>
      </c>
      <c r="H1867" t="s">
        <v>777</v>
      </c>
      <c r="I1867" t="s">
        <v>6102</v>
      </c>
      <c r="J1867" t="s">
        <v>6103</v>
      </c>
    </row>
    <row r="1868" spans="1:10">
      <c r="A1868">
        <v>143329</v>
      </c>
      <c r="B1868" t="s">
        <v>446</v>
      </c>
      <c r="C1868" t="s">
        <v>6104</v>
      </c>
      <c r="D1868" t="s">
        <v>12</v>
      </c>
      <c r="E1868" t="s">
        <v>6105</v>
      </c>
      <c r="F1868" t="s">
        <v>14</v>
      </c>
      <c r="G1868" s="1">
        <v>1282.1600000000001</v>
      </c>
      <c r="H1868" t="s">
        <v>375</v>
      </c>
      <c r="I1868" t="s">
        <v>6106</v>
      </c>
      <c r="J1868" t="s">
        <v>6107</v>
      </c>
    </row>
    <row r="1869" spans="1:10">
      <c r="A1869">
        <v>131214</v>
      </c>
      <c r="B1869" t="s">
        <v>446</v>
      </c>
      <c r="C1869" t="s">
        <v>6108</v>
      </c>
      <c r="D1869" t="s">
        <v>12</v>
      </c>
      <c r="E1869" t="s">
        <v>6109</v>
      </c>
      <c r="F1869" t="s">
        <v>14</v>
      </c>
      <c r="G1869" s="1">
        <v>1280</v>
      </c>
      <c r="H1869" t="s">
        <v>777</v>
      </c>
      <c r="I1869" t="s">
        <v>2021</v>
      </c>
      <c r="J1869" t="s">
        <v>5144</v>
      </c>
    </row>
    <row r="1870" spans="1:10">
      <c r="A1870">
        <v>150589</v>
      </c>
      <c r="B1870" t="s">
        <v>446</v>
      </c>
      <c r="C1870" t="s">
        <v>6110</v>
      </c>
      <c r="D1870" t="s">
        <v>12</v>
      </c>
      <c r="E1870" t="s">
        <v>6111</v>
      </c>
      <c r="F1870" t="s">
        <v>14</v>
      </c>
      <c r="G1870" s="1">
        <v>1278.4100000000001</v>
      </c>
      <c r="H1870" t="s">
        <v>140</v>
      </c>
      <c r="I1870" t="s">
        <v>6112</v>
      </c>
      <c r="J1870" t="s">
        <v>6113</v>
      </c>
    </row>
    <row r="1871" spans="1:10">
      <c r="A1871" t="s">
        <v>6114</v>
      </c>
      <c r="B1871" t="s">
        <v>446</v>
      </c>
      <c r="C1871" t="s">
        <v>6115</v>
      </c>
      <c r="D1871" t="s">
        <v>12</v>
      </c>
      <c r="E1871" t="s">
        <v>6116</v>
      </c>
      <c r="F1871" t="s">
        <v>168</v>
      </c>
      <c r="G1871" s="1">
        <v>1272.08</v>
      </c>
      <c r="H1871" t="s">
        <v>777</v>
      </c>
      <c r="I1871" t="s">
        <v>6117</v>
      </c>
      <c r="J1871" t="s">
        <v>6118</v>
      </c>
    </row>
    <row r="1872" spans="1:10">
      <c r="A1872">
        <v>115270</v>
      </c>
      <c r="B1872" t="s">
        <v>446</v>
      </c>
      <c r="C1872" t="s">
        <v>6119</v>
      </c>
      <c r="D1872" t="s">
        <v>12</v>
      </c>
      <c r="E1872" t="s">
        <v>6120</v>
      </c>
      <c r="F1872" t="s">
        <v>14</v>
      </c>
      <c r="G1872" s="1">
        <v>1268.75</v>
      </c>
      <c r="H1872" t="s">
        <v>36</v>
      </c>
      <c r="I1872" t="s">
        <v>1820</v>
      </c>
      <c r="J1872" t="s">
        <v>5640</v>
      </c>
    </row>
    <row r="1873" spans="1:10">
      <c r="A1873">
        <v>131178</v>
      </c>
      <c r="B1873" t="s">
        <v>446</v>
      </c>
      <c r="C1873" t="s">
        <v>6121</v>
      </c>
      <c r="D1873" t="s">
        <v>12</v>
      </c>
      <c r="E1873" t="s">
        <v>6122</v>
      </c>
      <c r="F1873" t="s">
        <v>14</v>
      </c>
      <c r="G1873" s="1">
        <v>1263.18</v>
      </c>
      <c r="H1873" t="s">
        <v>375</v>
      </c>
      <c r="I1873" t="s">
        <v>2442</v>
      </c>
      <c r="J1873" t="s">
        <v>6123</v>
      </c>
    </row>
    <row r="1874" spans="1:10">
      <c r="A1874">
        <v>152006</v>
      </c>
      <c r="B1874" t="s">
        <v>446</v>
      </c>
      <c r="C1874" t="s">
        <v>6124</v>
      </c>
      <c r="D1874" t="s">
        <v>12</v>
      </c>
      <c r="E1874" t="s">
        <v>6125</v>
      </c>
      <c r="F1874" t="s">
        <v>14</v>
      </c>
      <c r="G1874" s="1">
        <v>1254.52</v>
      </c>
      <c r="H1874" t="s">
        <v>72</v>
      </c>
      <c r="I1874" t="s">
        <v>2351</v>
      </c>
      <c r="J1874" t="s">
        <v>6126</v>
      </c>
    </row>
    <row r="1875" spans="1:10">
      <c r="A1875">
        <v>150635</v>
      </c>
      <c r="B1875" t="s">
        <v>446</v>
      </c>
      <c r="C1875" t="s">
        <v>6127</v>
      </c>
      <c r="D1875" t="s">
        <v>12</v>
      </c>
      <c r="E1875" t="s">
        <v>6128</v>
      </c>
      <c r="F1875" t="s">
        <v>168</v>
      </c>
      <c r="G1875" s="1">
        <v>1252.8499999999999</v>
      </c>
      <c r="H1875" t="s">
        <v>1378</v>
      </c>
      <c r="I1875" t="s">
        <v>6129</v>
      </c>
      <c r="J1875" t="s">
        <v>6130</v>
      </c>
    </row>
    <row r="1876" spans="1:10">
      <c r="A1876">
        <v>122666</v>
      </c>
      <c r="B1876" t="s">
        <v>446</v>
      </c>
      <c r="C1876" t="s">
        <v>6131</v>
      </c>
      <c r="D1876" t="s">
        <v>512</v>
      </c>
      <c r="E1876" t="s">
        <v>6132</v>
      </c>
      <c r="F1876" t="s">
        <v>14</v>
      </c>
      <c r="G1876" s="1">
        <v>1250.17</v>
      </c>
      <c r="H1876" t="s">
        <v>27</v>
      </c>
      <c r="I1876" t="s">
        <v>3239</v>
      </c>
      <c r="J1876" t="s">
        <v>6133</v>
      </c>
    </row>
    <row r="1877" spans="1:10">
      <c r="A1877">
        <v>152407</v>
      </c>
      <c r="B1877" t="s">
        <v>446</v>
      </c>
      <c r="C1877" t="s">
        <v>6134</v>
      </c>
      <c r="D1877" t="s">
        <v>12</v>
      </c>
      <c r="E1877" t="s">
        <v>6135</v>
      </c>
      <c r="F1877" t="s">
        <v>14</v>
      </c>
      <c r="G1877" s="1">
        <v>1250</v>
      </c>
      <c r="H1877" t="s">
        <v>85</v>
      </c>
      <c r="I1877" t="s">
        <v>6136</v>
      </c>
      <c r="J1877" t="s">
        <v>6137</v>
      </c>
    </row>
    <row r="1878" spans="1:10">
      <c r="A1878">
        <v>121717</v>
      </c>
      <c r="B1878" t="s">
        <v>446</v>
      </c>
      <c r="C1878" t="s">
        <v>6138</v>
      </c>
      <c r="D1878" t="s">
        <v>245</v>
      </c>
      <c r="E1878" t="s">
        <v>6139</v>
      </c>
      <c r="F1878" t="s">
        <v>14</v>
      </c>
      <c r="G1878" s="1">
        <v>1250</v>
      </c>
      <c r="H1878" t="s">
        <v>27</v>
      </c>
      <c r="I1878" t="s">
        <v>27</v>
      </c>
      <c r="J1878" t="s">
        <v>6140</v>
      </c>
    </row>
    <row r="1879" spans="1:10">
      <c r="A1879">
        <v>145579</v>
      </c>
      <c r="B1879" t="s">
        <v>446</v>
      </c>
      <c r="C1879" t="s">
        <v>6141</v>
      </c>
      <c r="D1879" t="s">
        <v>12</v>
      </c>
      <c r="E1879" t="s">
        <v>6142</v>
      </c>
      <c r="F1879" t="s">
        <v>14</v>
      </c>
      <c r="G1879" s="1">
        <v>1243.45</v>
      </c>
      <c r="H1879" t="s">
        <v>1378</v>
      </c>
      <c r="I1879" t="s">
        <v>1379</v>
      </c>
      <c r="J1879" t="s">
        <v>1380</v>
      </c>
    </row>
    <row r="1880" spans="1:10">
      <c r="A1880">
        <v>148750</v>
      </c>
      <c r="B1880" t="s">
        <v>446</v>
      </c>
      <c r="C1880" t="s">
        <v>6143</v>
      </c>
      <c r="D1880" t="s">
        <v>12</v>
      </c>
      <c r="E1880" t="s">
        <v>6144</v>
      </c>
      <c r="F1880" t="s">
        <v>14</v>
      </c>
      <c r="G1880" s="1">
        <v>1231.73</v>
      </c>
      <c r="H1880" t="s">
        <v>56</v>
      </c>
      <c r="I1880" t="s">
        <v>5963</v>
      </c>
      <c r="J1880" t="s">
        <v>6145</v>
      </c>
    </row>
    <row r="1881" spans="1:10">
      <c r="A1881">
        <v>149181</v>
      </c>
      <c r="B1881" t="s">
        <v>446</v>
      </c>
      <c r="C1881" t="s">
        <v>6146</v>
      </c>
      <c r="D1881" t="s">
        <v>12</v>
      </c>
      <c r="E1881" t="s">
        <v>6147</v>
      </c>
      <c r="F1881" t="s">
        <v>14</v>
      </c>
      <c r="G1881" s="1">
        <v>1229.2</v>
      </c>
      <c r="H1881" t="s">
        <v>1378</v>
      </c>
      <c r="I1881" t="s">
        <v>1379</v>
      </c>
      <c r="J1881" t="s">
        <v>1380</v>
      </c>
    </row>
    <row r="1882" spans="1:10">
      <c r="A1882">
        <v>115244</v>
      </c>
      <c r="B1882" t="s">
        <v>446</v>
      </c>
      <c r="C1882" t="s">
        <v>6148</v>
      </c>
      <c r="D1882" t="s">
        <v>12</v>
      </c>
      <c r="E1882" t="s">
        <v>6149</v>
      </c>
      <c r="F1882" t="s">
        <v>14</v>
      </c>
      <c r="G1882" s="1">
        <v>1200.96</v>
      </c>
      <c r="H1882" t="s">
        <v>232</v>
      </c>
      <c r="I1882" t="s">
        <v>6150</v>
      </c>
      <c r="J1882" t="s">
        <v>6151</v>
      </c>
    </row>
    <row r="1883" spans="1:10">
      <c r="A1883">
        <v>152544</v>
      </c>
      <c r="B1883" t="s">
        <v>446</v>
      </c>
      <c r="C1883" t="s">
        <v>6152</v>
      </c>
      <c r="D1883" t="s">
        <v>12</v>
      </c>
      <c r="E1883" t="s">
        <v>6153</v>
      </c>
      <c r="F1883" t="s">
        <v>14</v>
      </c>
      <c r="G1883" s="1">
        <v>1200</v>
      </c>
      <c r="H1883" t="s">
        <v>126</v>
      </c>
      <c r="I1883" t="s">
        <v>156</v>
      </c>
      <c r="J1883" t="s">
        <v>1037</v>
      </c>
    </row>
    <row r="1884" spans="1:10">
      <c r="A1884">
        <v>103079</v>
      </c>
      <c r="B1884" t="s">
        <v>446</v>
      </c>
      <c r="C1884" t="s">
        <v>6154</v>
      </c>
      <c r="D1884" t="s">
        <v>12</v>
      </c>
      <c r="E1884" t="s">
        <v>6155</v>
      </c>
      <c r="F1884" t="s">
        <v>14</v>
      </c>
      <c r="G1884" s="1">
        <v>1200</v>
      </c>
      <c r="H1884" t="s">
        <v>425</v>
      </c>
      <c r="I1884" t="s">
        <v>6156</v>
      </c>
      <c r="J1884" t="s">
        <v>6157</v>
      </c>
    </row>
    <row r="1885" spans="1:10">
      <c r="A1885">
        <v>103369</v>
      </c>
      <c r="B1885" t="s">
        <v>446</v>
      </c>
      <c r="C1885" t="s">
        <v>6158</v>
      </c>
      <c r="D1885" t="s">
        <v>1986</v>
      </c>
      <c r="E1885" t="s">
        <v>6159</v>
      </c>
      <c r="F1885" t="s">
        <v>14</v>
      </c>
      <c r="G1885" s="1">
        <v>1196.1199999999999</v>
      </c>
      <c r="H1885" t="s">
        <v>36</v>
      </c>
      <c r="I1885" t="s">
        <v>6160</v>
      </c>
      <c r="J1885" t="s">
        <v>6161</v>
      </c>
    </row>
    <row r="1886" spans="1:10">
      <c r="A1886">
        <v>123832</v>
      </c>
      <c r="B1886" t="s">
        <v>446</v>
      </c>
      <c r="C1886" t="s">
        <v>6162</v>
      </c>
      <c r="D1886" t="s">
        <v>12</v>
      </c>
      <c r="E1886" t="s">
        <v>6163</v>
      </c>
      <c r="F1886" t="s">
        <v>14</v>
      </c>
      <c r="G1886" s="1">
        <v>1192.5</v>
      </c>
      <c r="H1886" t="s">
        <v>140</v>
      </c>
      <c r="I1886" t="s">
        <v>1748</v>
      </c>
      <c r="J1886" t="s">
        <v>6164</v>
      </c>
    </row>
    <row r="1887" spans="1:10">
      <c r="A1887">
        <v>131755</v>
      </c>
      <c r="B1887" t="s">
        <v>446</v>
      </c>
      <c r="C1887" t="s">
        <v>6165</v>
      </c>
      <c r="D1887" t="s">
        <v>12</v>
      </c>
      <c r="E1887" t="s">
        <v>6166</v>
      </c>
      <c r="F1887" t="s">
        <v>14</v>
      </c>
      <c r="G1887" s="1">
        <v>1185</v>
      </c>
      <c r="H1887" t="s">
        <v>918</v>
      </c>
      <c r="I1887" t="s">
        <v>4209</v>
      </c>
      <c r="J1887" t="s">
        <v>4210</v>
      </c>
    </row>
    <row r="1888" spans="1:10">
      <c r="A1888">
        <v>145055</v>
      </c>
      <c r="B1888" t="s">
        <v>446</v>
      </c>
      <c r="C1888" t="s">
        <v>6167</v>
      </c>
      <c r="D1888" t="s">
        <v>12</v>
      </c>
      <c r="E1888" t="s">
        <v>6168</v>
      </c>
      <c r="F1888" t="s">
        <v>14</v>
      </c>
      <c r="G1888" s="1">
        <v>1182.3499999999999</v>
      </c>
      <c r="H1888" t="s">
        <v>140</v>
      </c>
      <c r="I1888" t="s">
        <v>1704</v>
      </c>
      <c r="J1888" t="s">
        <v>6169</v>
      </c>
    </row>
    <row r="1889" spans="1:10">
      <c r="A1889">
        <v>125881</v>
      </c>
      <c r="B1889" t="s">
        <v>446</v>
      </c>
      <c r="C1889" t="s">
        <v>6170</v>
      </c>
      <c r="D1889" t="s">
        <v>12</v>
      </c>
      <c r="E1889" t="s">
        <v>6171</v>
      </c>
      <c r="F1889" t="s">
        <v>14</v>
      </c>
      <c r="G1889" s="1">
        <v>1172.27</v>
      </c>
      <c r="H1889" t="s">
        <v>95</v>
      </c>
      <c r="I1889" t="s">
        <v>2070</v>
      </c>
      <c r="J1889" t="s">
        <v>6172</v>
      </c>
    </row>
    <row r="1890" spans="1:10">
      <c r="A1890">
        <v>146309</v>
      </c>
      <c r="B1890" t="s">
        <v>446</v>
      </c>
      <c r="C1890" t="s">
        <v>6173</v>
      </c>
      <c r="D1890" t="s">
        <v>12</v>
      </c>
      <c r="E1890" t="s">
        <v>6174</v>
      </c>
      <c r="F1890" t="s">
        <v>14</v>
      </c>
      <c r="G1890" s="1">
        <v>1170</v>
      </c>
      <c r="H1890" t="s">
        <v>777</v>
      </c>
      <c r="I1890" t="s">
        <v>2021</v>
      </c>
      <c r="J1890" t="s">
        <v>2153</v>
      </c>
    </row>
    <row r="1891" spans="1:10">
      <c r="A1891">
        <v>146222</v>
      </c>
      <c r="B1891" t="s">
        <v>446</v>
      </c>
      <c r="C1891" t="s">
        <v>6175</v>
      </c>
      <c r="D1891" t="s">
        <v>12</v>
      </c>
      <c r="E1891" t="s">
        <v>6176</v>
      </c>
      <c r="F1891" t="s">
        <v>168</v>
      </c>
      <c r="G1891" s="1">
        <v>1170</v>
      </c>
      <c r="H1891" t="s">
        <v>140</v>
      </c>
      <c r="I1891" t="s">
        <v>1890</v>
      </c>
      <c r="J1891" t="s">
        <v>1596</v>
      </c>
    </row>
    <row r="1892" spans="1:10">
      <c r="A1892">
        <v>112205</v>
      </c>
      <c r="B1892" t="s">
        <v>446</v>
      </c>
      <c r="C1892" t="s">
        <v>6177</v>
      </c>
      <c r="D1892" t="s">
        <v>12</v>
      </c>
      <c r="E1892" t="s">
        <v>6178</v>
      </c>
      <c r="F1892" t="s">
        <v>14</v>
      </c>
      <c r="G1892" s="1">
        <v>1169.76</v>
      </c>
      <c r="H1892" t="s">
        <v>232</v>
      </c>
      <c r="I1892" t="s">
        <v>2723</v>
      </c>
      <c r="J1892" t="s">
        <v>6179</v>
      </c>
    </row>
    <row r="1893" spans="1:10">
      <c r="A1893">
        <v>109834</v>
      </c>
      <c r="B1893" t="s">
        <v>446</v>
      </c>
      <c r="C1893" t="s">
        <v>6180</v>
      </c>
      <c r="D1893" t="s">
        <v>12</v>
      </c>
      <c r="E1893" t="s">
        <v>6181</v>
      </c>
      <c r="F1893" t="s">
        <v>14</v>
      </c>
      <c r="G1893" s="1">
        <v>1168.6300000000001</v>
      </c>
      <c r="H1893" t="s">
        <v>140</v>
      </c>
      <c r="I1893" t="s">
        <v>4736</v>
      </c>
      <c r="J1893" t="s">
        <v>6182</v>
      </c>
    </row>
    <row r="1894" spans="1:10">
      <c r="A1894">
        <v>129740</v>
      </c>
      <c r="B1894" t="s">
        <v>446</v>
      </c>
      <c r="C1894" t="s">
        <v>6183</v>
      </c>
      <c r="D1894" t="s">
        <v>12</v>
      </c>
      <c r="E1894" t="s">
        <v>6184</v>
      </c>
      <c r="F1894" t="s">
        <v>14</v>
      </c>
      <c r="G1894" s="1">
        <v>1166.32</v>
      </c>
      <c r="H1894" t="s">
        <v>232</v>
      </c>
      <c r="I1894" t="s">
        <v>6185</v>
      </c>
      <c r="J1894" t="s">
        <v>6186</v>
      </c>
    </row>
    <row r="1895" spans="1:10">
      <c r="A1895">
        <v>105668</v>
      </c>
      <c r="B1895" t="s">
        <v>446</v>
      </c>
      <c r="C1895" t="s">
        <v>6187</v>
      </c>
      <c r="D1895" t="s">
        <v>12</v>
      </c>
      <c r="E1895" t="s">
        <v>6188</v>
      </c>
      <c r="F1895" t="s">
        <v>14</v>
      </c>
      <c r="G1895" s="1">
        <v>1158.21</v>
      </c>
      <c r="H1895" t="s">
        <v>232</v>
      </c>
      <c r="I1895" t="s">
        <v>2182</v>
      </c>
      <c r="J1895" t="s">
        <v>6189</v>
      </c>
    </row>
    <row r="1896" spans="1:10">
      <c r="A1896">
        <v>103929</v>
      </c>
      <c r="B1896" t="s">
        <v>446</v>
      </c>
      <c r="C1896" t="s">
        <v>6190</v>
      </c>
      <c r="D1896" t="s">
        <v>12</v>
      </c>
      <c r="E1896" t="s">
        <v>6191</v>
      </c>
      <c r="F1896" t="s">
        <v>168</v>
      </c>
      <c r="G1896" s="1">
        <v>1156.75</v>
      </c>
      <c r="H1896" t="s">
        <v>425</v>
      </c>
      <c r="I1896" t="s">
        <v>6192</v>
      </c>
      <c r="J1896" t="s">
        <v>6193</v>
      </c>
    </row>
    <row r="1897" spans="1:10">
      <c r="A1897">
        <v>148215</v>
      </c>
      <c r="B1897" t="s">
        <v>446</v>
      </c>
      <c r="C1897" t="s">
        <v>6194</v>
      </c>
      <c r="D1897" t="s">
        <v>12</v>
      </c>
      <c r="E1897" t="s">
        <v>6195</v>
      </c>
      <c r="F1897" t="s">
        <v>14</v>
      </c>
      <c r="G1897" s="1">
        <v>1152.75</v>
      </c>
      <c r="H1897" t="s">
        <v>1378</v>
      </c>
      <c r="I1897" t="s">
        <v>1379</v>
      </c>
      <c r="J1897" t="s">
        <v>6196</v>
      </c>
    </row>
    <row r="1898" spans="1:10">
      <c r="A1898">
        <v>150242</v>
      </c>
      <c r="B1898" t="s">
        <v>446</v>
      </c>
      <c r="C1898" t="s">
        <v>6197</v>
      </c>
      <c r="D1898" t="s">
        <v>12</v>
      </c>
      <c r="E1898" t="s">
        <v>6198</v>
      </c>
      <c r="F1898" t="s">
        <v>14</v>
      </c>
      <c r="G1898" s="1">
        <v>1150</v>
      </c>
      <c r="H1898" t="s">
        <v>777</v>
      </c>
      <c r="I1898" t="s">
        <v>6199</v>
      </c>
      <c r="J1898" t="s">
        <v>6200</v>
      </c>
    </row>
    <row r="1899" spans="1:10">
      <c r="A1899">
        <v>129099</v>
      </c>
      <c r="B1899" t="s">
        <v>446</v>
      </c>
      <c r="C1899" t="s">
        <v>6201</v>
      </c>
      <c r="D1899" t="s">
        <v>12</v>
      </c>
      <c r="E1899" t="s">
        <v>6202</v>
      </c>
      <c r="F1899" t="s">
        <v>14</v>
      </c>
      <c r="G1899" s="1">
        <v>1147.83</v>
      </c>
      <c r="H1899" t="s">
        <v>36</v>
      </c>
      <c r="I1899" t="s">
        <v>6203</v>
      </c>
      <c r="J1899" t="s">
        <v>6204</v>
      </c>
    </row>
    <row r="1900" spans="1:10">
      <c r="A1900">
        <v>151910</v>
      </c>
      <c r="B1900" t="s">
        <v>446</v>
      </c>
      <c r="C1900" t="s">
        <v>6205</v>
      </c>
      <c r="D1900" t="s">
        <v>12</v>
      </c>
      <c r="E1900" t="s">
        <v>6206</v>
      </c>
      <c r="F1900" t="s">
        <v>14</v>
      </c>
      <c r="G1900" s="1">
        <v>1140</v>
      </c>
      <c r="H1900" t="s">
        <v>425</v>
      </c>
      <c r="I1900" t="s">
        <v>6156</v>
      </c>
      <c r="J1900" t="s">
        <v>6157</v>
      </c>
    </row>
    <row r="1901" spans="1:10">
      <c r="A1901">
        <v>150461</v>
      </c>
      <c r="B1901" t="s">
        <v>446</v>
      </c>
      <c r="C1901" t="s">
        <v>6207</v>
      </c>
      <c r="D1901" t="s">
        <v>12</v>
      </c>
      <c r="E1901" t="s">
        <v>6208</v>
      </c>
      <c r="F1901" t="s">
        <v>14</v>
      </c>
      <c r="G1901" s="1">
        <v>1127.5</v>
      </c>
      <c r="H1901" t="s">
        <v>140</v>
      </c>
      <c r="I1901" t="s">
        <v>5375</v>
      </c>
      <c r="J1901" t="s">
        <v>6209</v>
      </c>
    </row>
    <row r="1902" spans="1:10">
      <c r="A1902">
        <v>128730</v>
      </c>
      <c r="B1902" t="s">
        <v>446</v>
      </c>
      <c r="C1902" t="s">
        <v>6210</v>
      </c>
      <c r="D1902" t="s">
        <v>12</v>
      </c>
      <c r="E1902" t="s">
        <v>6211</v>
      </c>
      <c r="F1902" t="s">
        <v>14</v>
      </c>
      <c r="G1902" s="1">
        <v>1125</v>
      </c>
      <c r="H1902" t="s">
        <v>140</v>
      </c>
      <c r="I1902" t="s">
        <v>1704</v>
      </c>
      <c r="J1902" t="s">
        <v>6212</v>
      </c>
    </row>
    <row r="1903" spans="1:10">
      <c r="A1903">
        <v>149425</v>
      </c>
      <c r="B1903" t="s">
        <v>446</v>
      </c>
      <c r="C1903" t="s">
        <v>6213</v>
      </c>
      <c r="D1903" t="s">
        <v>12</v>
      </c>
      <c r="E1903" t="s">
        <v>6214</v>
      </c>
      <c r="F1903" t="s">
        <v>14</v>
      </c>
      <c r="G1903" s="1">
        <v>1120</v>
      </c>
      <c r="H1903" t="s">
        <v>56</v>
      </c>
      <c r="I1903" t="s">
        <v>1138</v>
      </c>
      <c r="J1903" t="s">
        <v>6215</v>
      </c>
    </row>
    <row r="1904" spans="1:10">
      <c r="A1904">
        <v>143289</v>
      </c>
      <c r="B1904" t="s">
        <v>446</v>
      </c>
      <c r="C1904" t="s">
        <v>6216</v>
      </c>
      <c r="D1904" t="s">
        <v>12</v>
      </c>
      <c r="E1904" t="s">
        <v>6217</v>
      </c>
      <c r="F1904" t="s">
        <v>14</v>
      </c>
      <c r="G1904" s="1">
        <v>1116</v>
      </c>
      <c r="H1904" t="s">
        <v>36</v>
      </c>
      <c r="I1904" t="s">
        <v>5927</v>
      </c>
      <c r="J1904" t="s">
        <v>5928</v>
      </c>
    </row>
    <row r="1905" spans="1:10">
      <c r="A1905">
        <v>151206</v>
      </c>
      <c r="B1905" t="s">
        <v>446</v>
      </c>
      <c r="C1905" t="s">
        <v>6218</v>
      </c>
      <c r="D1905" t="s">
        <v>12</v>
      </c>
      <c r="E1905" t="s">
        <v>6219</v>
      </c>
      <c r="F1905" t="s">
        <v>14</v>
      </c>
      <c r="G1905" s="1">
        <v>1115</v>
      </c>
      <c r="H1905" t="s">
        <v>499</v>
      </c>
      <c r="I1905" t="s">
        <v>2632</v>
      </c>
      <c r="J1905" t="s">
        <v>6220</v>
      </c>
    </row>
    <row r="1906" spans="1:10">
      <c r="A1906">
        <v>147147</v>
      </c>
      <c r="B1906" t="s">
        <v>446</v>
      </c>
      <c r="C1906" t="s">
        <v>6221</v>
      </c>
      <c r="D1906" t="s">
        <v>12</v>
      </c>
      <c r="E1906" t="s">
        <v>6222</v>
      </c>
      <c r="F1906" t="s">
        <v>14</v>
      </c>
      <c r="G1906" s="1">
        <v>1103.5</v>
      </c>
      <c r="H1906" t="s">
        <v>1378</v>
      </c>
      <c r="I1906" t="s">
        <v>2295</v>
      </c>
      <c r="J1906" t="s">
        <v>6223</v>
      </c>
    </row>
    <row r="1907" spans="1:10">
      <c r="A1907">
        <v>115322</v>
      </c>
      <c r="B1907" t="s">
        <v>446</v>
      </c>
      <c r="C1907" t="s">
        <v>6224</v>
      </c>
      <c r="D1907" t="s">
        <v>12</v>
      </c>
      <c r="E1907" t="s">
        <v>6225</v>
      </c>
      <c r="F1907" t="s">
        <v>14</v>
      </c>
      <c r="G1907" s="1">
        <v>1093.6600000000001</v>
      </c>
      <c r="H1907" t="s">
        <v>499</v>
      </c>
      <c r="I1907" t="s">
        <v>3866</v>
      </c>
      <c r="J1907" t="s">
        <v>6226</v>
      </c>
    </row>
    <row r="1908" spans="1:10">
      <c r="A1908">
        <v>140118</v>
      </c>
      <c r="B1908" t="s">
        <v>446</v>
      </c>
      <c r="C1908" t="s">
        <v>6227</v>
      </c>
      <c r="D1908" t="s">
        <v>12</v>
      </c>
      <c r="E1908" t="s">
        <v>6228</v>
      </c>
      <c r="F1908" t="s">
        <v>14</v>
      </c>
      <c r="G1908" s="1">
        <v>1091.07</v>
      </c>
      <c r="H1908" t="s">
        <v>232</v>
      </c>
      <c r="I1908" t="s">
        <v>6229</v>
      </c>
      <c r="J1908" t="s">
        <v>6230</v>
      </c>
    </row>
    <row r="1909" spans="1:10">
      <c r="A1909">
        <v>113712</v>
      </c>
      <c r="B1909" t="s">
        <v>446</v>
      </c>
      <c r="C1909" t="s">
        <v>6231</v>
      </c>
      <c r="D1909" t="s">
        <v>12</v>
      </c>
      <c r="E1909" t="s">
        <v>6232</v>
      </c>
      <c r="F1909" t="s">
        <v>14</v>
      </c>
      <c r="G1909" s="1">
        <v>1079</v>
      </c>
      <c r="H1909" t="s">
        <v>499</v>
      </c>
      <c r="I1909" t="s">
        <v>6233</v>
      </c>
      <c r="J1909" t="s">
        <v>6234</v>
      </c>
    </row>
    <row r="1910" spans="1:10">
      <c r="A1910">
        <v>149334</v>
      </c>
      <c r="B1910" t="s">
        <v>446</v>
      </c>
      <c r="C1910" t="s">
        <v>6235</v>
      </c>
      <c r="D1910" t="s">
        <v>12</v>
      </c>
      <c r="E1910" t="s">
        <v>6236</v>
      </c>
      <c r="F1910" t="s">
        <v>14</v>
      </c>
      <c r="G1910" s="1">
        <v>1078.98</v>
      </c>
      <c r="H1910" t="s">
        <v>437</v>
      </c>
      <c r="I1910" t="s">
        <v>6237</v>
      </c>
      <c r="J1910" t="s">
        <v>6238</v>
      </c>
    </row>
    <row r="1911" spans="1:10">
      <c r="A1911">
        <v>112993</v>
      </c>
      <c r="B1911" t="s">
        <v>446</v>
      </c>
      <c r="C1911" t="s">
        <v>6239</v>
      </c>
      <c r="D1911" t="s">
        <v>12</v>
      </c>
      <c r="E1911" t="s">
        <v>6240</v>
      </c>
      <c r="F1911" t="s">
        <v>14</v>
      </c>
      <c r="G1911" s="1">
        <v>1052.8</v>
      </c>
      <c r="H1911" t="s">
        <v>1017</v>
      </c>
      <c r="I1911" t="s">
        <v>6241</v>
      </c>
      <c r="J1911" t="s">
        <v>6242</v>
      </c>
    </row>
    <row r="1912" spans="1:10">
      <c r="A1912">
        <v>119087</v>
      </c>
      <c r="B1912" t="s">
        <v>446</v>
      </c>
      <c r="C1912" t="s">
        <v>6243</v>
      </c>
      <c r="D1912" t="s">
        <v>12</v>
      </c>
      <c r="E1912" t="s">
        <v>6244</v>
      </c>
      <c r="F1912" t="s">
        <v>14</v>
      </c>
      <c r="G1912" s="1">
        <v>1050</v>
      </c>
      <c r="H1912" t="s">
        <v>140</v>
      </c>
      <c r="I1912" t="s">
        <v>1361</v>
      </c>
      <c r="J1912" t="s">
        <v>6245</v>
      </c>
    </row>
    <row r="1913" spans="1:10">
      <c r="A1913">
        <v>119466</v>
      </c>
      <c r="B1913" t="s">
        <v>446</v>
      </c>
      <c r="C1913" t="s">
        <v>6246</v>
      </c>
      <c r="D1913" t="s">
        <v>12</v>
      </c>
      <c r="E1913" t="s">
        <v>6247</v>
      </c>
      <c r="F1913" t="s">
        <v>14</v>
      </c>
      <c r="G1913" s="1">
        <v>1042.81</v>
      </c>
      <c r="H1913" t="s">
        <v>140</v>
      </c>
      <c r="I1913" t="s">
        <v>6248</v>
      </c>
      <c r="J1913" t="s">
        <v>6249</v>
      </c>
    </row>
    <row r="1914" spans="1:10">
      <c r="A1914">
        <v>131212</v>
      </c>
      <c r="B1914" t="s">
        <v>446</v>
      </c>
      <c r="C1914" t="s">
        <v>6250</v>
      </c>
      <c r="D1914" t="s">
        <v>12</v>
      </c>
      <c r="E1914" t="s">
        <v>6251</v>
      </c>
      <c r="F1914" t="s">
        <v>14</v>
      </c>
      <c r="G1914" s="1">
        <v>1039.98</v>
      </c>
      <c r="H1914" t="s">
        <v>56</v>
      </c>
      <c r="I1914" t="s">
        <v>4086</v>
      </c>
      <c r="J1914" t="s">
        <v>6252</v>
      </c>
    </row>
    <row r="1915" spans="1:10">
      <c r="A1915">
        <v>105122</v>
      </c>
      <c r="B1915" t="s">
        <v>446</v>
      </c>
      <c r="C1915" t="s">
        <v>6253</v>
      </c>
      <c r="D1915" t="s">
        <v>12</v>
      </c>
      <c r="E1915" t="s">
        <v>6254</v>
      </c>
      <c r="F1915" t="s">
        <v>14</v>
      </c>
      <c r="G1915" s="1">
        <v>1038.97</v>
      </c>
      <c r="H1915" t="s">
        <v>1017</v>
      </c>
      <c r="I1915" t="s">
        <v>1943</v>
      </c>
      <c r="J1915" t="s">
        <v>6255</v>
      </c>
    </row>
    <row r="1916" spans="1:10">
      <c r="A1916">
        <v>102281</v>
      </c>
      <c r="B1916" t="s">
        <v>446</v>
      </c>
      <c r="C1916" t="s">
        <v>6256</v>
      </c>
      <c r="D1916" t="s">
        <v>12</v>
      </c>
      <c r="E1916" t="s">
        <v>6257</v>
      </c>
      <c r="F1916" t="s">
        <v>14</v>
      </c>
      <c r="G1916" s="1">
        <v>1029.51</v>
      </c>
      <c r="H1916" t="s">
        <v>36</v>
      </c>
      <c r="I1916" t="s">
        <v>6258</v>
      </c>
      <c r="J1916" t="s">
        <v>6259</v>
      </c>
    </row>
    <row r="1917" spans="1:10">
      <c r="A1917">
        <v>150906</v>
      </c>
      <c r="B1917" t="s">
        <v>446</v>
      </c>
      <c r="C1917" t="s">
        <v>6260</v>
      </c>
      <c r="D1917" t="s">
        <v>12</v>
      </c>
      <c r="E1917" t="s">
        <v>6261</v>
      </c>
      <c r="F1917" t="s">
        <v>14</v>
      </c>
      <c r="G1917" s="1">
        <v>1021.16</v>
      </c>
      <c r="H1917" t="s">
        <v>499</v>
      </c>
      <c r="I1917" t="s">
        <v>1878</v>
      </c>
      <c r="J1917" t="s">
        <v>6262</v>
      </c>
    </row>
    <row r="1918" spans="1:10">
      <c r="A1918">
        <v>152477</v>
      </c>
      <c r="B1918" t="s">
        <v>446</v>
      </c>
      <c r="C1918" t="s">
        <v>6263</v>
      </c>
      <c r="D1918" t="s">
        <v>12</v>
      </c>
      <c r="E1918" t="s">
        <v>6264</v>
      </c>
      <c r="F1918" t="s">
        <v>14</v>
      </c>
      <c r="G1918" s="1">
        <v>1019.21</v>
      </c>
      <c r="H1918" t="s">
        <v>1017</v>
      </c>
      <c r="I1918" t="s">
        <v>6241</v>
      </c>
      <c r="J1918" t="s">
        <v>5514</v>
      </c>
    </row>
    <row r="1919" spans="1:10">
      <c r="A1919">
        <v>132108</v>
      </c>
      <c r="B1919" t="s">
        <v>446</v>
      </c>
      <c r="C1919" t="s">
        <v>6265</v>
      </c>
      <c r="D1919" t="s">
        <v>12</v>
      </c>
      <c r="E1919" t="s">
        <v>6266</v>
      </c>
      <c r="F1919" t="s">
        <v>14</v>
      </c>
      <c r="G1919" s="1">
        <v>1019.21</v>
      </c>
      <c r="H1919" t="s">
        <v>1017</v>
      </c>
      <c r="I1919" t="s">
        <v>6241</v>
      </c>
      <c r="J1919" t="s">
        <v>5514</v>
      </c>
    </row>
    <row r="1920" spans="1:10">
      <c r="A1920">
        <v>120555</v>
      </c>
      <c r="B1920" t="s">
        <v>446</v>
      </c>
      <c r="C1920" t="s">
        <v>6267</v>
      </c>
      <c r="D1920" t="s">
        <v>12</v>
      </c>
      <c r="E1920" t="s">
        <v>6268</v>
      </c>
      <c r="F1920" t="s">
        <v>14</v>
      </c>
      <c r="G1920" s="1">
        <v>1018</v>
      </c>
      <c r="H1920" t="s">
        <v>140</v>
      </c>
      <c r="I1920" t="s">
        <v>6269</v>
      </c>
      <c r="J1920" t="s">
        <v>6270</v>
      </c>
    </row>
    <row r="1921" spans="1:10">
      <c r="A1921">
        <v>144316</v>
      </c>
      <c r="B1921" t="s">
        <v>446</v>
      </c>
      <c r="C1921" t="s">
        <v>6271</v>
      </c>
      <c r="D1921" t="s">
        <v>12</v>
      </c>
      <c r="E1921" t="s">
        <v>6272</v>
      </c>
      <c r="F1921" t="s">
        <v>14</v>
      </c>
      <c r="G1921" s="1">
        <v>1008.64</v>
      </c>
      <c r="H1921" t="s">
        <v>1017</v>
      </c>
      <c r="I1921" t="s">
        <v>5027</v>
      </c>
      <c r="J1921" t="s">
        <v>6273</v>
      </c>
    </row>
    <row r="1922" spans="1:10">
      <c r="A1922">
        <v>124309</v>
      </c>
      <c r="B1922" t="s">
        <v>446</v>
      </c>
      <c r="C1922" t="s">
        <v>6274</v>
      </c>
      <c r="D1922" t="s">
        <v>2098</v>
      </c>
      <c r="E1922" t="s">
        <v>6275</v>
      </c>
      <c r="F1922" t="s">
        <v>14</v>
      </c>
      <c r="G1922" s="1">
        <v>1000.51</v>
      </c>
      <c r="H1922" t="s">
        <v>375</v>
      </c>
      <c r="I1922" t="s">
        <v>2100</v>
      </c>
      <c r="J1922" t="s">
        <v>6276</v>
      </c>
    </row>
    <row r="1923" spans="1:10">
      <c r="A1923">
        <v>150902</v>
      </c>
      <c r="B1923" t="s">
        <v>446</v>
      </c>
      <c r="C1923" t="s">
        <v>6277</v>
      </c>
      <c r="D1923" t="s">
        <v>12</v>
      </c>
      <c r="E1923" t="s">
        <v>6278</v>
      </c>
      <c r="F1923" t="s">
        <v>14</v>
      </c>
      <c r="G1923" s="1">
        <v>1000</v>
      </c>
      <c r="H1923" t="s">
        <v>36</v>
      </c>
      <c r="I1923" t="s">
        <v>6279</v>
      </c>
      <c r="J1923" t="s">
        <v>6280</v>
      </c>
    </row>
    <row r="1924" spans="1:10">
      <c r="A1924">
        <v>150384</v>
      </c>
      <c r="B1924" t="s">
        <v>446</v>
      </c>
      <c r="C1924" t="s">
        <v>6281</v>
      </c>
      <c r="D1924" t="s">
        <v>12</v>
      </c>
      <c r="E1924" t="s">
        <v>6282</v>
      </c>
      <c r="F1924" t="s">
        <v>14</v>
      </c>
      <c r="G1924" s="1">
        <v>1000</v>
      </c>
      <c r="H1924" t="s">
        <v>1378</v>
      </c>
      <c r="I1924" t="s">
        <v>6283</v>
      </c>
      <c r="J1924" t="s">
        <v>6284</v>
      </c>
    </row>
    <row r="1925" spans="1:10">
      <c r="A1925">
        <v>151455</v>
      </c>
      <c r="B1925" t="s">
        <v>446</v>
      </c>
      <c r="C1925" t="s">
        <v>6285</v>
      </c>
      <c r="D1925" t="s">
        <v>12</v>
      </c>
      <c r="E1925" t="s">
        <v>6286</v>
      </c>
      <c r="F1925" t="s">
        <v>14</v>
      </c>
      <c r="G1925" s="1">
        <v>1000</v>
      </c>
      <c r="H1925" t="s">
        <v>437</v>
      </c>
      <c r="I1925" t="s">
        <v>1335</v>
      </c>
      <c r="J1925" t="s">
        <v>6287</v>
      </c>
    </row>
    <row r="1926" spans="1:10">
      <c r="A1926">
        <v>123077</v>
      </c>
      <c r="B1926" t="s">
        <v>446</v>
      </c>
      <c r="C1926" t="s">
        <v>6288</v>
      </c>
      <c r="D1926" t="s">
        <v>12</v>
      </c>
      <c r="E1926" t="s">
        <v>6289</v>
      </c>
      <c r="F1926" t="s">
        <v>14</v>
      </c>
      <c r="G1926" s="1">
        <v>990</v>
      </c>
      <c r="H1926" t="s">
        <v>36</v>
      </c>
      <c r="I1926" t="s">
        <v>1820</v>
      </c>
      <c r="J1926" t="s">
        <v>6290</v>
      </c>
    </row>
    <row r="1927" spans="1:10">
      <c r="A1927">
        <v>103870</v>
      </c>
      <c r="B1927" t="s">
        <v>446</v>
      </c>
      <c r="C1927" t="s">
        <v>6291</v>
      </c>
      <c r="D1927" t="s">
        <v>12</v>
      </c>
      <c r="E1927" t="s">
        <v>6292</v>
      </c>
      <c r="F1927" t="s">
        <v>14</v>
      </c>
      <c r="G1927" s="1">
        <v>988.64</v>
      </c>
      <c r="H1927" t="s">
        <v>1378</v>
      </c>
      <c r="I1927" t="s">
        <v>1379</v>
      </c>
      <c r="J1927" t="s">
        <v>1380</v>
      </c>
    </row>
    <row r="1928" spans="1:10">
      <c r="A1928">
        <v>126539</v>
      </c>
      <c r="B1928" t="s">
        <v>446</v>
      </c>
      <c r="C1928" t="s">
        <v>6293</v>
      </c>
      <c r="D1928" t="s">
        <v>12</v>
      </c>
      <c r="E1928" t="s">
        <v>6294</v>
      </c>
      <c r="F1928" t="s">
        <v>14</v>
      </c>
      <c r="G1928" s="1">
        <v>987.97</v>
      </c>
      <c r="H1928" t="s">
        <v>777</v>
      </c>
      <c r="I1928" t="s">
        <v>2418</v>
      </c>
      <c r="J1928" t="s">
        <v>6295</v>
      </c>
    </row>
    <row r="1929" spans="1:10">
      <c r="A1929">
        <v>152307</v>
      </c>
      <c r="B1929" t="s">
        <v>446</v>
      </c>
      <c r="C1929" t="s">
        <v>6296</v>
      </c>
      <c r="D1929" t="s">
        <v>12</v>
      </c>
      <c r="E1929" t="s">
        <v>6297</v>
      </c>
      <c r="F1929" t="s">
        <v>14</v>
      </c>
      <c r="G1929" s="1">
        <v>978.47</v>
      </c>
      <c r="H1929" t="s">
        <v>232</v>
      </c>
      <c r="I1929" t="s">
        <v>233</v>
      </c>
      <c r="J1929" t="s">
        <v>1649</v>
      </c>
    </row>
    <row r="1930" spans="1:10">
      <c r="A1930">
        <v>140949</v>
      </c>
      <c r="B1930" t="s">
        <v>446</v>
      </c>
      <c r="C1930" t="s">
        <v>6298</v>
      </c>
      <c r="D1930" t="s">
        <v>12</v>
      </c>
      <c r="E1930" t="s">
        <v>6299</v>
      </c>
      <c r="F1930" t="s">
        <v>168</v>
      </c>
      <c r="G1930" s="1">
        <v>976.09</v>
      </c>
      <c r="H1930" t="s">
        <v>1017</v>
      </c>
      <c r="I1930" t="s">
        <v>6300</v>
      </c>
      <c r="J1930" t="s">
        <v>6301</v>
      </c>
    </row>
    <row r="1931" spans="1:10">
      <c r="A1931">
        <v>100652</v>
      </c>
      <c r="B1931" t="s">
        <v>446</v>
      </c>
      <c r="C1931" t="s">
        <v>6302</v>
      </c>
      <c r="D1931" t="s">
        <v>12</v>
      </c>
      <c r="E1931" t="s">
        <v>6303</v>
      </c>
      <c r="F1931" t="s">
        <v>14</v>
      </c>
      <c r="G1931" s="1">
        <v>976.03</v>
      </c>
      <c r="H1931" t="s">
        <v>437</v>
      </c>
      <c r="I1931" t="s">
        <v>6304</v>
      </c>
      <c r="J1931" t="s">
        <v>6305</v>
      </c>
    </row>
    <row r="1932" spans="1:10">
      <c r="A1932">
        <v>119715</v>
      </c>
      <c r="B1932" t="s">
        <v>446</v>
      </c>
      <c r="C1932" t="s">
        <v>6306</v>
      </c>
      <c r="D1932" t="s">
        <v>12</v>
      </c>
      <c r="E1932" t="s">
        <v>6307</v>
      </c>
      <c r="F1932" t="s">
        <v>14</v>
      </c>
      <c r="G1932" s="1">
        <v>975</v>
      </c>
      <c r="H1932" t="s">
        <v>504</v>
      </c>
      <c r="I1932" t="s">
        <v>3411</v>
      </c>
      <c r="J1932" t="s">
        <v>6308</v>
      </c>
    </row>
    <row r="1933" spans="1:10">
      <c r="A1933">
        <v>126979</v>
      </c>
      <c r="B1933" t="s">
        <v>446</v>
      </c>
      <c r="C1933" t="s">
        <v>6309</v>
      </c>
      <c r="D1933" t="s">
        <v>12</v>
      </c>
      <c r="E1933" t="s">
        <v>6310</v>
      </c>
      <c r="F1933" t="s">
        <v>14</v>
      </c>
      <c r="G1933" s="1">
        <v>974.25</v>
      </c>
      <c r="H1933" t="s">
        <v>1378</v>
      </c>
      <c r="I1933" t="s">
        <v>3207</v>
      </c>
      <c r="J1933" t="s">
        <v>6311</v>
      </c>
    </row>
    <row r="1934" spans="1:10">
      <c r="A1934">
        <v>121044</v>
      </c>
      <c r="B1934" t="s">
        <v>446</v>
      </c>
      <c r="C1934" t="s">
        <v>6312</v>
      </c>
      <c r="D1934" t="s">
        <v>12</v>
      </c>
      <c r="E1934" t="s">
        <v>6313</v>
      </c>
      <c r="F1934" t="s">
        <v>14</v>
      </c>
      <c r="G1934" s="1">
        <v>974</v>
      </c>
      <c r="H1934" t="s">
        <v>232</v>
      </c>
      <c r="I1934" t="s">
        <v>233</v>
      </c>
      <c r="J1934" t="s">
        <v>6314</v>
      </c>
    </row>
    <row r="1935" spans="1:10">
      <c r="A1935">
        <v>144320</v>
      </c>
      <c r="B1935" t="s">
        <v>446</v>
      </c>
      <c r="C1935" t="s">
        <v>6315</v>
      </c>
      <c r="D1935" t="s">
        <v>12</v>
      </c>
      <c r="E1935" t="s">
        <v>6316</v>
      </c>
      <c r="F1935" t="s">
        <v>14</v>
      </c>
      <c r="G1935" s="1">
        <v>971.5</v>
      </c>
      <c r="H1935" t="s">
        <v>56</v>
      </c>
      <c r="I1935" t="s">
        <v>3304</v>
      </c>
      <c r="J1935" t="s">
        <v>6317</v>
      </c>
    </row>
    <row r="1936" spans="1:10">
      <c r="A1936">
        <v>148372</v>
      </c>
      <c r="B1936" t="s">
        <v>446</v>
      </c>
      <c r="C1936" t="s">
        <v>6318</v>
      </c>
      <c r="D1936" t="s">
        <v>12</v>
      </c>
      <c r="E1936" t="s">
        <v>6319</v>
      </c>
      <c r="F1936" t="s">
        <v>14</v>
      </c>
      <c r="G1936" s="1">
        <v>965.95</v>
      </c>
      <c r="H1936" t="s">
        <v>1017</v>
      </c>
      <c r="I1936" t="s">
        <v>1943</v>
      </c>
      <c r="J1936" t="s">
        <v>6320</v>
      </c>
    </row>
    <row r="1937" spans="1:10">
      <c r="A1937">
        <v>129008</v>
      </c>
      <c r="B1937" t="s">
        <v>446</v>
      </c>
      <c r="C1937" t="s">
        <v>6321</v>
      </c>
      <c r="D1937" t="s">
        <v>12</v>
      </c>
      <c r="E1937" t="s">
        <v>6322</v>
      </c>
      <c r="F1937" t="s">
        <v>14</v>
      </c>
      <c r="G1937" s="1">
        <v>955.5</v>
      </c>
      <c r="H1937" t="s">
        <v>232</v>
      </c>
      <c r="I1937" t="s">
        <v>6323</v>
      </c>
      <c r="J1937" t="s">
        <v>6324</v>
      </c>
    </row>
    <row r="1938" spans="1:10">
      <c r="A1938">
        <v>111743</v>
      </c>
      <c r="B1938" t="s">
        <v>446</v>
      </c>
      <c r="C1938" t="s">
        <v>6325</v>
      </c>
      <c r="D1938" t="s">
        <v>12</v>
      </c>
      <c r="E1938" t="s">
        <v>6326</v>
      </c>
      <c r="F1938" t="s">
        <v>14</v>
      </c>
      <c r="G1938" s="1">
        <v>948.74</v>
      </c>
      <c r="H1938" t="s">
        <v>85</v>
      </c>
      <c r="I1938" t="s">
        <v>6327</v>
      </c>
      <c r="J1938" t="s">
        <v>6328</v>
      </c>
    </row>
    <row r="1939" spans="1:10">
      <c r="A1939">
        <v>150277</v>
      </c>
      <c r="B1939" t="s">
        <v>446</v>
      </c>
      <c r="C1939" t="s">
        <v>6329</v>
      </c>
      <c r="D1939" t="s">
        <v>12</v>
      </c>
      <c r="E1939" t="s">
        <v>6330</v>
      </c>
      <c r="F1939" t="s">
        <v>14</v>
      </c>
      <c r="G1939" s="1">
        <v>945.4</v>
      </c>
      <c r="H1939" t="s">
        <v>36</v>
      </c>
      <c r="I1939" t="s">
        <v>1820</v>
      </c>
      <c r="J1939" t="s">
        <v>1821</v>
      </c>
    </row>
    <row r="1940" spans="1:10">
      <c r="A1940">
        <v>152010</v>
      </c>
      <c r="B1940" t="s">
        <v>446</v>
      </c>
      <c r="C1940" t="s">
        <v>6331</v>
      </c>
      <c r="D1940" t="s">
        <v>12</v>
      </c>
      <c r="E1940" t="s">
        <v>6332</v>
      </c>
      <c r="F1940" t="s">
        <v>14</v>
      </c>
      <c r="G1940" s="1">
        <v>937.5</v>
      </c>
      <c r="H1940" t="s">
        <v>95</v>
      </c>
      <c r="I1940" t="s">
        <v>506</v>
      </c>
      <c r="J1940" t="s">
        <v>1522</v>
      </c>
    </row>
    <row r="1941" spans="1:10">
      <c r="A1941">
        <v>103059</v>
      </c>
      <c r="B1941" t="s">
        <v>446</v>
      </c>
      <c r="C1941" t="s">
        <v>6333</v>
      </c>
      <c r="D1941" t="s">
        <v>1986</v>
      </c>
      <c r="E1941" t="s">
        <v>6334</v>
      </c>
      <c r="F1941" t="s">
        <v>14</v>
      </c>
      <c r="G1941" s="1">
        <v>931.74</v>
      </c>
      <c r="H1941" t="s">
        <v>126</v>
      </c>
      <c r="I1941" t="s">
        <v>3516</v>
      </c>
      <c r="J1941" t="s">
        <v>6335</v>
      </c>
    </row>
    <row r="1942" spans="1:10">
      <c r="A1942">
        <v>146293</v>
      </c>
      <c r="B1942" t="s">
        <v>446</v>
      </c>
      <c r="C1942" t="s">
        <v>6336</v>
      </c>
      <c r="D1942" t="s">
        <v>12</v>
      </c>
      <c r="E1942" t="s">
        <v>6337</v>
      </c>
      <c r="F1942" t="s">
        <v>14</v>
      </c>
      <c r="G1942" s="1">
        <v>917.16</v>
      </c>
      <c r="H1942" t="s">
        <v>232</v>
      </c>
      <c r="I1942" t="s">
        <v>6338</v>
      </c>
      <c r="J1942" t="s">
        <v>6339</v>
      </c>
    </row>
    <row r="1943" spans="1:10">
      <c r="A1943">
        <v>142946</v>
      </c>
      <c r="B1943" t="s">
        <v>446</v>
      </c>
      <c r="C1943" t="s">
        <v>6340</v>
      </c>
      <c r="D1943" t="s">
        <v>12</v>
      </c>
      <c r="E1943" t="s">
        <v>6341</v>
      </c>
      <c r="F1943" t="s">
        <v>14</v>
      </c>
      <c r="G1943" s="1">
        <v>915.15</v>
      </c>
      <c r="H1943" t="s">
        <v>36</v>
      </c>
      <c r="I1943" t="s">
        <v>6342</v>
      </c>
      <c r="J1943" t="s">
        <v>6343</v>
      </c>
    </row>
    <row r="1944" spans="1:10">
      <c r="A1944">
        <v>147997</v>
      </c>
      <c r="B1944" t="s">
        <v>446</v>
      </c>
      <c r="C1944" t="s">
        <v>6344</v>
      </c>
      <c r="D1944" t="s">
        <v>12</v>
      </c>
      <c r="E1944" t="s">
        <v>6345</v>
      </c>
      <c r="F1944" t="s">
        <v>14</v>
      </c>
      <c r="G1944" s="1">
        <v>915</v>
      </c>
      <c r="H1944" t="s">
        <v>140</v>
      </c>
      <c r="I1944" t="s">
        <v>6346</v>
      </c>
      <c r="J1944" t="s">
        <v>6347</v>
      </c>
    </row>
    <row r="1945" spans="1:10">
      <c r="A1945">
        <v>109246</v>
      </c>
      <c r="B1945" t="s">
        <v>446</v>
      </c>
      <c r="C1945" t="s">
        <v>6348</v>
      </c>
      <c r="D1945" t="s">
        <v>12</v>
      </c>
      <c r="E1945" t="s">
        <v>6349</v>
      </c>
      <c r="F1945" t="s">
        <v>14</v>
      </c>
      <c r="G1945" s="1">
        <v>910.92</v>
      </c>
      <c r="H1945" t="s">
        <v>36</v>
      </c>
      <c r="I1945" t="s">
        <v>2491</v>
      </c>
      <c r="J1945" t="s">
        <v>4570</v>
      </c>
    </row>
    <row r="1946" spans="1:10">
      <c r="A1946">
        <v>123131</v>
      </c>
      <c r="B1946" t="s">
        <v>446</v>
      </c>
      <c r="C1946" t="s">
        <v>6350</v>
      </c>
      <c r="D1946" t="s">
        <v>12</v>
      </c>
      <c r="E1946" t="s">
        <v>6351</v>
      </c>
      <c r="F1946" t="s">
        <v>14</v>
      </c>
      <c r="G1946" s="1">
        <v>909.3</v>
      </c>
      <c r="H1946" t="s">
        <v>36</v>
      </c>
      <c r="I1946" t="s">
        <v>1820</v>
      </c>
      <c r="J1946" t="s">
        <v>6352</v>
      </c>
    </row>
    <row r="1947" spans="1:10">
      <c r="A1947">
        <v>150661</v>
      </c>
      <c r="B1947" t="s">
        <v>446</v>
      </c>
      <c r="C1947" t="s">
        <v>6353</v>
      </c>
      <c r="D1947" t="s">
        <v>12</v>
      </c>
      <c r="E1947" t="s">
        <v>6354</v>
      </c>
      <c r="F1947" t="s">
        <v>14</v>
      </c>
      <c r="G1947" s="1">
        <v>907.25</v>
      </c>
      <c r="H1947" t="s">
        <v>36</v>
      </c>
      <c r="I1947" t="s">
        <v>6355</v>
      </c>
      <c r="J1947" t="s">
        <v>6356</v>
      </c>
    </row>
    <row r="1948" spans="1:10">
      <c r="A1948" t="s">
        <v>6357</v>
      </c>
      <c r="B1948" t="s">
        <v>446</v>
      </c>
      <c r="C1948" t="s">
        <v>6358</v>
      </c>
      <c r="D1948" t="s">
        <v>12</v>
      </c>
      <c r="E1948" t="s">
        <v>6359</v>
      </c>
      <c r="F1948" t="s">
        <v>168</v>
      </c>
      <c r="G1948" s="1">
        <v>905.13</v>
      </c>
      <c r="H1948" t="s">
        <v>1017</v>
      </c>
      <c r="I1948" t="s">
        <v>5733</v>
      </c>
      <c r="J1948" t="s">
        <v>6360</v>
      </c>
    </row>
    <row r="1949" spans="1:10">
      <c r="A1949">
        <v>124291</v>
      </c>
      <c r="B1949" t="s">
        <v>446</v>
      </c>
      <c r="C1949" t="s">
        <v>6361</v>
      </c>
      <c r="D1949" t="s">
        <v>12</v>
      </c>
      <c r="E1949" t="s">
        <v>6362</v>
      </c>
      <c r="F1949" t="s">
        <v>14</v>
      </c>
      <c r="G1949" s="1">
        <v>904.18</v>
      </c>
      <c r="H1949" t="s">
        <v>85</v>
      </c>
      <c r="I1949" t="s">
        <v>6363</v>
      </c>
      <c r="J1949" t="s">
        <v>6364</v>
      </c>
    </row>
    <row r="1950" spans="1:10">
      <c r="A1950">
        <v>119790</v>
      </c>
      <c r="B1950" t="s">
        <v>446</v>
      </c>
      <c r="C1950" t="s">
        <v>6365</v>
      </c>
      <c r="D1950" t="s">
        <v>12</v>
      </c>
      <c r="E1950" t="s">
        <v>6366</v>
      </c>
      <c r="F1950" t="s">
        <v>14</v>
      </c>
      <c r="G1950" s="1">
        <v>903.02</v>
      </c>
      <c r="H1950" t="s">
        <v>36</v>
      </c>
      <c r="I1950" t="s">
        <v>2491</v>
      </c>
      <c r="J1950" t="s">
        <v>6367</v>
      </c>
    </row>
    <row r="1951" spans="1:10">
      <c r="A1951">
        <v>104164</v>
      </c>
      <c r="B1951" t="s">
        <v>446</v>
      </c>
      <c r="C1951" t="s">
        <v>6368</v>
      </c>
      <c r="D1951" t="s">
        <v>512</v>
      </c>
      <c r="E1951" t="s">
        <v>6369</v>
      </c>
      <c r="F1951" t="s">
        <v>14</v>
      </c>
      <c r="G1951" s="1">
        <v>897.87</v>
      </c>
      <c r="H1951" t="s">
        <v>1017</v>
      </c>
      <c r="I1951" t="s">
        <v>6370</v>
      </c>
      <c r="J1951" t="s">
        <v>6371</v>
      </c>
    </row>
    <row r="1952" spans="1:10">
      <c r="A1952">
        <v>106447</v>
      </c>
      <c r="B1952" t="s">
        <v>446</v>
      </c>
      <c r="C1952" t="s">
        <v>6372</v>
      </c>
      <c r="D1952" t="s">
        <v>12</v>
      </c>
      <c r="E1952" t="s">
        <v>6373</v>
      </c>
      <c r="F1952" t="s">
        <v>14</v>
      </c>
      <c r="G1952" s="1">
        <v>896.31</v>
      </c>
      <c r="H1952" t="s">
        <v>375</v>
      </c>
      <c r="I1952" t="s">
        <v>6374</v>
      </c>
      <c r="J1952" t="s">
        <v>6375</v>
      </c>
    </row>
    <row r="1953" spans="1:10">
      <c r="A1953">
        <v>148127</v>
      </c>
      <c r="B1953" t="s">
        <v>446</v>
      </c>
      <c r="C1953" t="s">
        <v>6376</v>
      </c>
      <c r="D1953" t="s">
        <v>12</v>
      </c>
      <c r="E1953" t="s">
        <v>6377</v>
      </c>
      <c r="F1953" t="s">
        <v>14</v>
      </c>
      <c r="G1953" s="1">
        <v>882.79</v>
      </c>
      <c r="H1953" t="s">
        <v>27</v>
      </c>
      <c r="I1953" t="s">
        <v>6378</v>
      </c>
      <c r="J1953" t="s">
        <v>6379</v>
      </c>
    </row>
    <row r="1954" spans="1:10">
      <c r="A1954">
        <v>142310</v>
      </c>
      <c r="B1954" t="s">
        <v>446</v>
      </c>
      <c r="C1954" t="s">
        <v>6380</v>
      </c>
      <c r="D1954" t="s">
        <v>12</v>
      </c>
      <c r="E1954" t="s">
        <v>6381</v>
      </c>
      <c r="F1954" t="s">
        <v>14</v>
      </c>
      <c r="G1954" s="1">
        <v>866</v>
      </c>
      <c r="H1954" t="s">
        <v>499</v>
      </c>
      <c r="I1954" t="s">
        <v>4489</v>
      </c>
      <c r="J1954" t="s">
        <v>6382</v>
      </c>
    </row>
    <row r="1955" spans="1:10">
      <c r="A1955">
        <v>107595</v>
      </c>
      <c r="B1955" t="s">
        <v>446</v>
      </c>
      <c r="C1955" t="s">
        <v>6383</v>
      </c>
      <c r="D1955" t="s">
        <v>12</v>
      </c>
      <c r="E1955" t="s">
        <v>6384</v>
      </c>
      <c r="F1955" t="s">
        <v>14</v>
      </c>
      <c r="G1955" s="1">
        <v>861.27</v>
      </c>
      <c r="H1955" t="s">
        <v>1017</v>
      </c>
      <c r="I1955" t="s">
        <v>1943</v>
      </c>
      <c r="J1955" t="s">
        <v>6385</v>
      </c>
    </row>
    <row r="1956" spans="1:10">
      <c r="A1956">
        <v>150185</v>
      </c>
      <c r="B1956" t="s">
        <v>446</v>
      </c>
      <c r="C1956" t="s">
        <v>6386</v>
      </c>
      <c r="D1956" t="s">
        <v>12</v>
      </c>
      <c r="E1956" t="s">
        <v>6387</v>
      </c>
      <c r="F1956" t="s">
        <v>14</v>
      </c>
      <c r="G1956" s="1">
        <v>860.59</v>
      </c>
      <c r="H1956" t="s">
        <v>918</v>
      </c>
      <c r="I1956" t="s">
        <v>3144</v>
      </c>
      <c r="J1956" t="s">
        <v>6388</v>
      </c>
    </row>
    <row r="1957" spans="1:10">
      <c r="A1957">
        <v>114728</v>
      </c>
      <c r="B1957" t="s">
        <v>446</v>
      </c>
      <c r="C1957" t="s">
        <v>6389</v>
      </c>
      <c r="D1957" t="s">
        <v>12</v>
      </c>
      <c r="E1957" t="s">
        <v>6390</v>
      </c>
      <c r="F1957" t="s">
        <v>14</v>
      </c>
      <c r="G1957" s="1">
        <v>860</v>
      </c>
      <c r="H1957" t="s">
        <v>1017</v>
      </c>
      <c r="I1957" t="s">
        <v>1943</v>
      </c>
      <c r="J1957" t="s">
        <v>6391</v>
      </c>
    </row>
    <row r="1958" spans="1:10">
      <c r="A1958">
        <v>151042</v>
      </c>
      <c r="B1958" t="s">
        <v>446</v>
      </c>
      <c r="C1958" t="s">
        <v>6392</v>
      </c>
      <c r="D1958" t="s">
        <v>12</v>
      </c>
      <c r="E1958" t="s">
        <v>6393</v>
      </c>
      <c r="F1958" t="s">
        <v>14</v>
      </c>
      <c r="G1958" s="1">
        <v>856.88</v>
      </c>
      <c r="H1958" t="s">
        <v>375</v>
      </c>
      <c r="I1958" t="s">
        <v>6394</v>
      </c>
      <c r="J1958" t="s">
        <v>6395</v>
      </c>
    </row>
    <row r="1959" spans="1:10">
      <c r="A1959">
        <v>146709</v>
      </c>
      <c r="B1959" t="s">
        <v>446</v>
      </c>
      <c r="C1959" t="s">
        <v>6396</v>
      </c>
      <c r="D1959" t="s">
        <v>12</v>
      </c>
      <c r="E1959" t="s">
        <v>6397</v>
      </c>
      <c r="F1959" t="s">
        <v>14</v>
      </c>
      <c r="G1959" s="1">
        <v>850</v>
      </c>
      <c r="H1959" t="s">
        <v>777</v>
      </c>
      <c r="I1959" t="s">
        <v>6398</v>
      </c>
      <c r="J1959" t="s">
        <v>6399</v>
      </c>
    </row>
    <row r="1960" spans="1:10">
      <c r="A1960">
        <v>151655</v>
      </c>
      <c r="B1960" t="s">
        <v>446</v>
      </c>
      <c r="C1960" t="s">
        <v>6400</v>
      </c>
      <c r="D1960" t="s">
        <v>12</v>
      </c>
      <c r="E1960" t="s">
        <v>6401</v>
      </c>
      <c r="F1960" t="s">
        <v>14</v>
      </c>
      <c r="G1960" s="1">
        <v>850</v>
      </c>
      <c r="H1960" t="s">
        <v>95</v>
      </c>
      <c r="I1960" t="s">
        <v>506</v>
      </c>
      <c r="J1960" t="s">
        <v>1522</v>
      </c>
    </row>
    <row r="1961" spans="1:10">
      <c r="A1961">
        <v>128996</v>
      </c>
      <c r="B1961" t="s">
        <v>446</v>
      </c>
      <c r="C1961" t="s">
        <v>6402</v>
      </c>
      <c r="D1961" t="s">
        <v>12</v>
      </c>
      <c r="E1961" t="s">
        <v>6403</v>
      </c>
      <c r="F1961" t="s">
        <v>14</v>
      </c>
      <c r="G1961" s="1">
        <v>847.28</v>
      </c>
      <c r="H1961" t="s">
        <v>1017</v>
      </c>
      <c r="I1961" t="s">
        <v>6404</v>
      </c>
      <c r="J1961" t="s">
        <v>6405</v>
      </c>
    </row>
    <row r="1962" spans="1:10">
      <c r="A1962">
        <v>132088</v>
      </c>
      <c r="B1962" t="s">
        <v>446</v>
      </c>
      <c r="C1962" t="s">
        <v>6406</v>
      </c>
      <c r="D1962" t="s">
        <v>12</v>
      </c>
      <c r="E1962" t="s">
        <v>6407</v>
      </c>
      <c r="F1962" t="s">
        <v>14</v>
      </c>
      <c r="G1962" s="1">
        <v>845</v>
      </c>
      <c r="H1962" t="s">
        <v>777</v>
      </c>
      <c r="I1962" t="s">
        <v>4975</v>
      </c>
      <c r="J1962" t="s">
        <v>6408</v>
      </c>
    </row>
    <row r="1963" spans="1:10">
      <c r="A1963">
        <v>122479</v>
      </c>
      <c r="B1963" t="s">
        <v>446</v>
      </c>
      <c r="C1963" t="s">
        <v>6409</v>
      </c>
      <c r="D1963" t="s">
        <v>12</v>
      </c>
      <c r="E1963" t="s">
        <v>6410</v>
      </c>
      <c r="F1963" t="s">
        <v>14</v>
      </c>
      <c r="G1963" s="1">
        <v>843.98</v>
      </c>
      <c r="H1963" t="s">
        <v>232</v>
      </c>
      <c r="I1963" t="s">
        <v>233</v>
      </c>
      <c r="J1963" t="s">
        <v>6411</v>
      </c>
    </row>
    <row r="1964" spans="1:10">
      <c r="A1964">
        <v>107775</v>
      </c>
      <c r="B1964" t="s">
        <v>446</v>
      </c>
      <c r="C1964" t="s">
        <v>6412</v>
      </c>
      <c r="D1964" t="s">
        <v>12</v>
      </c>
      <c r="E1964" t="s">
        <v>6413</v>
      </c>
      <c r="F1964" t="s">
        <v>14</v>
      </c>
      <c r="G1964" s="1">
        <v>834.88</v>
      </c>
      <c r="H1964" t="s">
        <v>1017</v>
      </c>
      <c r="I1964" t="s">
        <v>6241</v>
      </c>
      <c r="J1964" t="s">
        <v>6414</v>
      </c>
    </row>
    <row r="1965" spans="1:10">
      <c r="A1965">
        <v>148865</v>
      </c>
      <c r="B1965" t="s">
        <v>446</v>
      </c>
      <c r="C1965" t="s">
        <v>6415</v>
      </c>
      <c r="D1965" t="s">
        <v>12</v>
      </c>
      <c r="E1965" t="s">
        <v>6416</v>
      </c>
      <c r="F1965" t="s">
        <v>14</v>
      </c>
      <c r="G1965" s="1">
        <v>832.95</v>
      </c>
      <c r="H1965" t="s">
        <v>1144</v>
      </c>
      <c r="I1965" t="s">
        <v>1145</v>
      </c>
      <c r="J1965" t="s">
        <v>1146</v>
      </c>
    </row>
    <row r="1966" spans="1:10">
      <c r="A1966">
        <v>130903</v>
      </c>
      <c r="B1966" t="s">
        <v>446</v>
      </c>
      <c r="C1966" t="s">
        <v>6417</v>
      </c>
      <c r="D1966" t="s">
        <v>12</v>
      </c>
      <c r="E1966" t="s">
        <v>6418</v>
      </c>
      <c r="F1966" t="s">
        <v>14</v>
      </c>
      <c r="G1966" s="1">
        <v>830.08</v>
      </c>
      <c r="H1966" t="s">
        <v>1017</v>
      </c>
      <c r="I1966" t="s">
        <v>2982</v>
      </c>
      <c r="J1966" t="s">
        <v>6419</v>
      </c>
    </row>
    <row r="1967" spans="1:10">
      <c r="A1967">
        <v>125505</v>
      </c>
      <c r="B1967" t="s">
        <v>446</v>
      </c>
      <c r="C1967" t="s">
        <v>6420</v>
      </c>
      <c r="D1967" t="s">
        <v>12</v>
      </c>
      <c r="E1967" t="s">
        <v>6421</v>
      </c>
      <c r="F1967" t="s">
        <v>14</v>
      </c>
      <c r="G1967" s="1">
        <v>830</v>
      </c>
      <c r="H1967" t="s">
        <v>499</v>
      </c>
      <c r="I1967" t="s">
        <v>6233</v>
      </c>
      <c r="J1967" t="s">
        <v>6422</v>
      </c>
    </row>
    <row r="1968" spans="1:10">
      <c r="A1968">
        <v>120918</v>
      </c>
      <c r="B1968" t="s">
        <v>446</v>
      </c>
      <c r="C1968" t="s">
        <v>6423</v>
      </c>
      <c r="D1968" t="s">
        <v>12</v>
      </c>
      <c r="E1968" t="s">
        <v>6424</v>
      </c>
      <c r="F1968" t="s">
        <v>14</v>
      </c>
      <c r="G1968" s="1">
        <v>815.28</v>
      </c>
      <c r="H1968" t="s">
        <v>36</v>
      </c>
      <c r="I1968" t="s">
        <v>5765</v>
      </c>
      <c r="J1968" t="s">
        <v>6425</v>
      </c>
    </row>
    <row r="1969" spans="1:10">
      <c r="A1969">
        <v>145773</v>
      </c>
      <c r="B1969" t="s">
        <v>446</v>
      </c>
      <c r="C1969" t="s">
        <v>6426</v>
      </c>
      <c r="D1969" t="s">
        <v>12</v>
      </c>
      <c r="E1969" t="s">
        <v>6427</v>
      </c>
      <c r="F1969" t="s">
        <v>14</v>
      </c>
      <c r="G1969" s="1">
        <v>814.99</v>
      </c>
      <c r="H1969" t="s">
        <v>437</v>
      </c>
      <c r="I1969" t="s">
        <v>3235</v>
      </c>
      <c r="J1969" t="s">
        <v>6428</v>
      </c>
    </row>
    <row r="1970" spans="1:10">
      <c r="A1970">
        <v>103251</v>
      </c>
      <c r="B1970" t="s">
        <v>446</v>
      </c>
      <c r="C1970" t="s">
        <v>6429</v>
      </c>
      <c r="D1970" t="s">
        <v>1986</v>
      </c>
      <c r="E1970" t="s">
        <v>5516</v>
      </c>
      <c r="F1970" t="s">
        <v>14</v>
      </c>
      <c r="G1970" s="1">
        <v>800.44</v>
      </c>
      <c r="H1970" t="s">
        <v>126</v>
      </c>
      <c r="I1970" t="s">
        <v>471</v>
      </c>
      <c r="J1970" t="s">
        <v>472</v>
      </c>
    </row>
    <row r="1971" spans="1:10">
      <c r="A1971">
        <v>130612</v>
      </c>
      <c r="B1971" t="s">
        <v>446</v>
      </c>
      <c r="C1971" t="s">
        <v>6430</v>
      </c>
      <c r="D1971" t="s">
        <v>12</v>
      </c>
      <c r="E1971" t="s">
        <v>6431</v>
      </c>
      <c r="F1971" t="s">
        <v>14</v>
      </c>
      <c r="G1971" s="1">
        <v>800.05</v>
      </c>
      <c r="H1971" t="s">
        <v>56</v>
      </c>
      <c r="I1971" t="s">
        <v>6432</v>
      </c>
      <c r="J1971" t="s">
        <v>6433</v>
      </c>
    </row>
    <row r="1972" spans="1:10">
      <c r="A1972">
        <v>150799</v>
      </c>
      <c r="B1972" t="s">
        <v>446</v>
      </c>
      <c r="C1972" t="s">
        <v>6434</v>
      </c>
      <c r="D1972" t="s">
        <v>12</v>
      </c>
      <c r="E1972" t="s">
        <v>6435</v>
      </c>
      <c r="F1972" t="s">
        <v>14</v>
      </c>
      <c r="G1972" s="1">
        <v>800</v>
      </c>
      <c r="H1972" t="s">
        <v>36</v>
      </c>
      <c r="I1972" t="s">
        <v>1820</v>
      </c>
      <c r="J1972" t="s">
        <v>5826</v>
      </c>
    </row>
    <row r="1973" spans="1:10">
      <c r="A1973">
        <v>144619</v>
      </c>
      <c r="B1973" t="s">
        <v>446</v>
      </c>
      <c r="C1973" t="s">
        <v>6436</v>
      </c>
      <c r="D1973" t="s">
        <v>12</v>
      </c>
      <c r="E1973" t="s">
        <v>6437</v>
      </c>
      <c r="F1973" t="s">
        <v>14</v>
      </c>
      <c r="G1973" s="1">
        <v>800</v>
      </c>
      <c r="H1973" t="s">
        <v>56</v>
      </c>
      <c r="I1973" t="s">
        <v>4086</v>
      </c>
      <c r="J1973" t="s">
        <v>6438</v>
      </c>
    </row>
    <row r="1974" spans="1:10">
      <c r="A1974">
        <v>150588</v>
      </c>
      <c r="B1974" t="s">
        <v>446</v>
      </c>
      <c r="C1974" t="s">
        <v>6439</v>
      </c>
      <c r="D1974" t="s">
        <v>12</v>
      </c>
      <c r="E1974" t="s">
        <v>6440</v>
      </c>
      <c r="F1974" t="s">
        <v>14</v>
      </c>
      <c r="G1974" s="1">
        <v>795</v>
      </c>
      <c r="H1974" t="s">
        <v>140</v>
      </c>
      <c r="I1974" t="s">
        <v>1993</v>
      </c>
      <c r="J1974" t="s">
        <v>1994</v>
      </c>
    </row>
    <row r="1975" spans="1:10">
      <c r="A1975">
        <v>151247</v>
      </c>
      <c r="B1975" t="s">
        <v>446</v>
      </c>
      <c r="C1975" t="s">
        <v>6441</v>
      </c>
      <c r="D1975" t="s">
        <v>12</v>
      </c>
      <c r="E1975" t="s">
        <v>6442</v>
      </c>
      <c r="F1975" t="s">
        <v>14</v>
      </c>
      <c r="G1975" s="1">
        <v>795</v>
      </c>
      <c r="H1975" t="s">
        <v>1017</v>
      </c>
      <c r="I1975" t="s">
        <v>6443</v>
      </c>
      <c r="J1975" t="s">
        <v>6444</v>
      </c>
    </row>
    <row r="1976" spans="1:10">
      <c r="A1976">
        <v>130468</v>
      </c>
      <c r="B1976" t="s">
        <v>446</v>
      </c>
      <c r="C1976" t="s">
        <v>6445</v>
      </c>
      <c r="D1976" t="s">
        <v>12</v>
      </c>
      <c r="E1976" t="s">
        <v>6446</v>
      </c>
      <c r="F1976" t="s">
        <v>14</v>
      </c>
      <c r="G1976" s="1">
        <v>787.53</v>
      </c>
      <c r="H1976" t="s">
        <v>56</v>
      </c>
      <c r="I1976" t="s">
        <v>6447</v>
      </c>
      <c r="J1976" t="s">
        <v>6448</v>
      </c>
    </row>
    <row r="1977" spans="1:10">
      <c r="A1977">
        <v>123814</v>
      </c>
      <c r="B1977" t="s">
        <v>446</v>
      </c>
      <c r="C1977" t="s">
        <v>6449</v>
      </c>
      <c r="D1977" t="s">
        <v>12</v>
      </c>
      <c r="E1977" t="s">
        <v>6450</v>
      </c>
      <c r="F1977" t="s">
        <v>14</v>
      </c>
      <c r="G1977" s="1">
        <v>785</v>
      </c>
      <c r="H1977" t="s">
        <v>140</v>
      </c>
      <c r="I1977" t="s">
        <v>6451</v>
      </c>
      <c r="J1977" t="s">
        <v>1596</v>
      </c>
    </row>
    <row r="1978" spans="1:10">
      <c r="A1978">
        <v>129257</v>
      </c>
      <c r="B1978" t="s">
        <v>446</v>
      </c>
      <c r="C1978" t="s">
        <v>6452</v>
      </c>
      <c r="D1978" t="s">
        <v>12</v>
      </c>
      <c r="E1978" t="s">
        <v>6453</v>
      </c>
      <c r="F1978" t="s">
        <v>14</v>
      </c>
      <c r="G1978" s="1">
        <v>776.55</v>
      </c>
      <c r="H1978" t="s">
        <v>1017</v>
      </c>
      <c r="I1978" t="s">
        <v>1943</v>
      </c>
      <c r="J1978" t="s">
        <v>6454</v>
      </c>
    </row>
    <row r="1979" spans="1:10">
      <c r="A1979">
        <v>140092</v>
      </c>
      <c r="B1979" t="s">
        <v>446</v>
      </c>
      <c r="C1979" t="s">
        <v>6455</v>
      </c>
      <c r="D1979" t="s">
        <v>12</v>
      </c>
      <c r="E1979" t="s">
        <v>6456</v>
      </c>
      <c r="F1979" t="s">
        <v>14</v>
      </c>
      <c r="G1979" s="1">
        <v>774.47</v>
      </c>
      <c r="H1979" t="s">
        <v>126</v>
      </c>
      <c r="I1979" t="s">
        <v>156</v>
      </c>
      <c r="J1979" t="s">
        <v>180</v>
      </c>
    </row>
    <row r="1980" spans="1:10">
      <c r="A1980" t="s">
        <v>6457</v>
      </c>
      <c r="B1980" t="s">
        <v>446</v>
      </c>
      <c r="C1980" t="s">
        <v>6458</v>
      </c>
      <c r="D1980" t="s">
        <v>12</v>
      </c>
      <c r="E1980" t="s">
        <v>6459</v>
      </c>
      <c r="F1980" t="s">
        <v>168</v>
      </c>
      <c r="G1980" s="1">
        <v>773.57</v>
      </c>
      <c r="H1980" t="s">
        <v>85</v>
      </c>
      <c r="I1980" t="s">
        <v>6460</v>
      </c>
      <c r="J1980" t="s">
        <v>6461</v>
      </c>
    </row>
    <row r="1981" spans="1:10">
      <c r="A1981">
        <v>117136</v>
      </c>
      <c r="B1981" t="s">
        <v>446</v>
      </c>
      <c r="C1981" t="s">
        <v>6462</v>
      </c>
      <c r="D1981" t="s">
        <v>12</v>
      </c>
      <c r="E1981" t="s">
        <v>6463</v>
      </c>
      <c r="F1981" t="s">
        <v>14</v>
      </c>
      <c r="G1981" s="1">
        <v>768</v>
      </c>
      <c r="H1981" t="s">
        <v>499</v>
      </c>
      <c r="I1981" t="s">
        <v>1878</v>
      </c>
      <c r="J1981" t="s">
        <v>6464</v>
      </c>
    </row>
    <row r="1982" spans="1:10">
      <c r="A1982">
        <v>150323</v>
      </c>
      <c r="B1982" t="s">
        <v>446</v>
      </c>
      <c r="C1982" t="s">
        <v>6465</v>
      </c>
      <c r="D1982" t="s">
        <v>12</v>
      </c>
      <c r="E1982" t="s">
        <v>6466</v>
      </c>
      <c r="F1982" t="s">
        <v>14</v>
      </c>
      <c r="G1982" s="1">
        <v>760.78</v>
      </c>
      <c r="H1982" t="s">
        <v>36</v>
      </c>
      <c r="I1982" t="s">
        <v>5765</v>
      </c>
      <c r="J1982" t="s">
        <v>6467</v>
      </c>
    </row>
    <row r="1983" spans="1:10">
      <c r="A1983">
        <v>149277</v>
      </c>
      <c r="B1983" t="s">
        <v>446</v>
      </c>
      <c r="C1983" t="s">
        <v>6468</v>
      </c>
      <c r="D1983" t="s">
        <v>12</v>
      </c>
      <c r="E1983" t="s">
        <v>6469</v>
      </c>
      <c r="F1983" t="s">
        <v>14</v>
      </c>
      <c r="G1983" s="1">
        <v>759.7</v>
      </c>
      <c r="H1983" t="s">
        <v>36</v>
      </c>
      <c r="I1983" t="s">
        <v>6470</v>
      </c>
      <c r="J1983" t="s">
        <v>6425</v>
      </c>
    </row>
    <row r="1984" spans="1:10">
      <c r="A1984" t="s">
        <v>6471</v>
      </c>
      <c r="B1984" t="s">
        <v>446</v>
      </c>
      <c r="C1984" t="s">
        <v>6472</v>
      </c>
      <c r="D1984" t="s">
        <v>12</v>
      </c>
      <c r="E1984" t="s">
        <v>6473</v>
      </c>
      <c r="F1984" t="s">
        <v>168</v>
      </c>
      <c r="G1984" s="1">
        <v>753</v>
      </c>
      <c r="H1984" t="s">
        <v>85</v>
      </c>
      <c r="I1984" t="s">
        <v>6474</v>
      </c>
      <c r="J1984" t="s">
        <v>6475</v>
      </c>
    </row>
    <row r="1985" spans="1:10">
      <c r="A1985">
        <v>143480</v>
      </c>
      <c r="B1985" t="s">
        <v>446</v>
      </c>
      <c r="C1985" t="s">
        <v>6476</v>
      </c>
      <c r="D1985" t="s">
        <v>12</v>
      </c>
      <c r="E1985" t="s">
        <v>6477</v>
      </c>
      <c r="F1985" t="s">
        <v>14</v>
      </c>
      <c r="G1985" s="1">
        <v>750.83</v>
      </c>
      <c r="H1985" t="s">
        <v>140</v>
      </c>
      <c r="I1985" t="s">
        <v>1993</v>
      </c>
      <c r="J1985" t="s">
        <v>1994</v>
      </c>
    </row>
    <row r="1986" spans="1:10">
      <c r="A1986">
        <v>152517</v>
      </c>
      <c r="B1986" t="s">
        <v>446</v>
      </c>
      <c r="C1986" t="s">
        <v>6478</v>
      </c>
      <c r="D1986" t="s">
        <v>12</v>
      </c>
      <c r="E1986" t="s">
        <v>6479</v>
      </c>
      <c r="F1986" t="s">
        <v>14</v>
      </c>
      <c r="G1986" s="1">
        <v>750</v>
      </c>
      <c r="H1986" t="s">
        <v>333</v>
      </c>
      <c r="I1986" t="s">
        <v>6480</v>
      </c>
      <c r="J1986" t="s">
        <v>6481</v>
      </c>
    </row>
    <row r="1987" spans="1:10">
      <c r="A1987">
        <v>151094</v>
      </c>
      <c r="B1987" t="s">
        <v>446</v>
      </c>
      <c r="C1987" t="s">
        <v>6482</v>
      </c>
      <c r="D1987" t="s">
        <v>12</v>
      </c>
      <c r="E1987" t="s">
        <v>6483</v>
      </c>
      <c r="F1987" t="s">
        <v>14</v>
      </c>
      <c r="G1987" s="1">
        <v>750</v>
      </c>
      <c r="H1987" t="s">
        <v>140</v>
      </c>
      <c r="I1987" t="s">
        <v>1993</v>
      </c>
      <c r="J1987" t="s">
        <v>1994</v>
      </c>
    </row>
    <row r="1988" spans="1:10">
      <c r="A1988">
        <v>131927</v>
      </c>
      <c r="B1988" t="s">
        <v>446</v>
      </c>
      <c r="C1988" t="s">
        <v>6484</v>
      </c>
      <c r="D1988" t="s">
        <v>12</v>
      </c>
      <c r="E1988" t="s">
        <v>6485</v>
      </c>
      <c r="F1988" t="s">
        <v>14</v>
      </c>
      <c r="G1988" s="1">
        <v>750</v>
      </c>
      <c r="H1988" t="s">
        <v>1017</v>
      </c>
      <c r="I1988" t="s">
        <v>4756</v>
      </c>
      <c r="J1988" t="s">
        <v>6486</v>
      </c>
    </row>
    <row r="1989" spans="1:10">
      <c r="A1989">
        <v>150107</v>
      </c>
      <c r="B1989" t="s">
        <v>446</v>
      </c>
      <c r="C1989" t="s">
        <v>6487</v>
      </c>
      <c r="D1989" t="s">
        <v>124</v>
      </c>
      <c r="E1989" t="s">
        <v>6488</v>
      </c>
      <c r="F1989" t="s">
        <v>14</v>
      </c>
      <c r="G1989" s="1">
        <v>750</v>
      </c>
      <c r="H1989" t="s">
        <v>2083</v>
      </c>
      <c r="I1989" t="s">
        <v>6489</v>
      </c>
      <c r="J1989" t="s">
        <v>6490</v>
      </c>
    </row>
    <row r="1990" spans="1:10">
      <c r="A1990">
        <v>111966</v>
      </c>
      <c r="B1990" t="s">
        <v>446</v>
      </c>
      <c r="C1990" t="s">
        <v>6491</v>
      </c>
      <c r="D1990" t="s">
        <v>12</v>
      </c>
      <c r="E1990" t="s">
        <v>6492</v>
      </c>
      <c r="F1990" t="s">
        <v>14</v>
      </c>
      <c r="G1990" s="1">
        <v>748.91</v>
      </c>
      <c r="H1990" t="s">
        <v>232</v>
      </c>
      <c r="I1990" t="s">
        <v>6493</v>
      </c>
      <c r="J1990" t="s">
        <v>6494</v>
      </c>
    </row>
    <row r="1991" spans="1:10">
      <c r="A1991">
        <v>150734</v>
      </c>
      <c r="B1991" t="s">
        <v>446</v>
      </c>
      <c r="C1991" t="s">
        <v>6495</v>
      </c>
      <c r="D1991" t="s">
        <v>12</v>
      </c>
      <c r="E1991" t="s">
        <v>6496</v>
      </c>
      <c r="F1991" t="s">
        <v>14</v>
      </c>
      <c r="G1991" s="1">
        <v>745</v>
      </c>
      <c r="H1991" t="s">
        <v>499</v>
      </c>
      <c r="I1991" t="s">
        <v>2632</v>
      </c>
      <c r="J1991" t="s">
        <v>6220</v>
      </c>
    </row>
    <row r="1992" spans="1:10">
      <c r="A1992">
        <v>147415</v>
      </c>
      <c r="B1992" t="s">
        <v>446</v>
      </c>
      <c r="C1992" t="s">
        <v>6497</v>
      </c>
      <c r="D1992" t="s">
        <v>12</v>
      </c>
      <c r="E1992" t="s">
        <v>6498</v>
      </c>
      <c r="F1992" t="s">
        <v>168</v>
      </c>
      <c r="G1992" s="1">
        <v>741.25</v>
      </c>
      <c r="H1992" t="s">
        <v>553</v>
      </c>
      <c r="I1992" t="s">
        <v>554</v>
      </c>
      <c r="J1992" t="s">
        <v>6499</v>
      </c>
    </row>
    <row r="1993" spans="1:10">
      <c r="A1993" t="s">
        <v>6500</v>
      </c>
      <c r="B1993" t="s">
        <v>446</v>
      </c>
      <c r="C1993" t="s">
        <v>6501</v>
      </c>
      <c r="D1993" t="s">
        <v>12</v>
      </c>
      <c r="E1993" t="s">
        <v>6502</v>
      </c>
      <c r="F1993" t="s">
        <v>168</v>
      </c>
      <c r="G1993" s="1">
        <v>735.79</v>
      </c>
      <c r="H1993" t="s">
        <v>499</v>
      </c>
      <c r="I1993" t="s">
        <v>3844</v>
      </c>
      <c r="J1993" t="s">
        <v>6503</v>
      </c>
    </row>
    <row r="1994" spans="1:10">
      <c r="A1994">
        <v>145350</v>
      </c>
      <c r="B1994" t="s">
        <v>446</v>
      </c>
      <c r="C1994" t="s">
        <v>6504</v>
      </c>
      <c r="D1994" t="s">
        <v>12</v>
      </c>
      <c r="E1994" t="s">
        <v>6505</v>
      </c>
      <c r="F1994" t="s">
        <v>14</v>
      </c>
      <c r="G1994" s="1">
        <v>730</v>
      </c>
      <c r="H1994" t="s">
        <v>1378</v>
      </c>
      <c r="I1994" t="s">
        <v>2295</v>
      </c>
      <c r="J1994" t="s">
        <v>6506</v>
      </c>
    </row>
    <row r="1995" spans="1:10">
      <c r="A1995">
        <v>132116</v>
      </c>
      <c r="B1995" t="s">
        <v>446</v>
      </c>
      <c r="C1995" t="s">
        <v>6507</v>
      </c>
      <c r="D1995" t="s">
        <v>12</v>
      </c>
      <c r="E1995" t="s">
        <v>6508</v>
      </c>
      <c r="F1995" t="s">
        <v>14</v>
      </c>
      <c r="G1995" s="1">
        <v>725.28</v>
      </c>
      <c r="H1995" t="s">
        <v>1017</v>
      </c>
      <c r="I1995" t="s">
        <v>6241</v>
      </c>
      <c r="J1995" t="s">
        <v>6509</v>
      </c>
    </row>
    <row r="1996" spans="1:10">
      <c r="A1996">
        <v>120987</v>
      </c>
      <c r="B1996" t="s">
        <v>446</v>
      </c>
      <c r="C1996" t="s">
        <v>6510</v>
      </c>
      <c r="D1996" t="s">
        <v>2098</v>
      </c>
      <c r="E1996" t="s">
        <v>6511</v>
      </c>
      <c r="F1996" t="s">
        <v>14</v>
      </c>
      <c r="G1996" s="1">
        <v>725.12</v>
      </c>
      <c r="H1996" t="s">
        <v>85</v>
      </c>
      <c r="I1996" t="s">
        <v>4402</v>
      </c>
      <c r="J1996" t="s">
        <v>4403</v>
      </c>
    </row>
    <row r="1997" spans="1:10">
      <c r="A1997">
        <v>118622</v>
      </c>
      <c r="B1997" t="s">
        <v>446</v>
      </c>
      <c r="C1997" t="s">
        <v>6512</v>
      </c>
      <c r="D1997" t="s">
        <v>512</v>
      </c>
      <c r="E1997" t="s">
        <v>6513</v>
      </c>
      <c r="F1997" t="s">
        <v>14</v>
      </c>
      <c r="G1997" s="1">
        <v>724.78</v>
      </c>
      <c r="H1997" t="s">
        <v>27</v>
      </c>
      <c r="I1997" t="s">
        <v>6514</v>
      </c>
      <c r="J1997" t="s">
        <v>6515</v>
      </c>
    </row>
    <row r="1998" spans="1:10">
      <c r="A1998">
        <v>105667</v>
      </c>
      <c r="B1998" t="s">
        <v>446</v>
      </c>
      <c r="C1998" t="s">
        <v>6516</v>
      </c>
      <c r="D1998" t="s">
        <v>12</v>
      </c>
      <c r="E1998" t="s">
        <v>6517</v>
      </c>
      <c r="F1998" t="s">
        <v>14</v>
      </c>
      <c r="G1998" s="1">
        <v>723.8</v>
      </c>
      <c r="H1998" t="s">
        <v>1017</v>
      </c>
      <c r="I1998" t="s">
        <v>1943</v>
      </c>
      <c r="J1998" t="s">
        <v>6518</v>
      </c>
    </row>
    <row r="1999" spans="1:10">
      <c r="A1999">
        <v>120012</v>
      </c>
      <c r="B1999" t="s">
        <v>446</v>
      </c>
      <c r="C1999" t="s">
        <v>6519</v>
      </c>
      <c r="D1999" t="s">
        <v>12</v>
      </c>
      <c r="E1999" t="s">
        <v>6520</v>
      </c>
      <c r="F1999" t="s">
        <v>14</v>
      </c>
      <c r="G1999" s="1">
        <v>722.4</v>
      </c>
      <c r="H1999" t="s">
        <v>1017</v>
      </c>
      <c r="I1999" t="s">
        <v>2088</v>
      </c>
      <c r="J1999" t="s">
        <v>6521</v>
      </c>
    </row>
    <row r="2000" spans="1:10">
      <c r="A2000">
        <v>148731</v>
      </c>
      <c r="B2000" t="s">
        <v>446</v>
      </c>
      <c r="C2000" t="s">
        <v>6522</v>
      </c>
      <c r="D2000" t="s">
        <v>12</v>
      </c>
      <c r="E2000" t="s">
        <v>6523</v>
      </c>
      <c r="F2000" t="s">
        <v>14</v>
      </c>
      <c r="G2000" s="1">
        <v>720</v>
      </c>
      <c r="H2000" t="s">
        <v>1017</v>
      </c>
      <c r="I2000" t="s">
        <v>1943</v>
      </c>
      <c r="J2000" t="s">
        <v>6524</v>
      </c>
    </row>
    <row r="2001" spans="1:10">
      <c r="A2001">
        <v>121164</v>
      </c>
      <c r="B2001" t="s">
        <v>446</v>
      </c>
      <c r="C2001" t="s">
        <v>6525</v>
      </c>
      <c r="D2001" t="s">
        <v>12</v>
      </c>
      <c r="E2001" t="s">
        <v>6526</v>
      </c>
      <c r="F2001" t="s">
        <v>14</v>
      </c>
      <c r="G2001" s="1">
        <v>719.73</v>
      </c>
      <c r="H2001" t="s">
        <v>140</v>
      </c>
      <c r="I2001" t="s">
        <v>6527</v>
      </c>
      <c r="J2001" t="s">
        <v>6528</v>
      </c>
    </row>
    <row r="2002" spans="1:10">
      <c r="A2002">
        <v>126738</v>
      </c>
      <c r="B2002" t="s">
        <v>446</v>
      </c>
      <c r="C2002" t="s">
        <v>6529</v>
      </c>
      <c r="D2002" t="s">
        <v>12</v>
      </c>
      <c r="E2002" t="s">
        <v>2421</v>
      </c>
      <c r="F2002" t="s">
        <v>14</v>
      </c>
      <c r="G2002" s="1">
        <v>719</v>
      </c>
      <c r="H2002" t="s">
        <v>1378</v>
      </c>
      <c r="I2002" t="s">
        <v>1379</v>
      </c>
      <c r="J2002" t="s">
        <v>1380</v>
      </c>
    </row>
    <row r="2003" spans="1:10">
      <c r="A2003">
        <v>145098</v>
      </c>
      <c r="B2003" t="s">
        <v>446</v>
      </c>
      <c r="C2003" t="s">
        <v>6530</v>
      </c>
      <c r="D2003" t="s">
        <v>2098</v>
      </c>
      <c r="E2003" t="s">
        <v>6531</v>
      </c>
      <c r="F2003" t="s">
        <v>14</v>
      </c>
      <c r="G2003" s="1">
        <v>715.59</v>
      </c>
      <c r="H2003" t="s">
        <v>375</v>
      </c>
      <c r="I2003" t="s">
        <v>2100</v>
      </c>
      <c r="J2003" t="s">
        <v>6532</v>
      </c>
    </row>
    <row r="2004" spans="1:10">
      <c r="A2004">
        <v>120072</v>
      </c>
      <c r="B2004" t="s">
        <v>446</v>
      </c>
      <c r="C2004" t="s">
        <v>6533</v>
      </c>
      <c r="D2004" t="s">
        <v>12</v>
      </c>
      <c r="E2004" t="s">
        <v>6534</v>
      </c>
      <c r="F2004" t="s">
        <v>14</v>
      </c>
      <c r="G2004" s="1">
        <v>714.51</v>
      </c>
      <c r="H2004" t="s">
        <v>85</v>
      </c>
      <c r="I2004" t="s">
        <v>6535</v>
      </c>
      <c r="J2004" t="s">
        <v>6536</v>
      </c>
    </row>
    <row r="2005" spans="1:10">
      <c r="A2005">
        <v>150611</v>
      </c>
      <c r="B2005" t="s">
        <v>446</v>
      </c>
      <c r="C2005" t="s">
        <v>6537</v>
      </c>
      <c r="D2005" t="s">
        <v>12</v>
      </c>
      <c r="E2005" t="s">
        <v>6538</v>
      </c>
      <c r="F2005" t="s">
        <v>14</v>
      </c>
      <c r="G2005" s="1">
        <v>713.11</v>
      </c>
      <c r="H2005" t="s">
        <v>375</v>
      </c>
      <c r="I2005" t="s">
        <v>6539</v>
      </c>
      <c r="J2005" t="s">
        <v>6540</v>
      </c>
    </row>
    <row r="2006" spans="1:10">
      <c r="A2006">
        <v>128026</v>
      </c>
      <c r="B2006" t="s">
        <v>446</v>
      </c>
      <c r="C2006" t="s">
        <v>6541</v>
      </c>
      <c r="D2006" t="s">
        <v>12</v>
      </c>
      <c r="E2006" t="s">
        <v>6542</v>
      </c>
      <c r="F2006" t="s">
        <v>14</v>
      </c>
      <c r="G2006" s="1">
        <v>712.8</v>
      </c>
      <c r="H2006" t="s">
        <v>1378</v>
      </c>
      <c r="I2006" t="s">
        <v>3916</v>
      </c>
      <c r="J2006" t="s">
        <v>6543</v>
      </c>
    </row>
    <row r="2007" spans="1:10">
      <c r="A2007">
        <v>128787</v>
      </c>
      <c r="B2007" t="s">
        <v>446</v>
      </c>
      <c r="C2007" t="s">
        <v>6544</v>
      </c>
      <c r="D2007" t="s">
        <v>12</v>
      </c>
      <c r="E2007" t="s">
        <v>6545</v>
      </c>
      <c r="F2007" t="s">
        <v>14</v>
      </c>
      <c r="G2007" s="1">
        <v>707</v>
      </c>
      <c r="H2007" t="s">
        <v>437</v>
      </c>
      <c r="I2007" t="s">
        <v>6546</v>
      </c>
      <c r="J2007" t="s">
        <v>6547</v>
      </c>
    </row>
    <row r="2008" spans="1:10">
      <c r="A2008">
        <v>114992</v>
      </c>
      <c r="B2008" t="s">
        <v>446</v>
      </c>
      <c r="C2008" t="s">
        <v>6548</v>
      </c>
      <c r="D2008" t="s">
        <v>12</v>
      </c>
      <c r="E2008" t="s">
        <v>6549</v>
      </c>
      <c r="F2008" t="s">
        <v>14</v>
      </c>
      <c r="G2008" s="1">
        <v>700</v>
      </c>
      <c r="H2008" t="s">
        <v>1017</v>
      </c>
      <c r="I2008" t="s">
        <v>4549</v>
      </c>
      <c r="J2008" t="s">
        <v>6550</v>
      </c>
    </row>
    <row r="2009" spans="1:10">
      <c r="A2009">
        <v>151217</v>
      </c>
      <c r="B2009" t="s">
        <v>446</v>
      </c>
      <c r="C2009" t="s">
        <v>6551</v>
      </c>
      <c r="D2009" t="s">
        <v>12</v>
      </c>
      <c r="E2009" t="s">
        <v>6552</v>
      </c>
      <c r="F2009" t="s">
        <v>14</v>
      </c>
      <c r="G2009" s="1">
        <v>700</v>
      </c>
      <c r="H2009" t="s">
        <v>36</v>
      </c>
      <c r="I2009" t="s">
        <v>6553</v>
      </c>
      <c r="J2009" t="s">
        <v>6554</v>
      </c>
    </row>
    <row r="2010" spans="1:10">
      <c r="A2010">
        <v>147309</v>
      </c>
      <c r="B2010" t="s">
        <v>446</v>
      </c>
      <c r="C2010" t="s">
        <v>6555</v>
      </c>
      <c r="D2010" t="s">
        <v>12</v>
      </c>
      <c r="E2010" t="s">
        <v>6556</v>
      </c>
      <c r="F2010" t="s">
        <v>14</v>
      </c>
      <c r="G2010" s="1">
        <v>693</v>
      </c>
      <c r="H2010" t="s">
        <v>1017</v>
      </c>
      <c r="I2010" t="s">
        <v>6557</v>
      </c>
      <c r="J2010" t="s">
        <v>6558</v>
      </c>
    </row>
    <row r="2011" spans="1:10">
      <c r="A2011">
        <v>126554</v>
      </c>
      <c r="B2011" t="s">
        <v>446</v>
      </c>
      <c r="C2011" t="s">
        <v>6559</v>
      </c>
      <c r="D2011" t="s">
        <v>12</v>
      </c>
      <c r="E2011" t="s">
        <v>6560</v>
      </c>
      <c r="F2011" t="s">
        <v>14</v>
      </c>
      <c r="G2011" s="1">
        <v>689.55</v>
      </c>
      <c r="H2011" t="s">
        <v>1017</v>
      </c>
      <c r="I2011" t="s">
        <v>5733</v>
      </c>
      <c r="J2011" t="s">
        <v>6360</v>
      </c>
    </row>
    <row r="2012" spans="1:10">
      <c r="A2012">
        <v>112070</v>
      </c>
      <c r="B2012" t="s">
        <v>446</v>
      </c>
      <c r="C2012" t="s">
        <v>6561</v>
      </c>
      <c r="D2012" t="s">
        <v>12</v>
      </c>
      <c r="E2012" t="s">
        <v>6562</v>
      </c>
      <c r="F2012" t="s">
        <v>14</v>
      </c>
      <c r="G2012" s="1">
        <v>689.27</v>
      </c>
      <c r="H2012" t="s">
        <v>1917</v>
      </c>
      <c r="I2012" t="s">
        <v>6563</v>
      </c>
      <c r="J2012" t="s">
        <v>6564</v>
      </c>
    </row>
    <row r="2013" spans="1:10">
      <c r="A2013">
        <v>114908</v>
      </c>
      <c r="B2013" t="s">
        <v>446</v>
      </c>
      <c r="C2013" t="s">
        <v>6565</v>
      </c>
      <c r="D2013" t="s">
        <v>12</v>
      </c>
      <c r="E2013" t="s">
        <v>6566</v>
      </c>
      <c r="F2013" t="s">
        <v>14</v>
      </c>
      <c r="G2013" s="1">
        <v>686.7</v>
      </c>
      <c r="H2013" t="s">
        <v>1017</v>
      </c>
      <c r="I2013" t="s">
        <v>4756</v>
      </c>
      <c r="J2013" t="s">
        <v>6567</v>
      </c>
    </row>
    <row r="2014" spans="1:10">
      <c r="A2014">
        <v>132423</v>
      </c>
      <c r="B2014" t="s">
        <v>446</v>
      </c>
      <c r="C2014" t="s">
        <v>6568</v>
      </c>
      <c r="D2014" t="s">
        <v>12</v>
      </c>
      <c r="E2014" t="s">
        <v>6569</v>
      </c>
      <c r="F2014" t="s">
        <v>14</v>
      </c>
      <c r="G2014" s="1">
        <v>679.68</v>
      </c>
      <c r="H2014" t="s">
        <v>1017</v>
      </c>
      <c r="I2014" t="s">
        <v>1943</v>
      </c>
      <c r="J2014" t="s">
        <v>6570</v>
      </c>
    </row>
    <row r="2015" spans="1:10">
      <c r="A2015">
        <v>112675</v>
      </c>
      <c r="B2015" t="s">
        <v>446</v>
      </c>
      <c r="C2015" t="s">
        <v>6571</v>
      </c>
      <c r="D2015" t="s">
        <v>12</v>
      </c>
      <c r="E2015" t="s">
        <v>6572</v>
      </c>
      <c r="F2015" t="s">
        <v>14</v>
      </c>
      <c r="G2015" s="1">
        <v>677.34</v>
      </c>
      <c r="H2015" t="s">
        <v>36</v>
      </c>
      <c r="I2015" t="s">
        <v>964</v>
      </c>
      <c r="J2015" t="s">
        <v>6573</v>
      </c>
    </row>
    <row r="2016" spans="1:10">
      <c r="A2016">
        <v>151859</v>
      </c>
      <c r="B2016" t="s">
        <v>446</v>
      </c>
      <c r="C2016" t="s">
        <v>6574</v>
      </c>
      <c r="D2016" t="s">
        <v>12</v>
      </c>
      <c r="E2016" t="s">
        <v>6575</v>
      </c>
      <c r="F2016" t="s">
        <v>14</v>
      </c>
      <c r="G2016" s="1">
        <v>676.49</v>
      </c>
      <c r="H2016" t="s">
        <v>232</v>
      </c>
      <c r="I2016" t="s">
        <v>6576</v>
      </c>
      <c r="J2016" t="s">
        <v>6577</v>
      </c>
    </row>
    <row r="2017" spans="1:10">
      <c r="A2017">
        <v>110058</v>
      </c>
      <c r="B2017" t="s">
        <v>446</v>
      </c>
      <c r="C2017" t="s">
        <v>6578</v>
      </c>
      <c r="D2017" t="s">
        <v>12</v>
      </c>
      <c r="E2017" t="s">
        <v>6579</v>
      </c>
      <c r="F2017" t="s">
        <v>14</v>
      </c>
      <c r="G2017" s="1">
        <v>675</v>
      </c>
      <c r="H2017" t="s">
        <v>72</v>
      </c>
      <c r="I2017" t="s">
        <v>6580</v>
      </c>
      <c r="J2017" t="s">
        <v>6581</v>
      </c>
    </row>
    <row r="2018" spans="1:10">
      <c r="A2018">
        <v>141145</v>
      </c>
      <c r="B2018" t="s">
        <v>446</v>
      </c>
      <c r="C2018" t="s">
        <v>6582</v>
      </c>
      <c r="D2018" t="s">
        <v>12</v>
      </c>
      <c r="E2018" t="s">
        <v>6583</v>
      </c>
      <c r="F2018" t="s">
        <v>14</v>
      </c>
      <c r="G2018" s="1">
        <v>674.9</v>
      </c>
      <c r="H2018" t="s">
        <v>85</v>
      </c>
      <c r="I2018" t="s">
        <v>6584</v>
      </c>
      <c r="J2018" t="s">
        <v>6585</v>
      </c>
    </row>
    <row r="2019" spans="1:10">
      <c r="A2019">
        <v>151268</v>
      </c>
      <c r="B2019" t="s">
        <v>446</v>
      </c>
      <c r="C2019" t="s">
        <v>6586</v>
      </c>
      <c r="D2019" t="s">
        <v>12</v>
      </c>
      <c r="E2019" t="s">
        <v>6587</v>
      </c>
      <c r="F2019" t="s">
        <v>14</v>
      </c>
      <c r="G2019" s="1">
        <v>672.93</v>
      </c>
      <c r="H2019" t="s">
        <v>36</v>
      </c>
      <c r="I2019" t="s">
        <v>1820</v>
      </c>
      <c r="J2019" t="s">
        <v>5826</v>
      </c>
    </row>
    <row r="2020" spans="1:10">
      <c r="A2020">
        <v>116556</v>
      </c>
      <c r="B2020" t="s">
        <v>446</v>
      </c>
      <c r="C2020" t="s">
        <v>6588</v>
      </c>
      <c r="D2020" t="s">
        <v>12</v>
      </c>
      <c r="E2020" t="s">
        <v>6589</v>
      </c>
      <c r="F2020" t="s">
        <v>14</v>
      </c>
      <c r="G2020" s="1">
        <v>672.87</v>
      </c>
      <c r="H2020" t="s">
        <v>1017</v>
      </c>
      <c r="I2020" t="s">
        <v>6590</v>
      </c>
      <c r="J2020" t="s">
        <v>6591</v>
      </c>
    </row>
    <row r="2021" spans="1:10">
      <c r="A2021">
        <v>108110</v>
      </c>
      <c r="B2021" t="s">
        <v>446</v>
      </c>
      <c r="C2021" t="s">
        <v>6592</v>
      </c>
      <c r="D2021" t="s">
        <v>12</v>
      </c>
      <c r="E2021" t="s">
        <v>6593</v>
      </c>
      <c r="F2021" t="s">
        <v>14</v>
      </c>
      <c r="G2021" s="1">
        <v>659.2</v>
      </c>
      <c r="H2021" t="s">
        <v>27</v>
      </c>
      <c r="I2021" t="s">
        <v>6378</v>
      </c>
      <c r="J2021" t="s">
        <v>6594</v>
      </c>
    </row>
    <row r="2022" spans="1:10">
      <c r="A2022">
        <v>145056</v>
      </c>
      <c r="B2022" t="s">
        <v>446</v>
      </c>
      <c r="C2022" t="s">
        <v>6595</v>
      </c>
      <c r="D2022" t="s">
        <v>12</v>
      </c>
      <c r="E2022" t="s">
        <v>6596</v>
      </c>
      <c r="F2022" t="s">
        <v>14</v>
      </c>
      <c r="G2022" s="1">
        <v>658.47</v>
      </c>
      <c r="H2022" t="s">
        <v>553</v>
      </c>
      <c r="I2022" t="s">
        <v>1971</v>
      </c>
      <c r="J2022" t="s">
        <v>6597</v>
      </c>
    </row>
    <row r="2023" spans="1:10">
      <c r="A2023">
        <v>118679</v>
      </c>
      <c r="B2023" t="s">
        <v>446</v>
      </c>
      <c r="C2023" t="s">
        <v>6598</v>
      </c>
      <c r="D2023" t="s">
        <v>12</v>
      </c>
      <c r="E2023" t="s">
        <v>6599</v>
      </c>
      <c r="F2023" t="s">
        <v>14</v>
      </c>
      <c r="G2023" s="1">
        <v>654.84</v>
      </c>
      <c r="H2023" t="s">
        <v>1378</v>
      </c>
      <c r="I2023" t="s">
        <v>1379</v>
      </c>
      <c r="J2023" t="s">
        <v>1380</v>
      </c>
    </row>
    <row r="2024" spans="1:10">
      <c r="A2024">
        <v>128516</v>
      </c>
      <c r="B2024" t="s">
        <v>446</v>
      </c>
      <c r="C2024" t="s">
        <v>6600</v>
      </c>
      <c r="D2024" t="s">
        <v>12</v>
      </c>
      <c r="E2024" t="s">
        <v>6601</v>
      </c>
      <c r="F2024" t="s">
        <v>14</v>
      </c>
      <c r="G2024" s="1">
        <v>650</v>
      </c>
      <c r="H2024" t="s">
        <v>2083</v>
      </c>
      <c r="I2024" t="s">
        <v>6602</v>
      </c>
      <c r="J2024" t="s">
        <v>6603</v>
      </c>
    </row>
    <row r="2025" spans="1:10">
      <c r="A2025">
        <v>151004</v>
      </c>
      <c r="B2025" t="s">
        <v>446</v>
      </c>
      <c r="C2025" t="s">
        <v>6604</v>
      </c>
      <c r="D2025" t="s">
        <v>12</v>
      </c>
      <c r="E2025" t="s">
        <v>6605</v>
      </c>
      <c r="F2025" t="s">
        <v>14</v>
      </c>
      <c r="G2025" s="1">
        <v>650</v>
      </c>
      <c r="H2025" t="s">
        <v>36</v>
      </c>
      <c r="I2025" t="s">
        <v>6606</v>
      </c>
      <c r="J2025" t="s">
        <v>6607</v>
      </c>
    </row>
    <row r="2026" spans="1:10">
      <c r="A2026">
        <v>140188</v>
      </c>
      <c r="B2026" t="s">
        <v>446</v>
      </c>
      <c r="C2026" t="s">
        <v>6608</v>
      </c>
      <c r="D2026" t="s">
        <v>12</v>
      </c>
      <c r="E2026" t="s">
        <v>6609</v>
      </c>
      <c r="F2026" t="s">
        <v>14</v>
      </c>
      <c r="G2026" s="1">
        <v>648.84</v>
      </c>
      <c r="H2026" t="s">
        <v>1017</v>
      </c>
      <c r="I2026" t="s">
        <v>4756</v>
      </c>
      <c r="J2026" t="s">
        <v>6610</v>
      </c>
    </row>
    <row r="2027" spans="1:10">
      <c r="A2027">
        <v>149724</v>
      </c>
      <c r="B2027" t="s">
        <v>446</v>
      </c>
      <c r="C2027" t="s">
        <v>6611</v>
      </c>
      <c r="D2027" t="s">
        <v>12</v>
      </c>
      <c r="E2027" t="s">
        <v>6612</v>
      </c>
      <c r="F2027" t="s">
        <v>14</v>
      </c>
      <c r="G2027" s="1">
        <v>648</v>
      </c>
      <c r="H2027" t="s">
        <v>499</v>
      </c>
      <c r="I2027" t="s">
        <v>3844</v>
      </c>
      <c r="J2027" t="s">
        <v>3845</v>
      </c>
    </row>
    <row r="2028" spans="1:10">
      <c r="A2028">
        <v>105155</v>
      </c>
      <c r="B2028" t="s">
        <v>446</v>
      </c>
      <c r="C2028" t="s">
        <v>6613</v>
      </c>
      <c r="D2028" t="s">
        <v>2098</v>
      </c>
      <c r="E2028" t="s">
        <v>6614</v>
      </c>
      <c r="F2028" t="s">
        <v>14</v>
      </c>
      <c r="G2028" s="1">
        <v>640.74</v>
      </c>
      <c r="H2028" t="s">
        <v>375</v>
      </c>
      <c r="I2028" t="s">
        <v>2442</v>
      </c>
      <c r="J2028" t="s">
        <v>6615</v>
      </c>
    </row>
    <row r="2029" spans="1:10">
      <c r="A2029">
        <v>152193</v>
      </c>
      <c r="B2029" t="s">
        <v>446</v>
      </c>
      <c r="C2029" t="s">
        <v>6616</v>
      </c>
      <c r="D2029" t="s">
        <v>12</v>
      </c>
      <c r="E2029" t="s">
        <v>6617</v>
      </c>
      <c r="F2029" t="s">
        <v>14</v>
      </c>
      <c r="G2029" s="1">
        <v>640</v>
      </c>
      <c r="H2029" t="s">
        <v>140</v>
      </c>
      <c r="I2029" t="s">
        <v>1692</v>
      </c>
      <c r="J2029" t="s">
        <v>1693</v>
      </c>
    </row>
    <row r="2030" spans="1:10">
      <c r="A2030">
        <v>140344</v>
      </c>
      <c r="B2030" t="s">
        <v>446</v>
      </c>
      <c r="C2030" t="s">
        <v>6618</v>
      </c>
      <c r="D2030" t="s">
        <v>12</v>
      </c>
      <c r="E2030" t="s">
        <v>6619</v>
      </c>
      <c r="F2030" t="s">
        <v>14</v>
      </c>
      <c r="G2030" s="1">
        <v>639.80999999999995</v>
      </c>
      <c r="H2030" t="s">
        <v>1017</v>
      </c>
      <c r="I2030" t="s">
        <v>6241</v>
      </c>
      <c r="J2030" t="s">
        <v>6414</v>
      </c>
    </row>
    <row r="2031" spans="1:10">
      <c r="A2031">
        <v>131084</v>
      </c>
      <c r="B2031" t="s">
        <v>446</v>
      </c>
      <c r="C2031" t="s">
        <v>6620</v>
      </c>
      <c r="D2031" t="s">
        <v>12</v>
      </c>
      <c r="E2031" t="s">
        <v>6621</v>
      </c>
      <c r="F2031" t="s">
        <v>14</v>
      </c>
      <c r="G2031" s="1">
        <v>639.25</v>
      </c>
      <c r="H2031" t="s">
        <v>95</v>
      </c>
      <c r="I2031" t="s">
        <v>506</v>
      </c>
      <c r="J2031" t="s">
        <v>6622</v>
      </c>
    </row>
    <row r="2032" spans="1:10">
      <c r="A2032">
        <v>106934</v>
      </c>
      <c r="B2032" t="s">
        <v>446</v>
      </c>
      <c r="C2032" t="s">
        <v>6623</v>
      </c>
      <c r="D2032" t="s">
        <v>12</v>
      </c>
      <c r="E2032" t="s">
        <v>689</v>
      </c>
      <c r="F2032" t="s">
        <v>14</v>
      </c>
      <c r="G2032" s="1">
        <v>637.82000000000005</v>
      </c>
      <c r="H2032" t="s">
        <v>27</v>
      </c>
      <c r="I2032" t="s">
        <v>6624</v>
      </c>
      <c r="J2032" t="s">
        <v>6625</v>
      </c>
    </row>
    <row r="2033" spans="1:10">
      <c r="A2033">
        <v>128902</v>
      </c>
      <c r="B2033" t="s">
        <v>446</v>
      </c>
      <c r="C2033" t="s">
        <v>6626</v>
      </c>
      <c r="D2033" t="s">
        <v>2098</v>
      </c>
      <c r="E2033" t="s">
        <v>6627</v>
      </c>
      <c r="F2033" t="s">
        <v>14</v>
      </c>
      <c r="G2033" s="1">
        <v>634.37</v>
      </c>
      <c r="H2033" t="s">
        <v>375</v>
      </c>
      <c r="I2033" t="s">
        <v>6628</v>
      </c>
      <c r="J2033" t="s">
        <v>6629</v>
      </c>
    </row>
    <row r="2034" spans="1:10">
      <c r="A2034">
        <v>150979</v>
      </c>
      <c r="B2034" t="s">
        <v>446</v>
      </c>
      <c r="C2034" t="s">
        <v>6630</v>
      </c>
      <c r="D2034" t="s">
        <v>12</v>
      </c>
      <c r="E2034" t="s">
        <v>6631</v>
      </c>
      <c r="F2034" t="s">
        <v>14</v>
      </c>
      <c r="G2034" s="1">
        <v>633.91</v>
      </c>
      <c r="H2034" t="s">
        <v>1124</v>
      </c>
      <c r="I2034" t="s">
        <v>6632</v>
      </c>
      <c r="J2034" t="s">
        <v>6633</v>
      </c>
    </row>
    <row r="2035" spans="1:10">
      <c r="A2035">
        <v>118099</v>
      </c>
      <c r="B2035" t="s">
        <v>446</v>
      </c>
      <c r="C2035" t="s">
        <v>6634</v>
      </c>
      <c r="D2035" t="s">
        <v>512</v>
      </c>
      <c r="E2035" t="s">
        <v>6635</v>
      </c>
      <c r="F2035" t="s">
        <v>14</v>
      </c>
      <c r="G2035" s="1">
        <v>633.54999999999995</v>
      </c>
      <c r="H2035" t="s">
        <v>27</v>
      </c>
      <c r="I2035" t="s">
        <v>6378</v>
      </c>
      <c r="J2035" t="s">
        <v>6594</v>
      </c>
    </row>
    <row r="2036" spans="1:10">
      <c r="A2036">
        <v>150853</v>
      </c>
      <c r="B2036" t="s">
        <v>446</v>
      </c>
      <c r="C2036" t="s">
        <v>6636</v>
      </c>
      <c r="D2036" t="s">
        <v>12</v>
      </c>
      <c r="E2036" t="s">
        <v>6637</v>
      </c>
      <c r="F2036" t="s">
        <v>14</v>
      </c>
      <c r="G2036" s="1">
        <v>628.21</v>
      </c>
      <c r="H2036" t="s">
        <v>56</v>
      </c>
      <c r="I2036" t="s">
        <v>4372</v>
      </c>
      <c r="J2036" t="s">
        <v>6638</v>
      </c>
    </row>
    <row r="2037" spans="1:10">
      <c r="A2037">
        <v>107949</v>
      </c>
      <c r="B2037" t="s">
        <v>446</v>
      </c>
      <c r="C2037" t="s">
        <v>6639</v>
      </c>
      <c r="D2037" t="s">
        <v>12</v>
      </c>
      <c r="E2037" t="s">
        <v>6640</v>
      </c>
      <c r="F2037" t="s">
        <v>14</v>
      </c>
      <c r="G2037" s="1">
        <v>625</v>
      </c>
      <c r="H2037" t="s">
        <v>36</v>
      </c>
      <c r="I2037" t="s">
        <v>1820</v>
      </c>
      <c r="J2037" t="s">
        <v>1821</v>
      </c>
    </row>
    <row r="2038" spans="1:10">
      <c r="A2038">
        <v>114296</v>
      </c>
      <c r="B2038" t="s">
        <v>446</v>
      </c>
      <c r="C2038" t="s">
        <v>6641</v>
      </c>
      <c r="D2038" t="s">
        <v>12</v>
      </c>
      <c r="E2038" t="s">
        <v>6642</v>
      </c>
      <c r="F2038" t="s">
        <v>14</v>
      </c>
      <c r="G2038" s="1">
        <v>624.58000000000004</v>
      </c>
      <c r="H2038" t="s">
        <v>232</v>
      </c>
      <c r="I2038" t="s">
        <v>2182</v>
      </c>
      <c r="J2038" t="s">
        <v>6643</v>
      </c>
    </row>
    <row r="2039" spans="1:10">
      <c r="A2039">
        <v>104433</v>
      </c>
      <c r="B2039" t="s">
        <v>446</v>
      </c>
      <c r="C2039" t="s">
        <v>6644</v>
      </c>
      <c r="D2039" t="s">
        <v>12</v>
      </c>
      <c r="E2039" t="s">
        <v>31</v>
      </c>
      <c r="F2039" t="s">
        <v>14</v>
      </c>
      <c r="G2039" s="1">
        <v>618.89</v>
      </c>
      <c r="H2039" t="s">
        <v>232</v>
      </c>
      <c r="I2039" t="s">
        <v>6645</v>
      </c>
      <c r="J2039" t="s">
        <v>6646</v>
      </c>
    </row>
    <row r="2040" spans="1:10">
      <c r="A2040">
        <v>130618</v>
      </c>
      <c r="B2040" t="s">
        <v>446</v>
      </c>
      <c r="C2040" t="s">
        <v>6647</v>
      </c>
      <c r="D2040" t="s">
        <v>124</v>
      </c>
      <c r="E2040" t="s">
        <v>6648</v>
      </c>
      <c r="F2040" t="s">
        <v>14</v>
      </c>
      <c r="G2040" s="1">
        <v>600</v>
      </c>
      <c r="H2040" t="s">
        <v>126</v>
      </c>
      <c r="I2040" t="s">
        <v>156</v>
      </c>
      <c r="J2040" t="s">
        <v>187</v>
      </c>
    </row>
    <row r="2041" spans="1:10">
      <c r="A2041">
        <v>125313</v>
      </c>
      <c r="B2041" t="s">
        <v>446</v>
      </c>
      <c r="C2041" t="s">
        <v>6649</v>
      </c>
      <c r="D2041" t="s">
        <v>12</v>
      </c>
      <c r="E2041" t="s">
        <v>6650</v>
      </c>
      <c r="F2041" t="s">
        <v>14</v>
      </c>
      <c r="G2041" s="1">
        <v>600</v>
      </c>
      <c r="H2041" t="s">
        <v>777</v>
      </c>
      <c r="I2041" t="s">
        <v>5624</v>
      </c>
      <c r="J2041" t="s">
        <v>6651</v>
      </c>
    </row>
    <row r="2042" spans="1:10">
      <c r="A2042">
        <v>144549</v>
      </c>
      <c r="B2042" t="s">
        <v>446</v>
      </c>
      <c r="C2042" t="s">
        <v>6652</v>
      </c>
      <c r="D2042" t="s">
        <v>12</v>
      </c>
      <c r="E2042" t="s">
        <v>6653</v>
      </c>
      <c r="F2042" t="s">
        <v>14</v>
      </c>
      <c r="G2042" s="1">
        <v>597.32000000000005</v>
      </c>
      <c r="H2042" t="s">
        <v>499</v>
      </c>
      <c r="I2042" t="s">
        <v>2632</v>
      </c>
      <c r="J2042" t="s">
        <v>4988</v>
      </c>
    </row>
    <row r="2043" spans="1:10">
      <c r="A2043">
        <v>104862</v>
      </c>
      <c r="B2043" t="s">
        <v>446</v>
      </c>
      <c r="C2043" t="s">
        <v>6654</v>
      </c>
      <c r="D2043" t="s">
        <v>12</v>
      </c>
      <c r="E2043" t="s">
        <v>6655</v>
      </c>
      <c r="F2043" t="s">
        <v>14</v>
      </c>
      <c r="G2043" s="1">
        <v>593.15</v>
      </c>
      <c r="H2043" t="s">
        <v>1017</v>
      </c>
      <c r="I2043" t="s">
        <v>6656</v>
      </c>
      <c r="J2043" t="s">
        <v>6242</v>
      </c>
    </row>
    <row r="2044" spans="1:10">
      <c r="A2044">
        <v>150587</v>
      </c>
      <c r="B2044" t="s">
        <v>446</v>
      </c>
      <c r="C2044" t="s">
        <v>6657</v>
      </c>
      <c r="D2044" t="s">
        <v>12</v>
      </c>
      <c r="E2044" t="s">
        <v>6658</v>
      </c>
      <c r="F2044" t="s">
        <v>14</v>
      </c>
      <c r="G2044" s="1">
        <v>584</v>
      </c>
      <c r="H2044" t="s">
        <v>56</v>
      </c>
      <c r="I2044" t="s">
        <v>6659</v>
      </c>
      <c r="J2044" t="s">
        <v>6660</v>
      </c>
    </row>
    <row r="2045" spans="1:10">
      <c r="A2045">
        <v>126905</v>
      </c>
      <c r="B2045" t="s">
        <v>446</v>
      </c>
      <c r="C2045" t="s">
        <v>6661</v>
      </c>
      <c r="D2045" t="s">
        <v>12</v>
      </c>
      <c r="E2045" t="s">
        <v>6662</v>
      </c>
      <c r="F2045" t="s">
        <v>14</v>
      </c>
      <c r="G2045" s="1">
        <v>583</v>
      </c>
      <c r="H2045" t="s">
        <v>56</v>
      </c>
      <c r="I2045" t="s">
        <v>6663</v>
      </c>
      <c r="J2045" t="s">
        <v>6664</v>
      </c>
    </row>
    <row r="2046" spans="1:10">
      <c r="A2046">
        <v>143345</v>
      </c>
      <c r="B2046" t="s">
        <v>446</v>
      </c>
      <c r="C2046" t="s">
        <v>6665</v>
      </c>
      <c r="D2046" t="s">
        <v>12</v>
      </c>
      <c r="E2046" t="s">
        <v>6666</v>
      </c>
      <c r="F2046" t="s">
        <v>14</v>
      </c>
      <c r="G2046" s="1">
        <v>578.80999999999995</v>
      </c>
      <c r="H2046" t="s">
        <v>1017</v>
      </c>
      <c r="I2046" t="s">
        <v>6667</v>
      </c>
      <c r="J2046" t="s">
        <v>6668</v>
      </c>
    </row>
    <row r="2047" spans="1:10">
      <c r="A2047">
        <v>150365</v>
      </c>
      <c r="B2047" t="s">
        <v>446</v>
      </c>
      <c r="C2047" t="s">
        <v>6669</v>
      </c>
      <c r="D2047" t="s">
        <v>12</v>
      </c>
      <c r="E2047" t="s">
        <v>6670</v>
      </c>
      <c r="F2047" t="s">
        <v>14</v>
      </c>
      <c r="G2047" s="1">
        <v>575</v>
      </c>
      <c r="H2047" t="s">
        <v>499</v>
      </c>
      <c r="I2047" t="s">
        <v>6671</v>
      </c>
      <c r="J2047" t="s">
        <v>6672</v>
      </c>
    </row>
    <row r="2048" spans="1:10">
      <c r="A2048">
        <v>128517</v>
      </c>
      <c r="B2048" t="s">
        <v>446</v>
      </c>
      <c r="C2048" t="s">
        <v>6673</v>
      </c>
      <c r="D2048" t="s">
        <v>12</v>
      </c>
      <c r="E2048" t="s">
        <v>6674</v>
      </c>
      <c r="F2048" t="s">
        <v>14</v>
      </c>
      <c r="G2048" s="1">
        <v>570</v>
      </c>
      <c r="H2048" t="s">
        <v>36</v>
      </c>
      <c r="I2048" t="s">
        <v>5131</v>
      </c>
      <c r="J2048" t="s">
        <v>5132</v>
      </c>
    </row>
    <row r="2049" spans="1:10">
      <c r="A2049">
        <v>149501</v>
      </c>
      <c r="B2049" t="s">
        <v>446</v>
      </c>
      <c r="C2049" t="s">
        <v>6675</v>
      </c>
      <c r="D2049" t="s">
        <v>12</v>
      </c>
      <c r="E2049" t="s">
        <v>6676</v>
      </c>
      <c r="F2049" t="s">
        <v>14</v>
      </c>
      <c r="G2049" s="1">
        <v>565</v>
      </c>
      <c r="H2049" t="s">
        <v>777</v>
      </c>
      <c r="I2049" t="s">
        <v>2418</v>
      </c>
      <c r="J2049" t="s">
        <v>6677</v>
      </c>
    </row>
    <row r="2050" spans="1:10">
      <c r="A2050">
        <v>103182</v>
      </c>
      <c r="B2050" t="s">
        <v>446</v>
      </c>
      <c r="C2050" t="s">
        <v>6678</v>
      </c>
      <c r="D2050" t="s">
        <v>12</v>
      </c>
      <c r="E2050" t="s">
        <v>6679</v>
      </c>
      <c r="F2050" t="s">
        <v>14</v>
      </c>
      <c r="G2050" s="1">
        <v>565</v>
      </c>
      <c r="H2050" t="s">
        <v>1378</v>
      </c>
      <c r="I2050" t="s">
        <v>3173</v>
      </c>
      <c r="J2050" t="s">
        <v>3174</v>
      </c>
    </row>
    <row r="2051" spans="1:10">
      <c r="A2051">
        <v>110671</v>
      </c>
      <c r="B2051" t="s">
        <v>446</v>
      </c>
      <c r="C2051" t="s">
        <v>6680</v>
      </c>
      <c r="D2051" t="s">
        <v>124</v>
      </c>
      <c r="E2051" t="s">
        <v>6681</v>
      </c>
      <c r="F2051" t="s">
        <v>14</v>
      </c>
      <c r="G2051" s="1">
        <v>560.85</v>
      </c>
      <c r="H2051" t="s">
        <v>126</v>
      </c>
      <c r="I2051" t="s">
        <v>156</v>
      </c>
      <c r="J2051" t="s">
        <v>6682</v>
      </c>
    </row>
    <row r="2052" spans="1:10">
      <c r="A2052">
        <v>145406</v>
      </c>
      <c r="B2052" t="s">
        <v>446</v>
      </c>
      <c r="C2052" t="s">
        <v>6683</v>
      </c>
      <c r="D2052" t="s">
        <v>12</v>
      </c>
      <c r="E2052" t="s">
        <v>6684</v>
      </c>
      <c r="F2052" t="s">
        <v>168</v>
      </c>
      <c r="G2052" s="1">
        <v>557.09</v>
      </c>
      <c r="H2052" t="s">
        <v>1017</v>
      </c>
      <c r="I2052" t="s">
        <v>6685</v>
      </c>
      <c r="J2052" t="s">
        <v>6686</v>
      </c>
    </row>
    <row r="2053" spans="1:10">
      <c r="A2053">
        <v>140293</v>
      </c>
      <c r="B2053" t="s">
        <v>446</v>
      </c>
      <c r="C2053" t="s">
        <v>6687</v>
      </c>
      <c r="D2053" t="s">
        <v>12</v>
      </c>
      <c r="E2053" t="s">
        <v>6688</v>
      </c>
      <c r="F2053" t="s">
        <v>14</v>
      </c>
      <c r="G2053" s="1">
        <v>553.21</v>
      </c>
      <c r="H2053" t="s">
        <v>126</v>
      </c>
      <c r="I2053" t="s">
        <v>5323</v>
      </c>
      <c r="J2053" t="s">
        <v>6689</v>
      </c>
    </row>
    <row r="2054" spans="1:10">
      <c r="A2054">
        <v>150903</v>
      </c>
      <c r="B2054" t="s">
        <v>446</v>
      </c>
      <c r="C2054" t="s">
        <v>6690</v>
      </c>
      <c r="D2054" t="s">
        <v>12</v>
      </c>
      <c r="E2054" t="s">
        <v>6691</v>
      </c>
      <c r="F2054" t="s">
        <v>14</v>
      </c>
      <c r="G2054" s="1">
        <v>551.4</v>
      </c>
      <c r="H2054" t="s">
        <v>1017</v>
      </c>
      <c r="I2054" t="s">
        <v>1943</v>
      </c>
      <c r="J2054" t="s">
        <v>6692</v>
      </c>
    </row>
    <row r="2055" spans="1:10">
      <c r="A2055">
        <v>144633</v>
      </c>
      <c r="B2055" t="s">
        <v>446</v>
      </c>
      <c r="C2055" t="s">
        <v>6693</v>
      </c>
      <c r="D2055" t="s">
        <v>12</v>
      </c>
      <c r="E2055" t="s">
        <v>6694</v>
      </c>
      <c r="F2055" t="s">
        <v>14</v>
      </c>
      <c r="G2055" s="1">
        <v>550</v>
      </c>
      <c r="H2055" t="s">
        <v>140</v>
      </c>
      <c r="I2055" t="s">
        <v>6695</v>
      </c>
      <c r="J2055" t="s">
        <v>6696</v>
      </c>
    </row>
    <row r="2056" spans="1:10">
      <c r="A2056">
        <v>152473</v>
      </c>
      <c r="B2056" t="s">
        <v>446</v>
      </c>
      <c r="C2056" t="s">
        <v>6697</v>
      </c>
      <c r="D2056" t="s">
        <v>12</v>
      </c>
      <c r="E2056" t="s">
        <v>6698</v>
      </c>
      <c r="F2056" t="s">
        <v>14</v>
      </c>
      <c r="G2056" s="1">
        <v>550</v>
      </c>
      <c r="H2056" t="s">
        <v>777</v>
      </c>
      <c r="I2056" t="s">
        <v>6699</v>
      </c>
      <c r="J2056" t="s">
        <v>6700</v>
      </c>
    </row>
    <row r="2057" spans="1:10">
      <c r="A2057">
        <v>144082</v>
      </c>
      <c r="B2057" t="s">
        <v>446</v>
      </c>
      <c r="C2057" t="s">
        <v>6701</v>
      </c>
      <c r="D2057" t="s">
        <v>12</v>
      </c>
      <c r="E2057" t="s">
        <v>6702</v>
      </c>
      <c r="F2057" t="s">
        <v>14</v>
      </c>
      <c r="G2057" s="1">
        <v>540</v>
      </c>
      <c r="H2057" t="s">
        <v>499</v>
      </c>
      <c r="I2057" t="s">
        <v>3866</v>
      </c>
      <c r="J2057" t="s">
        <v>6703</v>
      </c>
    </row>
    <row r="2058" spans="1:10">
      <c r="A2058">
        <v>117783</v>
      </c>
      <c r="B2058" t="s">
        <v>446</v>
      </c>
      <c r="C2058" t="s">
        <v>6704</v>
      </c>
      <c r="D2058" t="s">
        <v>12</v>
      </c>
      <c r="E2058" t="s">
        <v>6705</v>
      </c>
      <c r="F2058" t="s">
        <v>14</v>
      </c>
      <c r="G2058" s="1">
        <v>533.13</v>
      </c>
      <c r="H2058" t="s">
        <v>1017</v>
      </c>
      <c r="I2058" t="s">
        <v>6706</v>
      </c>
      <c r="J2058" t="s">
        <v>6707</v>
      </c>
    </row>
    <row r="2059" spans="1:10">
      <c r="A2059">
        <v>111305</v>
      </c>
      <c r="B2059" t="s">
        <v>446</v>
      </c>
      <c r="C2059" t="s">
        <v>6708</v>
      </c>
      <c r="D2059" t="s">
        <v>12</v>
      </c>
      <c r="E2059" t="s">
        <v>6709</v>
      </c>
      <c r="F2059" t="s">
        <v>14</v>
      </c>
      <c r="G2059" s="1">
        <v>527.28</v>
      </c>
      <c r="H2059" t="s">
        <v>1017</v>
      </c>
      <c r="I2059" t="s">
        <v>6710</v>
      </c>
      <c r="J2059" t="s">
        <v>6711</v>
      </c>
    </row>
    <row r="2060" spans="1:10">
      <c r="A2060">
        <v>141239</v>
      </c>
      <c r="B2060" t="s">
        <v>446</v>
      </c>
      <c r="C2060" t="s">
        <v>6712</v>
      </c>
      <c r="D2060" t="s">
        <v>2098</v>
      </c>
      <c r="E2060" t="s">
        <v>6713</v>
      </c>
      <c r="F2060" t="s">
        <v>14</v>
      </c>
      <c r="G2060" s="1">
        <v>525.83000000000004</v>
      </c>
      <c r="H2060" t="s">
        <v>375</v>
      </c>
      <c r="I2060" t="s">
        <v>2442</v>
      </c>
      <c r="J2060" t="s">
        <v>6714</v>
      </c>
    </row>
    <row r="2061" spans="1:10">
      <c r="A2061">
        <v>111398</v>
      </c>
      <c r="B2061" t="s">
        <v>446</v>
      </c>
      <c r="C2061" t="s">
        <v>6715</v>
      </c>
      <c r="D2061" t="s">
        <v>12</v>
      </c>
      <c r="E2061" t="s">
        <v>6716</v>
      </c>
      <c r="F2061" t="s">
        <v>14</v>
      </c>
      <c r="G2061" s="1">
        <v>525.42999999999995</v>
      </c>
      <c r="H2061" t="s">
        <v>232</v>
      </c>
      <c r="I2061" t="s">
        <v>6717</v>
      </c>
      <c r="J2061" t="s">
        <v>6718</v>
      </c>
    </row>
    <row r="2062" spans="1:10">
      <c r="A2062">
        <v>114499</v>
      </c>
      <c r="B2062" t="s">
        <v>446</v>
      </c>
      <c r="C2062" t="s">
        <v>6719</v>
      </c>
      <c r="D2062" t="s">
        <v>12</v>
      </c>
      <c r="E2062" t="s">
        <v>6720</v>
      </c>
      <c r="F2062" t="s">
        <v>14</v>
      </c>
      <c r="G2062" s="1">
        <v>525</v>
      </c>
      <c r="H2062" t="s">
        <v>777</v>
      </c>
      <c r="I2062" t="s">
        <v>6721</v>
      </c>
      <c r="J2062" t="s">
        <v>6722</v>
      </c>
    </row>
    <row r="2063" spans="1:10">
      <c r="A2063">
        <v>147476</v>
      </c>
      <c r="B2063" t="s">
        <v>446</v>
      </c>
      <c r="C2063" t="s">
        <v>6723</v>
      </c>
      <c r="D2063" t="s">
        <v>12</v>
      </c>
      <c r="E2063" t="s">
        <v>6724</v>
      </c>
      <c r="F2063" t="s">
        <v>14</v>
      </c>
      <c r="G2063" s="1">
        <v>522.59</v>
      </c>
      <c r="H2063" t="s">
        <v>85</v>
      </c>
      <c r="I2063" t="s">
        <v>6725</v>
      </c>
      <c r="J2063" t="s">
        <v>6726</v>
      </c>
    </row>
    <row r="2064" spans="1:10">
      <c r="A2064">
        <v>144369</v>
      </c>
      <c r="B2064" t="s">
        <v>446</v>
      </c>
      <c r="C2064" t="s">
        <v>6727</v>
      </c>
      <c r="D2064" t="s">
        <v>12</v>
      </c>
      <c r="E2064" t="s">
        <v>6728</v>
      </c>
      <c r="F2064" t="s">
        <v>14</v>
      </c>
      <c r="G2064" s="1">
        <v>520</v>
      </c>
      <c r="H2064" t="s">
        <v>499</v>
      </c>
      <c r="I2064" t="s">
        <v>3844</v>
      </c>
      <c r="J2064" t="s">
        <v>3845</v>
      </c>
    </row>
    <row r="2065" spans="1:10">
      <c r="A2065">
        <v>130615</v>
      </c>
      <c r="B2065" t="s">
        <v>446</v>
      </c>
      <c r="C2065" t="s">
        <v>6729</v>
      </c>
      <c r="D2065" t="s">
        <v>12</v>
      </c>
      <c r="E2065" t="s">
        <v>6730</v>
      </c>
      <c r="F2065" t="s">
        <v>14</v>
      </c>
      <c r="G2065" s="1">
        <v>519.92999999999995</v>
      </c>
      <c r="H2065" t="s">
        <v>1017</v>
      </c>
      <c r="I2065" t="s">
        <v>4756</v>
      </c>
      <c r="J2065" t="s">
        <v>6731</v>
      </c>
    </row>
    <row r="2066" spans="1:10">
      <c r="A2066">
        <v>127527</v>
      </c>
      <c r="B2066" t="s">
        <v>446</v>
      </c>
      <c r="C2066" t="s">
        <v>6732</v>
      </c>
      <c r="D2066" t="s">
        <v>12</v>
      </c>
      <c r="E2066" t="s">
        <v>6733</v>
      </c>
      <c r="F2066" t="s">
        <v>14</v>
      </c>
      <c r="G2066" s="1">
        <v>518.76</v>
      </c>
      <c r="H2066" t="s">
        <v>27</v>
      </c>
      <c r="I2066" t="s">
        <v>3239</v>
      </c>
      <c r="J2066" t="s">
        <v>6734</v>
      </c>
    </row>
    <row r="2067" spans="1:10">
      <c r="A2067">
        <v>145525</v>
      </c>
      <c r="B2067" t="s">
        <v>446</v>
      </c>
      <c r="C2067" t="s">
        <v>6735</v>
      </c>
      <c r="D2067" t="s">
        <v>12</v>
      </c>
      <c r="E2067" t="s">
        <v>6736</v>
      </c>
      <c r="F2067" t="s">
        <v>14</v>
      </c>
      <c r="G2067" s="1">
        <v>518.21</v>
      </c>
      <c r="H2067" t="s">
        <v>232</v>
      </c>
      <c r="I2067" t="s">
        <v>6737</v>
      </c>
      <c r="J2067" t="s">
        <v>6738</v>
      </c>
    </row>
    <row r="2068" spans="1:10">
      <c r="A2068">
        <v>115334</v>
      </c>
      <c r="B2068" t="s">
        <v>446</v>
      </c>
      <c r="C2068" t="s">
        <v>6739</v>
      </c>
      <c r="D2068" t="s">
        <v>12</v>
      </c>
      <c r="E2068" t="s">
        <v>6740</v>
      </c>
      <c r="F2068" t="s">
        <v>14</v>
      </c>
      <c r="G2068" s="1">
        <v>516</v>
      </c>
      <c r="H2068" t="s">
        <v>1017</v>
      </c>
      <c r="I2068" t="s">
        <v>6741</v>
      </c>
      <c r="J2068" t="s">
        <v>6742</v>
      </c>
    </row>
    <row r="2069" spans="1:10">
      <c r="A2069">
        <v>114165</v>
      </c>
      <c r="B2069" t="s">
        <v>446</v>
      </c>
      <c r="C2069" t="s">
        <v>6743</v>
      </c>
      <c r="D2069" t="s">
        <v>12</v>
      </c>
      <c r="E2069" t="s">
        <v>6744</v>
      </c>
      <c r="F2069" t="s">
        <v>14</v>
      </c>
      <c r="G2069" s="1">
        <v>513.6</v>
      </c>
      <c r="H2069" t="s">
        <v>777</v>
      </c>
      <c r="I2069" t="s">
        <v>4824</v>
      </c>
      <c r="J2069" t="s">
        <v>6745</v>
      </c>
    </row>
    <row r="2070" spans="1:10">
      <c r="A2070">
        <v>123416</v>
      </c>
      <c r="B2070" t="s">
        <v>446</v>
      </c>
      <c r="C2070" t="s">
        <v>6746</v>
      </c>
      <c r="D2070" t="s">
        <v>12</v>
      </c>
      <c r="E2070" t="s">
        <v>6747</v>
      </c>
      <c r="F2070" t="s">
        <v>14</v>
      </c>
      <c r="G2070" s="1">
        <v>513.20000000000005</v>
      </c>
      <c r="H2070" t="s">
        <v>56</v>
      </c>
      <c r="I2070" t="s">
        <v>6748</v>
      </c>
      <c r="J2070" t="s">
        <v>6749</v>
      </c>
    </row>
    <row r="2071" spans="1:10">
      <c r="A2071">
        <v>150800</v>
      </c>
      <c r="B2071" t="s">
        <v>446</v>
      </c>
      <c r="C2071" t="s">
        <v>6750</v>
      </c>
      <c r="D2071" t="s">
        <v>12</v>
      </c>
      <c r="E2071" t="s">
        <v>6751</v>
      </c>
      <c r="F2071" t="s">
        <v>14</v>
      </c>
      <c r="G2071" s="1">
        <v>510.72</v>
      </c>
      <c r="H2071" t="s">
        <v>1917</v>
      </c>
      <c r="I2071" t="s">
        <v>6752</v>
      </c>
      <c r="J2071" t="s">
        <v>6753</v>
      </c>
    </row>
    <row r="2072" spans="1:10">
      <c r="A2072" t="s">
        <v>6754</v>
      </c>
      <c r="B2072" t="s">
        <v>446</v>
      </c>
      <c r="C2072" t="s">
        <v>6755</v>
      </c>
      <c r="D2072" t="s">
        <v>12</v>
      </c>
      <c r="E2072" t="s">
        <v>6756</v>
      </c>
      <c r="F2072" t="s">
        <v>168</v>
      </c>
      <c r="G2072" s="1">
        <v>508.5</v>
      </c>
      <c r="H2072" t="s">
        <v>21</v>
      </c>
      <c r="I2072" t="s">
        <v>6757</v>
      </c>
      <c r="J2072" t="s">
        <v>6758</v>
      </c>
    </row>
    <row r="2073" spans="1:10">
      <c r="A2073">
        <v>148575</v>
      </c>
      <c r="B2073" t="s">
        <v>446</v>
      </c>
      <c r="C2073" t="s">
        <v>6759</v>
      </c>
      <c r="D2073" t="s">
        <v>12</v>
      </c>
      <c r="E2073" t="s">
        <v>6760</v>
      </c>
      <c r="F2073" t="s">
        <v>14</v>
      </c>
      <c r="G2073" s="1">
        <v>503.07</v>
      </c>
      <c r="H2073" t="s">
        <v>36</v>
      </c>
      <c r="I2073" t="s">
        <v>6761</v>
      </c>
      <c r="J2073" t="s">
        <v>6762</v>
      </c>
    </row>
    <row r="2074" spans="1:10">
      <c r="A2074">
        <v>146628</v>
      </c>
      <c r="B2074" t="s">
        <v>446</v>
      </c>
      <c r="C2074" t="s">
        <v>6763</v>
      </c>
      <c r="D2074" t="s">
        <v>12</v>
      </c>
      <c r="E2074" t="s">
        <v>6764</v>
      </c>
      <c r="F2074" t="s">
        <v>14</v>
      </c>
      <c r="G2074" s="1">
        <v>500</v>
      </c>
      <c r="H2074" t="s">
        <v>140</v>
      </c>
      <c r="I2074" t="s">
        <v>284</v>
      </c>
      <c r="J2074" t="s">
        <v>285</v>
      </c>
    </row>
    <row r="2075" spans="1:10">
      <c r="A2075">
        <v>152515</v>
      </c>
      <c r="B2075" t="s">
        <v>446</v>
      </c>
      <c r="C2075" t="s">
        <v>6765</v>
      </c>
      <c r="D2075" t="s">
        <v>12</v>
      </c>
      <c r="E2075" t="s">
        <v>6766</v>
      </c>
      <c r="F2075" t="s">
        <v>14</v>
      </c>
      <c r="G2075" s="1">
        <v>500</v>
      </c>
      <c r="H2075" t="s">
        <v>140</v>
      </c>
      <c r="I2075" t="s">
        <v>1890</v>
      </c>
      <c r="J2075" t="s">
        <v>6767</v>
      </c>
    </row>
    <row r="2076" spans="1:10">
      <c r="A2076">
        <v>146521</v>
      </c>
      <c r="B2076" t="s">
        <v>446</v>
      </c>
      <c r="C2076" t="s">
        <v>6768</v>
      </c>
      <c r="D2076" t="s">
        <v>12</v>
      </c>
      <c r="E2076" t="s">
        <v>6769</v>
      </c>
      <c r="F2076" t="s">
        <v>14</v>
      </c>
      <c r="G2076" s="1">
        <v>500</v>
      </c>
      <c r="H2076" t="s">
        <v>140</v>
      </c>
      <c r="I2076" t="s">
        <v>6770</v>
      </c>
      <c r="J2076" t="s">
        <v>6771</v>
      </c>
    </row>
    <row r="2077" spans="1:10">
      <c r="A2077">
        <v>144511</v>
      </c>
      <c r="B2077" t="s">
        <v>446</v>
      </c>
      <c r="C2077" t="s">
        <v>6772</v>
      </c>
      <c r="D2077" t="s">
        <v>12</v>
      </c>
      <c r="E2077" t="s">
        <v>6773</v>
      </c>
      <c r="F2077" t="s">
        <v>14</v>
      </c>
      <c r="G2077" s="1">
        <v>495.91</v>
      </c>
      <c r="H2077" t="s">
        <v>21</v>
      </c>
      <c r="I2077" t="s">
        <v>6774</v>
      </c>
      <c r="J2077" t="s">
        <v>6775</v>
      </c>
    </row>
    <row r="2078" spans="1:10">
      <c r="A2078">
        <v>122738</v>
      </c>
      <c r="B2078" t="s">
        <v>446</v>
      </c>
      <c r="C2078" t="s">
        <v>6776</v>
      </c>
      <c r="D2078" t="s">
        <v>12</v>
      </c>
      <c r="E2078" t="s">
        <v>6777</v>
      </c>
      <c r="F2078" t="s">
        <v>14</v>
      </c>
      <c r="G2078" s="1">
        <v>487.73</v>
      </c>
      <c r="H2078" t="s">
        <v>1017</v>
      </c>
      <c r="I2078" t="s">
        <v>1943</v>
      </c>
      <c r="J2078" t="s">
        <v>6778</v>
      </c>
    </row>
    <row r="2079" spans="1:10">
      <c r="A2079">
        <v>132496</v>
      </c>
      <c r="B2079" t="s">
        <v>446</v>
      </c>
      <c r="C2079" t="s">
        <v>6779</v>
      </c>
      <c r="D2079" t="s">
        <v>2098</v>
      </c>
      <c r="E2079" t="s">
        <v>6780</v>
      </c>
      <c r="F2079" t="s">
        <v>14</v>
      </c>
      <c r="G2079" s="1">
        <v>487.12</v>
      </c>
      <c r="H2079" t="s">
        <v>852</v>
      </c>
      <c r="I2079" t="s">
        <v>2934</v>
      </c>
      <c r="J2079" t="s">
        <v>6781</v>
      </c>
    </row>
    <row r="2080" spans="1:10">
      <c r="A2080">
        <v>108493</v>
      </c>
      <c r="B2080" t="s">
        <v>446</v>
      </c>
      <c r="C2080" t="s">
        <v>6782</v>
      </c>
      <c r="D2080" t="s">
        <v>12</v>
      </c>
      <c r="E2080" t="s">
        <v>6783</v>
      </c>
      <c r="F2080" t="s">
        <v>14</v>
      </c>
      <c r="G2080" s="1">
        <v>479.85</v>
      </c>
      <c r="H2080" t="s">
        <v>499</v>
      </c>
      <c r="I2080" t="s">
        <v>6784</v>
      </c>
      <c r="J2080" t="s">
        <v>6785</v>
      </c>
    </row>
    <row r="2081" spans="1:10">
      <c r="A2081">
        <v>122556</v>
      </c>
      <c r="B2081" t="s">
        <v>446</v>
      </c>
      <c r="C2081" t="s">
        <v>6786</v>
      </c>
      <c r="D2081" t="s">
        <v>12</v>
      </c>
      <c r="E2081" t="s">
        <v>6787</v>
      </c>
      <c r="F2081" t="s">
        <v>14</v>
      </c>
      <c r="G2081" s="1">
        <v>479</v>
      </c>
      <c r="H2081" t="s">
        <v>1017</v>
      </c>
      <c r="I2081" t="s">
        <v>1943</v>
      </c>
      <c r="J2081" t="s">
        <v>6788</v>
      </c>
    </row>
    <row r="2082" spans="1:10">
      <c r="A2082">
        <v>128725</v>
      </c>
      <c r="B2082" t="s">
        <v>446</v>
      </c>
      <c r="C2082" t="s">
        <v>6789</v>
      </c>
      <c r="D2082" t="s">
        <v>12</v>
      </c>
      <c r="E2082" t="s">
        <v>6790</v>
      </c>
      <c r="F2082" t="s">
        <v>14</v>
      </c>
      <c r="G2082" s="1">
        <v>476.85</v>
      </c>
      <c r="H2082" t="s">
        <v>1124</v>
      </c>
      <c r="I2082" t="s">
        <v>6791</v>
      </c>
      <c r="J2082" t="s">
        <v>6792</v>
      </c>
    </row>
    <row r="2083" spans="1:10">
      <c r="A2083">
        <v>152056</v>
      </c>
      <c r="B2083" t="s">
        <v>446</v>
      </c>
      <c r="C2083" t="s">
        <v>6793</v>
      </c>
      <c r="D2083" t="s">
        <v>12</v>
      </c>
      <c r="E2083" t="s">
        <v>6794</v>
      </c>
      <c r="F2083" t="s">
        <v>14</v>
      </c>
      <c r="G2083" s="1">
        <v>472.14</v>
      </c>
      <c r="H2083" t="s">
        <v>140</v>
      </c>
      <c r="I2083" t="s">
        <v>1748</v>
      </c>
      <c r="J2083" t="s">
        <v>6795</v>
      </c>
    </row>
    <row r="2084" spans="1:10">
      <c r="A2084">
        <v>130782</v>
      </c>
      <c r="B2084" t="s">
        <v>446</v>
      </c>
      <c r="C2084" t="s">
        <v>6796</v>
      </c>
      <c r="D2084" t="s">
        <v>12</v>
      </c>
      <c r="E2084" t="s">
        <v>6797</v>
      </c>
      <c r="F2084" t="s">
        <v>14</v>
      </c>
      <c r="G2084" s="1">
        <v>469.78</v>
      </c>
      <c r="H2084" t="s">
        <v>36</v>
      </c>
      <c r="I2084" t="s">
        <v>3426</v>
      </c>
      <c r="J2084" t="s">
        <v>6798</v>
      </c>
    </row>
    <row r="2085" spans="1:10">
      <c r="A2085" t="s">
        <v>6799</v>
      </c>
      <c r="B2085" t="s">
        <v>446</v>
      </c>
      <c r="C2085" t="s">
        <v>6800</v>
      </c>
      <c r="D2085" t="s">
        <v>12</v>
      </c>
      <c r="E2085" t="s">
        <v>6801</v>
      </c>
      <c r="F2085" t="s">
        <v>168</v>
      </c>
      <c r="G2085" s="1">
        <v>469.3</v>
      </c>
      <c r="H2085" t="s">
        <v>56</v>
      </c>
      <c r="I2085" t="s">
        <v>278</v>
      </c>
      <c r="J2085" t="s">
        <v>6802</v>
      </c>
    </row>
    <row r="2086" spans="1:10">
      <c r="A2086">
        <v>131446</v>
      </c>
      <c r="B2086" t="s">
        <v>446</v>
      </c>
      <c r="C2086" t="s">
        <v>6803</v>
      </c>
      <c r="D2086" t="s">
        <v>12</v>
      </c>
      <c r="E2086" t="s">
        <v>6804</v>
      </c>
      <c r="F2086" t="s">
        <v>14</v>
      </c>
      <c r="G2086" s="1">
        <v>466</v>
      </c>
      <c r="H2086" t="s">
        <v>72</v>
      </c>
      <c r="I2086" t="s">
        <v>6805</v>
      </c>
      <c r="J2086" t="s">
        <v>6806</v>
      </c>
    </row>
    <row r="2087" spans="1:10">
      <c r="A2087">
        <v>149816</v>
      </c>
      <c r="B2087" t="s">
        <v>446</v>
      </c>
      <c r="C2087" t="s">
        <v>6807</v>
      </c>
      <c r="D2087" t="s">
        <v>12</v>
      </c>
      <c r="E2087" t="s">
        <v>6808</v>
      </c>
      <c r="F2087" t="s">
        <v>14</v>
      </c>
      <c r="G2087" s="1">
        <v>462</v>
      </c>
      <c r="H2087" t="s">
        <v>140</v>
      </c>
      <c r="I2087" t="s">
        <v>6809</v>
      </c>
      <c r="J2087" t="s">
        <v>6810</v>
      </c>
    </row>
    <row r="2088" spans="1:10">
      <c r="A2088">
        <v>106450</v>
      </c>
      <c r="B2088" t="s">
        <v>446</v>
      </c>
      <c r="C2088" t="s">
        <v>6811</v>
      </c>
      <c r="D2088" t="s">
        <v>12</v>
      </c>
      <c r="E2088" t="s">
        <v>6812</v>
      </c>
      <c r="F2088" t="s">
        <v>14</v>
      </c>
      <c r="G2088" s="1">
        <v>457.92</v>
      </c>
      <c r="H2088" t="s">
        <v>1017</v>
      </c>
      <c r="I2088" t="s">
        <v>5027</v>
      </c>
      <c r="J2088" t="s">
        <v>6813</v>
      </c>
    </row>
    <row r="2089" spans="1:10">
      <c r="A2089">
        <v>145222</v>
      </c>
      <c r="B2089" t="s">
        <v>446</v>
      </c>
      <c r="C2089" t="s">
        <v>6814</v>
      </c>
      <c r="D2089" t="s">
        <v>12</v>
      </c>
      <c r="E2089" t="s">
        <v>6815</v>
      </c>
      <c r="F2089" t="s">
        <v>14</v>
      </c>
      <c r="G2089" s="1">
        <v>456.88</v>
      </c>
      <c r="H2089" t="s">
        <v>36</v>
      </c>
      <c r="I2089" t="s">
        <v>5765</v>
      </c>
      <c r="J2089" t="s">
        <v>6816</v>
      </c>
    </row>
    <row r="2090" spans="1:10">
      <c r="A2090">
        <v>126778</v>
      </c>
      <c r="B2090" t="s">
        <v>446</v>
      </c>
      <c r="C2090" t="s">
        <v>6817</v>
      </c>
      <c r="D2090" t="s">
        <v>512</v>
      </c>
      <c r="E2090" t="s">
        <v>6818</v>
      </c>
      <c r="F2090" t="s">
        <v>14</v>
      </c>
      <c r="G2090" s="1">
        <v>456.75</v>
      </c>
      <c r="H2090" t="s">
        <v>553</v>
      </c>
      <c r="I2090" t="s">
        <v>6819</v>
      </c>
      <c r="J2090" t="s">
        <v>6820</v>
      </c>
    </row>
    <row r="2091" spans="1:10">
      <c r="A2091">
        <v>140948</v>
      </c>
      <c r="B2091" t="s">
        <v>446</v>
      </c>
      <c r="C2091" t="s">
        <v>6821</v>
      </c>
      <c r="D2091" t="s">
        <v>12</v>
      </c>
      <c r="E2091" t="s">
        <v>6822</v>
      </c>
      <c r="F2091" t="s">
        <v>14</v>
      </c>
      <c r="G2091" s="1">
        <v>455</v>
      </c>
      <c r="H2091" t="s">
        <v>1017</v>
      </c>
      <c r="I2091" t="s">
        <v>1943</v>
      </c>
      <c r="J2091" t="s">
        <v>6823</v>
      </c>
    </row>
    <row r="2092" spans="1:10">
      <c r="A2092">
        <v>119909</v>
      </c>
      <c r="B2092" t="s">
        <v>446</v>
      </c>
      <c r="C2092" t="s">
        <v>6824</v>
      </c>
      <c r="D2092" t="s">
        <v>12</v>
      </c>
      <c r="E2092" t="s">
        <v>6825</v>
      </c>
      <c r="F2092" t="s">
        <v>14</v>
      </c>
      <c r="G2092" s="1">
        <v>453.8</v>
      </c>
      <c r="H2092" t="s">
        <v>95</v>
      </c>
      <c r="I2092" t="s">
        <v>506</v>
      </c>
      <c r="J2092" t="s">
        <v>5805</v>
      </c>
    </row>
    <row r="2093" spans="1:10">
      <c r="A2093">
        <v>149911</v>
      </c>
      <c r="B2093" t="s">
        <v>446</v>
      </c>
      <c r="C2093" t="s">
        <v>6826</v>
      </c>
      <c r="D2093" t="s">
        <v>12</v>
      </c>
      <c r="E2093" t="s">
        <v>6827</v>
      </c>
      <c r="F2093" t="s">
        <v>14</v>
      </c>
      <c r="G2093" s="1">
        <v>445.8</v>
      </c>
      <c r="H2093" t="s">
        <v>1017</v>
      </c>
      <c r="I2093" t="s">
        <v>1943</v>
      </c>
      <c r="J2093" t="s">
        <v>6570</v>
      </c>
    </row>
    <row r="2094" spans="1:10">
      <c r="A2094">
        <v>147397</v>
      </c>
      <c r="B2094" t="s">
        <v>446</v>
      </c>
      <c r="C2094" t="s">
        <v>6828</v>
      </c>
      <c r="D2094" t="s">
        <v>12</v>
      </c>
      <c r="E2094" t="s">
        <v>6829</v>
      </c>
      <c r="F2094" t="s">
        <v>14</v>
      </c>
      <c r="G2094" s="1">
        <v>444.62</v>
      </c>
      <c r="H2094" t="s">
        <v>140</v>
      </c>
      <c r="I2094" t="s">
        <v>6269</v>
      </c>
      <c r="J2094" t="s">
        <v>6830</v>
      </c>
    </row>
    <row r="2095" spans="1:10">
      <c r="A2095">
        <v>150756</v>
      </c>
      <c r="B2095" t="s">
        <v>446</v>
      </c>
      <c r="C2095" t="s">
        <v>6831</v>
      </c>
      <c r="D2095" t="s">
        <v>12</v>
      </c>
      <c r="E2095" t="s">
        <v>6832</v>
      </c>
      <c r="F2095" t="s">
        <v>14</v>
      </c>
      <c r="G2095" s="1">
        <v>444.2</v>
      </c>
      <c r="H2095" t="s">
        <v>140</v>
      </c>
      <c r="I2095" t="s">
        <v>3807</v>
      </c>
      <c r="J2095" t="s">
        <v>6833</v>
      </c>
    </row>
    <row r="2096" spans="1:10">
      <c r="A2096">
        <v>131277</v>
      </c>
      <c r="B2096" t="s">
        <v>446</v>
      </c>
      <c r="C2096" t="s">
        <v>6834</v>
      </c>
      <c r="D2096" t="s">
        <v>12</v>
      </c>
      <c r="E2096" t="s">
        <v>6835</v>
      </c>
      <c r="F2096" t="s">
        <v>14</v>
      </c>
      <c r="G2096" s="1">
        <v>442.75</v>
      </c>
      <c r="H2096" t="s">
        <v>232</v>
      </c>
      <c r="I2096" t="s">
        <v>6836</v>
      </c>
      <c r="J2096" t="s">
        <v>6837</v>
      </c>
    </row>
    <row r="2097" spans="1:10">
      <c r="A2097" t="s">
        <v>6838</v>
      </c>
      <c r="B2097" t="s">
        <v>446</v>
      </c>
      <c r="C2097" t="s">
        <v>6839</v>
      </c>
      <c r="D2097" t="s">
        <v>12</v>
      </c>
      <c r="E2097" t="s">
        <v>6840</v>
      </c>
      <c r="F2097" t="s">
        <v>168</v>
      </c>
      <c r="G2097" s="1">
        <v>441</v>
      </c>
      <c r="H2097" t="s">
        <v>1017</v>
      </c>
      <c r="I2097" t="s">
        <v>6710</v>
      </c>
      <c r="J2097" t="s">
        <v>6841</v>
      </c>
    </row>
    <row r="2098" spans="1:10">
      <c r="A2098" t="s">
        <v>6842</v>
      </c>
      <c r="B2098" t="s">
        <v>446</v>
      </c>
      <c r="C2098" t="s">
        <v>6843</v>
      </c>
      <c r="D2098" t="s">
        <v>12</v>
      </c>
      <c r="E2098" t="s">
        <v>6844</v>
      </c>
      <c r="F2098" t="s">
        <v>168</v>
      </c>
      <c r="G2098" s="1">
        <v>438.09</v>
      </c>
      <c r="H2098" t="s">
        <v>232</v>
      </c>
      <c r="I2098" t="s">
        <v>2182</v>
      </c>
      <c r="J2098" t="s">
        <v>6845</v>
      </c>
    </row>
    <row r="2099" spans="1:10">
      <c r="A2099">
        <v>149005</v>
      </c>
      <c r="B2099" t="s">
        <v>446</v>
      </c>
      <c r="C2099" t="s">
        <v>6846</v>
      </c>
      <c r="D2099" t="s">
        <v>12</v>
      </c>
      <c r="E2099" t="s">
        <v>6847</v>
      </c>
      <c r="F2099" t="s">
        <v>14</v>
      </c>
      <c r="G2099" s="1">
        <v>438</v>
      </c>
      <c r="H2099" t="s">
        <v>56</v>
      </c>
      <c r="I2099" t="s">
        <v>6848</v>
      </c>
      <c r="J2099" t="s">
        <v>6849</v>
      </c>
    </row>
    <row r="2100" spans="1:10">
      <c r="A2100">
        <v>152593</v>
      </c>
      <c r="B2100" t="s">
        <v>446</v>
      </c>
      <c r="C2100" t="s">
        <v>6850</v>
      </c>
      <c r="D2100" t="s">
        <v>12</v>
      </c>
      <c r="E2100" t="s">
        <v>6851</v>
      </c>
      <c r="F2100" t="s">
        <v>14</v>
      </c>
      <c r="G2100" s="1">
        <v>430.14</v>
      </c>
      <c r="H2100" t="s">
        <v>36</v>
      </c>
      <c r="I2100" t="s">
        <v>5765</v>
      </c>
      <c r="J2100" t="s">
        <v>6816</v>
      </c>
    </row>
    <row r="2101" spans="1:10">
      <c r="A2101">
        <v>109508</v>
      </c>
      <c r="B2101" t="s">
        <v>446</v>
      </c>
      <c r="C2101" t="s">
        <v>6852</v>
      </c>
      <c r="D2101" t="s">
        <v>12</v>
      </c>
      <c r="E2101" t="s">
        <v>6853</v>
      </c>
      <c r="F2101" t="s">
        <v>14</v>
      </c>
      <c r="G2101" s="1">
        <v>421.82</v>
      </c>
      <c r="H2101" t="s">
        <v>553</v>
      </c>
      <c r="I2101" t="s">
        <v>3873</v>
      </c>
      <c r="J2101" t="s">
        <v>6854</v>
      </c>
    </row>
    <row r="2102" spans="1:10">
      <c r="A2102">
        <v>149971</v>
      </c>
      <c r="B2102" t="s">
        <v>446</v>
      </c>
      <c r="C2102" t="s">
        <v>6855</v>
      </c>
      <c r="D2102" t="s">
        <v>12</v>
      </c>
      <c r="E2102" t="s">
        <v>6856</v>
      </c>
      <c r="F2102" t="s">
        <v>168</v>
      </c>
      <c r="G2102" s="1">
        <v>421.79</v>
      </c>
      <c r="H2102" t="s">
        <v>85</v>
      </c>
      <c r="I2102" t="s">
        <v>6857</v>
      </c>
      <c r="J2102" t="s">
        <v>6858</v>
      </c>
    </row>
    <row r="2103" spans="1:10">
      <c r="A2103">
        <v>103262</v>
      </c>
      <c r="B2103" t="s">
        <v>446</v>
      </c>
      <c r="C2103" t="s">
        <v>6859</v>
      </c>
      <c r="D2103" t="s">
        <v>12</v>
      </c>
      <c r="E2103" t="s">
        <v>6860</v>
      </c>
      <c r="F2103" t="s">
        <v>14</v>
      </c>
      <c r="G2103" s="1">
        <v>420</v>
      </c>
      <c r="H2103" t="s">
        <v>375</v>
      </c>
      <c r="I2103" t="s">
        <v>2442</v>
      </c>
      <c r="J2103" t="s">
        <v>6861</v>
      </c>
    </row>
    <row r="2104" spans="1:10">
      <c r="A2104">
        <v>128355</v>
      </c>
      <c r="B2104" t="s">
        <v>446</v>
      </c>
      <c r="C2104" t="s">
        <v>6862</v>
      </c>
      <c r="D2104" t="s">
        <v>12</v>
      </c>
      <c r="E2104" t="s">
        <v>6863</v>
      </c>
      <c r="F2104" t="s">
        <v>14</v>
      </c>
      <c r="G2104" s="1">
        <v>419.4</v>
      </c>
      <c r="H2104" t="s">
        <v>928</v>
      </c>
      <c r="I2104" t="s">
        <v>6864</v>
      </c>
      <c r="J2104" t="s">
        <v>6865</v>
      </c>
    </row>
    <row r="2105" spans="1:10">
      <c r="A2105">
        <v>147887</v>
      </c>
      <c r="B2105" t="s">
        <v>446</v>
      </c>
      <c r="C2105" t="s">
        <v>6866</v>
      </c>
      <c r="D2105" t="s">
        <v>12</v>
      </c>
      <c r="E2105" t="s">
        <v>6867</v>
      </c>
      <c r="F2105" t="s">
        <v>14</v>
      </c>
      <c r="G2105" s="1">
        <v>415</v>
      </c>
      <c r="H2105" t="s">
        <v>232</v>
      </c>
      <c r="I2105" t="s">
        <v>6868</v>
      </c>
      <c r="J2105" t="s">
        <v>6869</v>
      </c>
    </row>
    <row r="2106" spans="1:10">
      <c r="A2106">
        <v>144795</v>
      </c>
      <c r="B2106" t="s">
        <v>446</v>
      </c>
      <c r="C2106" t="s">
        <v>6870</v>
      </c>
      <c r="D2106" t="s">
        <v>12</v>
      </c>
      <c r="E2106" t="s">
        <v>6871</v>
      </c>
      <c r="F2106" t="s">
        <v>14</v>
      </c>
      <c r="G2106" s="1">
        <v>415</v>
      </c>
      <c r="H2106" t="s">
        <v>140</v>
      </c>
      <c r="I2106" t="s">
        <v>6872</v>
      </c>
      <c r="J2106" t="s">
        <v>6873</v>
      </c>
    </row>
    <row r="2107" spans="1:10">
      <c r="A2107">
        <v>118983</v>
      </c>
      <c r="B2107" t="s">
        <v>446</v>
      </c>
      <c r="C2107" t="s">
        <v>6874</v>
      </c>
      <c r="D2107" t="s">
        <v>12</v>
      </c>
      <c r="E2107" t="s">
        <v>6875</v>
      </c>
      <c r="F2107" t="s">
        <v>14</v>
      </c>
      <c r="G2107" s="1">
        <v>411.7</v>
      </c>
      <c r="H2107" t="s">
        <v>56</v>
      </c>
      <c r="I2107" t="s">
        <v>6876</v>
      </c>
      <c r="J2107" t="s">
        <v>6877</v>
      </c>
    </row>
    <row r="2108" spans="1:10">
      <c r="A2108">
        <v>121580</v>
      </c>
      <c r="B2108" t="s">
        <v>446</v>
      </c>
      <c r="C2108" t="s">
        <v>6878</v>
      </c>
      <c r="D2108" t="s">
        <v>12</v>
      </c>
      <c r="E2108" t="s">
        <v>6879</v>
      </c>
      <c r="F2108" t="s">
        <v>14</v>
      </c>
      <c r="G2108" s="1">
        <v>410.33</v>
      </c>
      <c r="H2108" t="s">
        <v>499</v>
      </c>
      <c r="I2108" t="s">
        <v>835</v>
      </c>
      <c r="J2108" t="s">
        <v>6880</v>
      </c>
    </row>
    <row r="2109" spans="1:10">
      <c r="A2109">
        <v>129420</v>
      </c>
      <c r="B2109" t="s">
        <v>446</v>
      </c>
      <c r="C2109" t="s">
        <v>6881</v>
      </c>
      <c r="D2109" t="s">
        <v>12</v>
      </c>
      <c r="E2109" t="s">
        <v>6882</v>
      </c>
      <c r="F2109" t="s">
        <v>14</v>
      </c>
      <c r="G2109" s="1">
        <v>400.51</v>
      </c>
      <c r="H2109" t="s">
        <v>56</v>
      </c>
      <c r="I2109" t="s">
        <v>65</v>
      </c>
      <c r="J2109" t="s">
        <v>6883</v>
      </c>
    </row>
    <row r="2110" spans="1:10">
      <c r="A2110">
        <v>125358</v>
      </c>
      <c r="B2110" t="s">
        <v>446</v>
      </c>
      <c r="C2110" t="s">
        <v>6884</v>
      </c>
      <c r="D2110" t="s">
        <v>12</v>
      </c>
      <c r="E2110" t="s">
        <v>6885</v>
      </c>
      <c r="F2110" t="s">
        <v>14</v>
      </c>
      <c r="G2110" s="1">
        <v>400.24</v>
      </c>
      <c r="H2110" t="s">
        <v>777</v>
      </c>
      <c r="I2110" t="s">
        <v>2021</v>
      </c>
      <c r="J2110" t="s">
        <v>4976</v>
      </c>
    </row>
    <row r="2111" spans="1:10">
      <c r="A2111">
        <v>103051</v>
      </c>
      <c r="B2111" t="s">
        <v>446</v>
      </c>
      <c r="C2111" t="s">
        <v>6886</v>
      </c>
      <c r="D2111" t="s">
        <v>12</v>
      </c>
      <c r="E2111" t="s">
        <v>6887</v>
      </c>
      <c r="F2111" t="s">
        <v>14</v>
      </c>
      <c r="G2111" s="1">
        <v>400</v>
      </c>
      <c r="H2111" t="s">
        <v>1378</v>
      </c>
      <c r="I2111" t="s">
        <v>1379</v>
      </c>
      <c r="J2111" t="s">
        <v>1380</v>
      </c>
    </row>
    <row r="2112" spans="1:10">
      <c r="A2112">
        <v>109730</v>
      </c>
      <c r="B2112" t="s">
        <v>446</v>
      </c>
      <c r="C2112" t="s">
        <v>6888</v>
      </c>
      <c r="D2112" t="s">
        <v>12</v>
      </c>
      <c r="E2112" t="s">
        <v>6889</v>
      </c>
      <c r="F2112" t="s">
        <v>14</v>
      </c>
      <c r="G2112" s="1">
        <v>399.99</v>
      </c>
      <c r="H2112" t="s">
        <v>36</v>
      </c>
      <c r="I2112" t="s">
        <v>5765</v>
      </c>
      <c r="J2112" t="s">
        <v>6816</v>
      </c>
    </row>
    <row r="2113" spans="1:10">
      <c r="A2113">
        <v>145273</v>
      </c>
      <c r="B2113" t="s">
        <v>446</v>
      </c>
      <c r="C2113" t="s">
        <v>6890</v>
      </c>
      <c r="D2113" t="s">
        <v>12</v>
      </c>
      <c r="E2113" t="s">
        <v>6891</v>
      </c>
      <c r="F2113" t="s">
        <v>14</v>
      </c>
      <c r="G2113" s="1">
        <v>396.85</v>
      </c>
      <c r="H2113" t="s">
        <v>553</v>
      </c>
      <c r="I2113" t="s">
        <v>5904</v>
      </c>
      <c r="J2113" t="s">
        <v>6892</v>
      </c>
    </row>
    <row r="2114" spans="1:10">
      <c r="A2114">
        <v>146074</v>
      </c>
      <c r="B2114" t="s">
        <v>446</v>
      </c>
      <c r="C2114" t="s">
        <v>6893</v>
      </c>
      <c r="D2114" t="s">
        <v>12</v>
      </c>
      <c r="E2114" t="s">
        <v>6894</v>
      </c>
      <c r="F2114" t="s">
        <v>14</v>
      </c>
      <c r="G2114" s="1">
        <v>391.19</v>
      </c>
      <c r="H2114" t="s">
        <v>1124</v>
      </c>
      <c r="I2114" t="s">
        <v>6895</v>
      </c>
      <c r="J2114" t="s">
        <v>6896</v>
      </c>
    </row>
    <row r="2115" spans="1:10">
      <c r="A2115">
        <v>131810</v>
      </c>
      <c r="B2115" t="s">
        <v>446</v>
      </c>
      <c r="C2115" t="s">
        <v>6897</v>
      </c>
      <c r="D2115" t="s">
        <v>12</v>
      </c>
      <c r="E2115" t="s">
        <v>6898</v>
      </c>
      <c r="F2115" t="s">
        <v>14</v>
      </c>
      <c r="G2115" s="1">
        <v>388.95</v>
      </c>
      <c r="H2115" t="s">
        <v>140</v>
      </c>
      <c r="I2115" t="s">
        <v>1704</v>
      </c>
      <c r="J2115" t="s">
        <v>6899</v>
      </c>
    </row>
    <row r="2116" spans="1:10">
      <c r="A2116">
        <v>143974</v>
      </c>
      <c r="B2116" t="s">
        <v>446</v>
      </c>
      <c r="C2116" t="s">
        <v>6900</v>
      </c>
      <c r="D2116" t="s">
        <v>12</v>
      </c>
      <c r="E2116" t="s">
        <v>6901</v>
      </c>
      <c r="F2116" t="s">
        <v>168</v>
      </c>
      <c r="G2116" s="1">
        <v>388.45</v>
      </c>
      <c r="H2116" t="s">
        <v>232</v>
      </c>
      <c r="I2116" t="s">
        <v>2750</v>
      </c>
      <c r="J2116" t="s">
        <v>6902</v>
      </c>
    </row>
    <row r="2117" spans="1:10">
      <c r="A2117">
        <v>122704</v>
      </c>
      <c r="B2117" t="s">
        <v>446</v>
      </c>
      <c r="C2117" t="s">
        <v>6903</v>
      </c>
      <c r="D2117" t="s">
        <v>12</v>
      </c>
      <c r="E2117" t="s">
        <v>6904</v>
      </c>
      <c r="F2117" t="s">
        <v>14</v>
      </c>
      <c r="G2117" s="1">
        <v>385</v>
      </c>
      <c r="H2117" t="s">
        <v>36</v>
      </c>
      <c r="I2117" t="s">
        <v>1820</v>
      </c>
      <c r="J2117" t="s">
        <v>1821</v>
      </c>
    </row>
    <row r="2118" spans="1:10">
      <c r="A2118">
        <v>126216</v>
      </c>
      <c r="B2118" t="s">
        <v>446</v>
      </c>
      <c r="C2118" t="s">
        <v>6905</v>
      </c>
      <c r="D2118" t="s">
        <v>12</v>
      </c>
      <c r="E2118" t="s">
        <v>6906</v>
      </c>
      <c r="F2118" t="s">
        <v>14</v>
      </c>
      <c r="G2118" s="1">
        <v>384.1</v>
      </c>
      <c r="H2118" t="s">
        <v>27</v>
      </c>
      <c r="I2118" t="s">
        <v>2686</v>
      </c>
      <c r="J2118" t="s">
        <v>2687</v>
      </c>
    </row>
    <row r="2119" spans="1:10">
      <c r="A2119">
        <v>130146</v>
      </c>
      <c r="B2119" t="s">
        <v>446</v>
      </c>
      <c r="C2119" t="s">
        <v>6907</v>
      </c>
      <c r="D2119" t="s">
        <v>12</v>
      </c>
      <c r="E2119" t="s">
        <v>6908</v>
      </c>
      <c r="F2119" t="s">
        <v>14</v>
      </c>
      <c r="G2119" s="1">
        <v>382.32</v>
      </c>
      <c r="H2119" t="s">
        <v>1017</v>
      </c>
      <c r="I2119" t="s">
        <v>5027</v>
      </c>
      <c r="J2119" t="s">
        <v>6909</v>
      </c>
    </row>
    <row r="2120" spans="1:10">
      <c r="A2120">
        <v>100397</v>
      </c>
      <c r="B2120" t="s">
        <v>446</v>
      </c>
      <c r="C2120" t="s">
        <v>6910</v>
      </c>
      <c r="D2120" t="s">
        <v>12</v>
      </c>
      <c r="E2120" t="s">
        <v>6911</v>
      </c>
      <c r="F2120" t="s">
        <v>14</v>
      </c>
      <c r="G2120" s="1">
        <v>381.41</v>
      </c>
      <c r="H2120" t="s">
        <v>56</v>
      </c>
      <c r="I2120" t="s">
        <v>6912</v>
      </c>
      <c r="J2120" t="s">
        <v>6913</v>
      </c>
    </row>
    <row r="2121" spans="1:10">
      <c r="A2121">
        <v>144026</v>
      </c>
      <c r="B2121" t="s">
        <v>446</v>
      </c>
      <c r="C2121" t="s">
        <v>6914</v>
      </c>
      <c r="D2121" t="s">
        <v>12</v>
      </c>
      <c r="E2121" t="s">
        <v>6915</v>
      </c>
      <c r="F2121" t="s">
        <v>14</v>
      </c>
      <c r="G2121" s="1">
        <v>378.88</v>
      </c>
      <c r="H2121" t="s">
        <v>777</v>
      </c>
      <c r="I2121" t="s">
        <v>6721</v>
      </c>
      <c r="J2121" t="s">
        <v>6916</v>
      </c>
    </row>
    <row r="2122" spans="1:10">
      <c r="A2122">
        <v>111306</v>
      </c>
      <c r="B2122" t="s">
        <v>446</v>
      </c>
      <c r="C2122" t="s">
        <v>6917</v>
      </c>
      <c r="D2122" t="s">
        <v>12</v>
      </c>
      <c r="E2122" t="s">
        <v>6918</v>
      </c>
      <c r="F2122" t="s">
        <v>14</v>
      </c>
      <c r="G2122" s="1">
        <v>376.73</v>
      </c>
      <c r="H2122" t="s">
        <v>232</v>
      </c>
      <c r="I2122" t="s">
        <v>6919</v>
      </c>
      <c r="J2122" t="s">
        <v>6920</v>
      </c>
    </row>
    <row r="2123" spans="1:10">
      <c r="A2123">
        <v>152474</v>
      </c>
      <c r="B2123" t="s">
        <v>446</v>
      </c>
      <c r="C2123" t="s">
        <v>6921</v>
      </c>
      <c r="D2123" t="s">
        <v>12</v>
      </c>
      <c r="E2123" t="s">
        <v>6922</v>
      </c>
      <c r="F2123" t="s">
        <v>14</v>
      </c>
      <c r="G2123" s="1">
        <v>375</v>
      </c>
      <c r="H2123" t="s">
        <v>333</v>
      </c>
      <c r="I2123" t="s">
        <v>333</v>
      </c>
      <c r="J2123" t="s">
        <v>2284</v>
      </c>
    </row>
    <row r="2124" spans="1:10">
      <c r="A2124">
        <v>142356</v>
      </c>
      <c r="B2124" t="s">
        <v>446</v>
      </c>
      <c r="C2124" t="s">
        <v>6923</v>
      </c>
      <c r="D2124" t="s">
        <v>12</v>
      </c>
      <c r="E2124" t="s">
        <v>6924</v>
      </c>
      <c r="F2124" t="s">
        <v>14</v>
      </c>
      <c r="G2124" s="1">
        <v>371</v>
      </c>
      <c r="H2124" t="s">
        <v>1378</v>
      </c>
      <c r="I2124" t="s">
        <v>4811</v>
      </c>
      <c r="J2124" t="s">
        <v>6925</v>
      </c>
    </row>
    <row r="2125" spans="1:10">
      <c r="A2125">
        <v>150305</v>
      </c>
      <c r="B2125" t="s">
        <v>446</v>
      </c>
      <c r="C2125" t="s">
        <v>6926</v>
      </c>
      <c r="D2125" t="s">
        <v>12</v>
      </c>
      <c r="E2125" t="s">
        <v>6927</v>
      </c>
      <c r="F2125" t="s">
        <v>14</v>
      </c>
      <c r="G2125" s="1">
        <v>368</v>
      </c>
      <c r="H2125" t="s">
        <v>499</v>
      </c>
      <c r="I2125" t="s">
        <v>1878</v>
      </c>
      <c r="J2125" t="s">
        <v>6928</v>
      </c>
    </row>
    <row r="2126" spans="1:10">
      <c r="A2126">
        <v>152642</v>
      </c>
      <c r="B2126" t="s">
        <v>446</v>
      </c>
      <c r="C2126" t="s">
        <v>6929</v>
      </c>
      <c r="D2126" t="s">
        <v>12</v>
      </c>
      <c r="E2126" t="s">
        <v>6930</v>
      </c>
      <c r="F2126" t="s">
        <v>14</v>
      </c>
      <c r="G2126" s="1">
        <v>365.87</v>
      </c>
      <c r="H2126" t="s">
        <v>140</v>
      </c>
      <c r="I2126" t="s">
        <v>1692</v>
      </c>
      <c r="J2126" t="s">
        <v>1693</v>
      </c>
    </row>
    <row r="2127" spans="1:10">
      <c r="A2127">
        <v>110749</v>
      </c>
      <c r="B2127" t="s">
        <v>446</v>
      </c>
      <c r="C2127" t="s">
        <v>6931</v>
      </c>
      <c r="D2127" t="s">
        <v>12</v>
      </c>
      <c r="E2127" t="s">
        <v>6932</v>
      </c>
      <c r="F2127" t="s">
        <v>14</v>
      </c>
      <c r="G2127" s="1">
        <v>357.73</v>
      </c>
      <c r="H2127" t="s">
        <v>425</v>
      </c>
      <c r="I2127" t="s">
        <v>6933</v>
      </c>
      <c r="J2127" t="s">
        <v>6934</v>
      </c>
    </row>
    <row r="2128" spans="1:10">
      <c r="A2128">
        <v>104700</v>
      </c>
      <c r="B2128" t="s">
        <v>446</v>
      </c>
      <c r="C2128" t="s">
        <v>6935</v>
      </c>
      <c r="D2128" t="s">
        <v>12</v>
      </c>
      <c r="E2128" t="s">
        <v>6936</v>
      </c>
      <c r="F2128" t="s">
        <v>14</v>
      </c>
      <c r="G2128" s="1">
        <v>356.61</v>
      </c>
      <c r="H2128" t="s">
        <v>131</v>
      </c>
      <c r="I2128" t="s">
        <v>6937</v>
      </c>
      <c r="J2128" t="s">
        <v>6938</v>
      </c>
    </row>
    <row r="2129" spans="1:10">
      <c r="A2129">
        <v>104621</v>
      </c>
      <c r="B2129" t="s">
        <v>446</v>
      </c>
      <c r="C2129" t="s">
        <v>6939</v>
      </c>
      <c r="D2129" t="s">
        <v>2098</v>
      </c>
      <c r="E2129" t="s">
        <v>6940</v>
      </c>
      <c r="F2129" t="s">
        <v>14</v>
      </c>
      <c r="G2129" s="1">
        <v>354.97</v>
      </c>
      <c r="H2129" t="s">
        <v>140</v>
      </c>
      <c r="I2129" t="s">
        <v>6941</v>
      </c>
      <c r="J2129" t="s">
        <v>6942</v>
      </c>
    </row>
    <row r="2130" spans="1:10">
      <c r="A2130">
        <v>140422</v>
      </c>
      <c r="B2130" t="s">
        <v>446</v>
      </c>
      <c r="C2130" t="s">
        <v>6943</v>
      </c>
      <c r="D2130" t="s">
        <v>12</v>
      </c>
      <c r="E2130" t="s">
        <v>6944</v>
      </c>
      <c r="F2130" t="s">
        <v>14</v>
      </c>
      <c r="G2130" s="1">
        <v>352.79</v>
      </c>
      <c r="H2130" t="s">
        <v>1017</v>
      </c>
      <c r="I2130" t="s">
        <v>4618</v>
      </c>
      <c r="J2130" t="s">
        <v>6945</v>
      </c>
    </row>
    <row r="2131" spans="1:10">
      <c r="A2131">
        <v>110654</v>
      </c>
      <c r="B2131" t="s">
        <v>446</v>
      </c>
      <c r="C2131" t="s">
        <v>6946</v>
      </c>
      <c r="D2131" t="s">
        <v>12</v>
      </c>
      <c r="E2131" t="s">
        <v>6947</v>
      </c>
      <c r="F2131" t="s">
        <v>14</v>
      </c>
      <c r="G2131" s="1">
        <v>350.18</v>
      </c>
      <c r="H2131" t="s">
        <v>232</v>
      </c>
      <c r="I2131" t="s">
        <v>6948</v>
      </c>
      <c r="J2131" t="s">
        <v>6949</v>
      </c>
    </row>
    <row r="2132" spans="1:10">
      <c r="A2132" t="s">
        <v>6950</v>
      </c>
      <c r="B2132" t="s">
        <v>446</v>
      </c>
      <c r="C2132" t="s">
        <v>6951</v>
      </c>
      <c r="D2132" t="s">
        <v>12</v>
      </c>
      <c r="E2132" t="s">
        <v>6952</v>
      </c>
      <c r="F2132" t="s">
        <v>168</v>
      </c>
      <c r="G2132" s="1">
        <v>348</v>
      </c>
      <c r="H2132" t="s">
        <v>56</v>
      </c>
      <c r="I2132" t="s">
        <v>6953</v>
      </c>
      <c r="J2132" t="s">
        <v>6954</v>
      </c>
    </row>
    <row r="2133" spans="1:10">
      <c r="A2133">
        <v>145945</v>
      </c>
      <c r="B2133" t="s">
        <v>446</v>
      </c>
      <c r="C2133" t="s">
        <v>6955</v>
      </c>
      <c r="D2133" t="s">
        <v>12</v>
      </c>
      <c r="E2133" t="s">
        <v>6956</v>
      </c>
      <c r="F2133" t="s">
        <v>14</v>
      </c>
      <c r="G2133" s="1">
        <v>345.57</v>
      </c>
      <c r="H2133" t="s">
        <v>777</v>
      </c>
      <c r="I2133" t="s">
        <v>6957</v>
      </c>
      <c r="J2133" t="s">
        <v>6958</v>
      </c>
    </row>
    <row r="2134" spans="1:10">
      <c r="A2134">
        <v>141226</v>
      </c>
      <c r="B2134" t="s">
        <v>446</v>
      </c>
      <c r="C2134" t="s">
        <v>6959</v>
      </c>
      <c r="D2134" t="s">
        <v>12</v>
      </c>
      <c r="E2134" t="s">
        <v>6960</v>
      </c>
      <c r="F2134" t="s">
        <v>14</v>
      </c>
      <c r="G2134" s="1">
        <v>343.07</v>
      </c>
      <c r="H2134" t="s">
        <v>1017</v>
      </c>
      <c r="I2134" t="s">
        <v>5939</v>
      </c>
      <c r="J2134" t="s">
        <v>6961</v>
      </c>
    </row>
    <row r="2135" spans="1:10">
      <c r="A2135">
        <v>121225</v>
      </c>
      <c r="B2135" t="s">
        <v>446</v>
      </c>
      <c r="C2135" t="s">
        <v>6361</v>
      </c>
      <c r="D2135" t="s">
        <v>12</v>
      </c>
      <c r="E2135" t="s">
        <v>6962</v>
      </c>
      <c r="F2135" t="s">
        <v>14</v>
      </c>
      <c r="G2135" s="1">
        <v>337.2</v>
      </c>
      <c r="H2135" t="s">
        <v>85</v>
      </c>
      <c r="I2135" t="s">
        <v>6363</v>
      </c>
      <c r="J2135" t="s">
        <v>6364</v>
      </c>
    </row>
    <row r="2136" spans="1:10">
      <c r="A2136">
        <v>142528</v>
      </c>
      <c r="B2136" t="s">
        <v>446</v>
      </c>
      <c r="C2136" t="s">
        <v>6963</v>
      </c>
      <c r="D2136" t="s">
        <v>2098</v>
      </c>
      <c r="E2136" t="s">
        <v>6964</v>
      </c>
      <c r="F2136" t="s">
        <v>14</v>
      </c>
      <c r="G2136" s="1">
        <v>335.52</v>
      </c>
      <c r="H2136" t="s">
        <v>1412</v>
      </c>
      <c r="I2136" t="s">
        <v>6965</v>
      </c>
      <c r="J2136" t="s">
        <v>6966</v>
      </c>
    </row>
    <row r="2137" spans="1:10">
      <c r="A2137">
        <v>141388</v>
      </c>
      <c r="B2137" t="s">
        <v>446</v>
      </c>
      <c r="C2137" t="s">
        <v>6967</v>
      </c>
      <c r="D2137" t="s">
        <v>12</v>
      </c>
      <c r="E2137" t="s">
        <v>6968</v>
      </c>
      <c r="F2137" t="s">
        <v>14</v>
      </c>
      <c r="G2137" s="1">
        <v>335</v>
      </c>
      <c r="H2137" t="s">
        <v>777</v>
      </c>
      <c r="I2137" t="s">
        <v>5848</v>
      </c>
      <c r="J2137" t="s">
        <v>6969</v>
      </c>
    </row>
    <row r="2138" spans="1:10">
      <c r="A2138">
        <v>109333</v>
      </c>
      <c r="B2138" t="s">
        <v>446</v>
      </c>
      <c r="C2138" t="s">
        <v>6970</v>
      </c>
      <c r="D2138" t="s">
        <v>12</v>
      </c>
      <c r="E2138" t="s">
        <v>6971</v>
      </c>
      <c r="F2138" t="s">
        <v>14</v>
      </c>
      <c r="G2138" s="1">
        <v>334.88</v>
      </c>
      <c r="H2138" t="s">
        <v>1378</v>
      </c>
      <c r="I2138" t="s">
        <v>6972</v>
      </c>
      <c r="J2138" t="s">
        <v>6973</v>
      </c>
    </row>
    <row r="2139" spans="1:10">
      <c r="A2139">
        <v>125389</v>
      </c>
      <c r="B2139" t="s">
        <v>446</v>
      </c>
      <c r="C2139" t="s">
        <v>6974</v>
      </c>
      <c r="D2139" t="s">
        <v>12</v>
      </c>
      <c r="E2139" t="s">
        <v>6975</v>
      </c>
      <c r="F2139" t="s">
        <v>14</v>
      </c>
      <c r="G2139" s="1">
        <v>334.4</v>
      </c>
      <c r="H2139" t="s">
        <v>1917</v>
      </c>
      <c r="I2139" t="s">
        <v>6976</v>
      </c>
      <c r="J2139" t="s">
        <v>6977</v>
      </c>
    </row>
    <row r="2140" spans="1:10">
      <c r="A2140">
        <v>128157</v>
      </c>
      <c r="B2140" t="s">
        <v>446</v>
      </c>
      <c r="C2140" t="s">
        <v>6978</v>
      </c>
      <c r="D2140" t="s">
        <v>12</v>
      </c>
      <c r="E2140" t="s">
        <v>6979</v>
      </c>
      <c r="F2140" t="s">
        <v>14</v>
      </c>
      <c r="G2140" s="1">
        <v>327.24</v>
      </c>
      <c r="H2140" t="s">
        <v>140</v>
      </c>
      <c r="I2140" t="s">
        <v>1704</v>
      </c>
      <c r="J2140" t="s">
        <v>6980</v>
      </c>
    </row>
    <row r="2141" spans="1:10">
      <c r="A2141">
        <v>147603</v>
      </c>
      <c r="B2141" t="s">
        <v>446</v>
      </c>
      <c r="C2141" t="s">
        <v>6981</v>
      </c>
      <c r="D2141" t="s">
        <v>12</v>
      </c>
      <c r="E2141" t="s">
        <v>6982</v>
      </c>
      <c r="F2141" t="s">
        <v>14</v>
      </c>
      <c r="G2141" s="1">
        <v>326.35000000000002</v>
      </c>
      <c r="H2141" t="s">
        <v>1017</v>
      </c>
      <c r="I2141" t="s">
        <v>5008</v>
      </c>
      <c r="J2141" t="s">
        <v>6983</v>
      </c>
    </row>
    <row r="2142" spans="1:10">
      <c r="A2142">
        <v>147613</v>
      </c>
      <c r="B2142" t="s">
        <v>446</v>
      </c>
      <c r="C2142" t="s">
        <v>6984</v>
      </c>
      <c r="D2142" t="s">
        <v>12</v>
      </c>
      <c r="E2142" t="s">
        <v>6985</v>
      </c>
      <c r="F2142" t="s">
        <v>14</v>
      </c>
      <c r="G2142" s="1">
        <v>325.66000000000003</v>
      </c>
      <c r="H2142" t="s">
        <v>499</v>
      </c>
      <c r="I2142" t="s">
        <v>1878</v>
      </c>
      <c r="J2142" t="s">
        <v>3927</v>
      </c>
    </row>
    <row r="2143" spans="1:10">
      <c r="A2143">
        <v>129221</v>
      </c>
      <c r="B2143" t="s">
        <v>446</v>
      </c>
      <c r="C2143" t="s">
        <v>6986</v>
      </c>
      <c r="D2143" t="s">
        <v>12</v>
      </c>
      <c r="E2143" t="s">
        <v>6987</v>
      </c>
      <c r="F2143" t="s">
        <v>14</v>
      </c>
      <c r="G2143" s="1">
        <v>324</v>
      </c>
      <c r="H2143" t="s">
        <v>437</v>
      </c>
      <c r="I2143" t="s">
        <v>6988</v>
      </c>
      <c r="J2143" t="s">
        <v>6989</v>
      </c>
    </row>
    <row r="2144" spans="1:10">
      <c r="A2144">
        <v>100705</v>
      </c>
      <c r="B2144" t="s">
        <v>446</v>
      </c>
      <c r="C2144" t="s">
        <v>6990</v>
      </c>
      <c r="D2144" t="s">
        <v>1986</v>
      </c>
      <c r="E2144" t="s">
        <v>6991</v>
      </c>
      <c r="F2144" t="s">
        <v>14</v>
      </c>
      <c r="G2144" s="1">
        <v>320.64</v>
      </c>
      <c r="H2144" t="s">
        <v>126</v>
      </c>
      <c r="I2144" t="s">
        <v>5404</v>
      </c>
      <c r="J2144" t="s">
        <v>472</v>
      </c>
    </row>
    <row r="2145" spans="1:10">
      <c r="A2145">
        <v>100705</v>
      </c>
      <c r="B2145" t="s">
        <v>446</v>
      </c>
      <c r="C2145" t="s">
        <v>6992</v>
      </c>
      <c r="D2145" t="s">
        <v>1986</v>
      </c>
      <c r="E2145" t="s">
        <v>6993</v>
      </c>
      <c r="F2145" t="s">
        <v>14</v>
      </c>
      <c r="G2145" s="1">
        <v>320.64</v>
      </c>
      <c r="H2145" t="s">
        <v>126</v>
      </c>
      <c r="I2145" t="s">
        <v>5404</v>
      </c>
      <c r="J2145" t="s">
        <v>472</v>
      </c>
    </row>
    <row r="2146" spans="1:10">
      <c r="A2146">
        <v>146136</v>
      </c>
      <c r="B2146" t="s">
        <v>446</v>
      </c>
      <c r="C2146" t="s">
        <v>6994</v>
      </c>
      <c r="D2146" t="s">
        <v>12</v>
      </c>
      <c r="E2146" t="s">
        <v>6995</v>
      </c>
      <c r="F2146" t="s">
        <v>14</v>
      </c>
      <c r="G2146" s="1">
        <v>319.88</v>
      </c>
      <c r="H2146" t="s">
        <v>140</v>
      </c>
      <c r="I2146" t="s">
        <v>1361</v>
      </c>
      <c r="J2146" t="s">
        <v>5369</v>
      </c>
    </row>
    <row r="2147" spans="1:10">
      <c r="A2147">
        <v>147718</v>
      </c>
      <c r="B2147" t="s">
        <v>446</v>
      </c>
      <c r="C2147" t="s">
        <v>6996</v>
      </c>
      <c r="D2147" t="s">
        <v>12</v>
      </c>
      <c r="E2147" t="s">
        <v>6997</v>
      </c>
      <c r="F2147" t="s">
        <v>14</v>
      </c>
      <c r="G2147" s="1">
        <v>316.08999999999997</v>
      </c>
      <c r="H2147" t="s">
        <v>375</v>
      </c>
      <c r="I2147" t="s">
        <v>2442</v>
      </c>
      <c r="J2147" t="s">
        <v>6998</v>
      </c>
    </row>
    <row r="2148" spans="1:10">
      <c r="A2148" t="s">
        <v>6999</v>
      </c>
      <c r="B2148" t="s">
        <v>446</v>
      </c>
      <c r="C2148" t="s">
        <v>7000</v>
      </c>
      <c r="D2148" t="s">
        <v>12</v>
      </c>
      <c r="E2148" t="s">
        <v>7001</v>
      </c>
      <c r="F2148" t="s">
        <v>168</v>
      </c>
      <c r="G2148" s="1">
        <v>315.27</v>
      </c>
      <c r="H2148" t="s">
        <v>232</v>
      </c>
      <c r="I2148" t="s">
        <v>7002</v>
      </c>
      <c r="J2148" t="s">
        <v>7003</v>
      </c>
    </row>
    <row r="2149" spans="1:10">
      <c r="A2149">
        <v>123455</v>
      </c>
      <c r="B2149" t="s">
        <v>446</v>
      </c>
      <c r="C2149" t="s">
        <v>7004</v>
      </c>
      <c r="D2149" t="s">
        <v>12</v>
      </c>
      <c r="E2149" t="s">
        <v>7005</v>
      </c>
      <c r="F2149" t="s">
        <v>14</v>
      </c>
      <c r="G2149" s="1">
        <v>314</v>
      </c>
      <c r="H2149" t="s">
        <v>1017</v>
      </c>
      <c r="I2149" t="s">
        <v>5008</v>
      </c>
      <c r="J2149" t="s">
        <v>7006</v>
      </c>
    </row>
    <row r="2150" spans="1:10">
      <c r="A2150">
        <v>105651</v>
      </c>
      <c r="B2150" t="s">
        <v>446</v>
      </c>
      <c r="C2150" t="s">
        <v>7007</v>
      </c>
      <c r="D2150" t="s">
        <v>2098</v>
      </c>
      <c r="E2150" t="s">
        <v>7008</v>
      </c>
      <c r="F2150" t="s">
        <v>14</v>
      </c>
      <c r="G2150" s="1">
        <v>309.68</v>
      </c>
      <c r="H2150" t="s">
        <v>126</v>
      </c>
      <c r="I2150" t="s">
        <v>156</v>
      </c>
      <c r="J2150" t="s">
        <v>180</v>
      </c>
    </row>
    <row r="2151" spans="1:10">
      <c r="A2151">
        <v>145492</v>
      </c>
      <c r="B2151" t="s">
        <v>446</v>
      </c>
      <c r="C2151" t="s">
        <v>7009</v>
      </c>
      <c r="D2151" t="s">
        <v>12</v>
      </c>
      <c r="E2151" t="s">
        <v>7010</v>
      </c>
      <c r="F2151" t="s">
        <v>14</v>
      </c>
      <c r="G2151" s="1">
        <v>303.5</v>
      </c>
      <c r="H2151" t="s">
        <v>1378</v>
      </c>
      <c r="I2151" t="s">
        <v>1379</v>
      </c>
      <c r="J2151" t="s">
        <v>1380</v>
      </c>
    </row>
    <row r="2152" spans="1:10">
      <c r="A2152">
        <v>147820</v>
      </c>
      <c r="B2152" t="s">
        <v>446</v>
      </c>
      <c r="C2152" t="s">
        <v>7011</v>
      </c>
      <c r="D2152" t="s">
        <v>12</v>
      </c>
      <c r="E2152" t="s">
        <v>7012</v>
      </c>
      <c r="F2152" t="s">
        <v>14</v>
      </c>
      <c r="G2152" s="1">
        <v>300</v>
      </c>
      <c r="H2152" t="s">
        <v>140</v>
      </c>
      <c r="I2152" t="s">
        <v>7013</v>
      </c>
      <c r="J2152" t="s">
        <v>7014</v>
      </c>
    </row>
    <row r="2153" spans="1:10">
      <c r="A2153">
        <v>131231</v>
      </c>
      <c r="B2153" t="s">
        <v>446</v>
      </c>
      <c r="C2153" t="s">
        <v>7015</v>
      </c>
      <c r="D2153" t="s">
        <v>12</v>
      </c>
      <c r="E2153" t="s">
        <v>7016</v>
      </c>
      <c r="F2153" t="s">
        <v>14</v>
      </c>
      <c r="G2153" s="1">
        <v>300</v>
      </c>
      <c r="H2153" t="s">
        <v>1378</v>
      </c>
      <c r="I2153" t="s">
        <v>1379</v>
      </c>
      <c r="J2153" t="s">
        <v>1380</v>
      </c>
    </row>
    <row r="2154" spans="1:10">
      <c r="A2154">
        <v>150196</v>
      </c>
      <c r="B2154" t="s">
        <v>446</v>
      </c>
      <c r="C2154" t="s">
        <v>7017</v>
      </c>
      <c r="D2154" t="s">
        <v>30</v>
      </c>
      <c r="E2154" t="s">
        <v>7018</v>
      </c>
      <c r="F2154" t="s">
        <v>14</v>
      </c>
      <c r="G2154" s="1">
        <v>300</v>
      </c>
      <c r="H2154" t="s">
        <v>437</v>
      </c>
      <c r="I2154" t="s">
        <v>438</v>
      </c>
      <c r="J2154" t="s">
        <v>7019</v>
      </c>
    </row>
    <row r="2155" spans="1:10">
      <c r="A2155">
        <v>114176</v>
      </c>
      <c r="B2155" t="s">
        <v>446</v>
      </c>
      <c r="C2155" t="s">
        <v>7020</v>
      </c>
      <c r="D2155" t="s">
        <v>12</v>
      </c>
      <c r="E2155" t="s">
        <v>7021</v>
      </c>
      <c r="F2155" t="s">
        <v>14</v>
      </c>
      <c r="G2155" s="1">
        <v>297.72000000000003</v>
      </c>
      <c r="H2155" t="s">
        <v>1017</v>
      </c>
      <c r="I2155" t="s">
        <v>1494</v>
      </c>
      <c r="J2155" t="s">
        <v>7022</v>
      </c>
    </row>
    <row r="2156" spans="1:10">
      <c r="A2156">
        <v>110623</v>
      </c>
      <c r="B2156" t="s">
        <v>446</v>
      </c>
      <c r="C2156" t="s">
        <v>7023</v>
      </c>
      <c r="D2156" t="s">
        <v>512</v>
      </c>
      <c r="E2156" t="s">
        <v>7024</v>
      </c>
      <c r="F2156" t="s">
        <v>14</v>
      </c>
      <c r="G2156" s="1">
        <v>295.87</v>
      </c>
      <c r="H2156" t="s">
        <v>553</v>
      </c>
      <c r="I2156" t="s">
        <v>7025</v>
      </c>
      <c r="J2156" t="s">
        <v>7026</v>
      </c>
    </row>
    <row r="2157" spans="1:10">
      <c r="A2157">
        <v>144434</v>
      </c>
      <c r="B2157" t="s">
        <v>446</v>
      </c>
      <c r="C2157" t="s">
        <v>7027</v>
      </c>
      <c r="D2157" t="s">
        <v>12</v>
      </c>
      <c r="E2157" t="s">
        <v>7028</v>
      </c>
      <c r="F2157" t="s">
        <v>14</v>
      </c>
      <c r="G2157" s="1">
        <v>292.89</v>
      </c>
      <c r="H2157" t="s">
        <v>232</v>
      </c>
      <c r="I2157" t="s">
        <v>6493</v>
      </c>
      <c r="J2157" t="s">
        <v>7029</v>
      </c>
    </row>
    <row r="2158" spans="1:10">
      <c r="A2158">
        <v>150383</v>
      </c>
      <c r="B2158" t="s">
        <v>446</v>
      </c>
      <c r="C2158" t="s">
        <v>7030</v>
      </c>
      <c r="D2158" t="s">
        <v>12</v>
      </c>
      <c r="E2158" t="s">
        <v>7031</v>
      </c>
      <c r="F2158" t="s">
        <v>14</v>
      </c>
      <c r="G2158" s="1">
        <v>290</v>
      </c>
      <c r="H2158" t="s">
        <v>499</v>
      </c>
      <c r="I2158" t="s">
        <v>6233</v>
      </c>
      <c r="J2158" t="s">
        <v>7032</v>
      </c>
    </row>
    <row r="2159" spans="1:10">
      <c r="A2159">
        <v>119010</v>
      </c>
      <c r="B2159" t="s">
        <v>446</v>
      </c>
      <c r="C2159" t="s">
        <v>7033</v>
      </c>
      <c r="D2159" t="s">
        <v>12</v>
      </c>
      <c r="E2159" t="s">
        <v>7034</v>
      </c>
      <c r="F2159" t="s">
        <v>14</v>
      </c>
      <c r="G2159" s="1">
        <v>287.89</v>
      </c>
      <c r="H2159" t="s">
        <v>36</v>
      </c>
      <c r="I2159" t="s">
        <v>2491</v>
      </c>
      <c r="J2159" t="s">
        <v>5423</v>
      </c>
    </row>
    <row r="2160" spans="1:10">
      <c r="A2160">
        <v>149999</v>
      </c>
      <c r="B2160" t="s">
        <v>446</v>
      </c>
      <c r="C2160" t="s">
        <v>7035</v>
      </c>
      <c r="D2160" t="s">
        <v>12</v>
      </c>
      <c r="E2160" t="s">
        <v>7036</v>
      </c>
      <c r="F2160" t="s">
        <v>14</v>
      </c>
      <c r="G2160" s="1">
        <v>275</v>
      </c>
      <c r="H2160" t="s">
        <v>3970</v>
      </c>
      <c r="I2160" t="s">
        <v>7037</v>
      </c>
      <c r="J2160" t="s">
        <v>7038</v>
      </c>
    </row>
    <row r="2161" spans="1:10">
      <c r="A2161">
        <v>126278</v>
      </c>
      <c r="B2161" t="s">
        <v>446</v>
      </c>
      <c r="C2161" t="s">
        <v>7039</v>
      </c>
      <c r="D2161" t="s">
        <v>12</v>
      </c>
      <c r="E2161" t="s">
        <v>7040</v>
      </c>
      <c r="F2161" t="s">
        <v>14</v>
      </c>
      <c r="G2161" s="1">
        <v>273.45</v>
      </c>
      <c r="H2161" t="s">
        <v>232</v>
      </c>
      <c r="I2161" t="s">
        <v>7041</v>
      </c>
      <c r="J2161" t="s">
        <v>7042</v>
      </c>
    </row>
    <row r="2162" spans="1:10">
      <c r="A2162">
        <v>131807</v>
      </c>
      <c r="B2162" t="s">
        <v>446</v>
      </c>
      <c r="C2162" t="s">
        <v>7043</v>
      </c>
      <c r="D2162" t="s">
        <v>12</v>
      </c>
      <c r="E2162" t="s">
        <v>7044</v>
      </c>
      <c r="F2162" t="s">
        <v>14</v>
      </c>
      <c r="G2162" s="1">
        <v>269.38</v>
      </c>
      <c r="H2162" t="s">
        <v>36</v>
      </c>
      <c r="I2162" t="s">
        <v>5050</v>
      </c>
      <c r="J2162" t="s">
        <v>1821</v>
      </c>
    </row>
    <row r="2163" spans="1:10">
      <c r="A2163">
        <v>144990</v>
      </c>
      <c r="B2163" t="s">
        <v>446</v>
      </c>
      <c r="C2163" t="s">
        <v>7045</v>
      </c>
      <c r="D2163" t="s">
        <v>12</v>
      </c>
      <c r="E2163" t="s">
        <v>7046</v>
      </c>
      <c r="F2163" t="s">
        <v>14</v>
      </c>
      <c r="G2163" s="1">
        <v>267.62</v>
      </c>
      <c r="H2163" t="s">
        <v>72</v>
      </c>
      <c r="I2163" t="s">
        <v>7047</v>
      </c>
      <c r="J2163" t="s">
        <v>7048</v>
      </c>
    </row>
    <row r="2164" spans="1:10">
      <c r="A2164">
        <v>104424</v>
      </c>
      <c r="B2164" t="s">
        <v>446</v>
      </c>
      <c r="C2164" t="s">
        <v>7049</v>
      </c>
      <c r="D2164" t="s">
        <v>12</v>
      </c>
      <c r="E2164" t="s">
        <v>7050</v>
      </c>
      <c r="F2164" t="s">
        <v>14</v>
      </c>
      <c r="G2164" s="1">
        <v>262.5</v>
      </c>
      <c r="H2164" t="s">
        <v>85</v>
      </c>
      <c r="I2164" t="s">
        <v>7051</v>
      </c>
      <c r="J2164" t="s">
        <v>7052</v>
      </c>
    </row>
    <row r="2165" spans="1:10">
      <c r="A2165">
        <v>145493</v>
      </c>
      <c r="B2165" t="s">
        <v>446</v>
      </c>
      <c r="C2165" t="s">
        <v>7053</v>
      </c>
      <c r="D2165" t="s">
        <v>12</v>
      </c>
      <c r="E2165" t="s">
        <v>7054</v>
      </c>
      <c r="F2165" t="s">
        <v>14</v>
      </c>
      <c r="G2165" s="1">
        <v>259.68</v>
      </c>
      <c r="H2165" t="s">
        <v>1017</v>
      </c>
      <c r="I2165" t="s">
        <v>1943</v>
      </c>
      <c r="J2165" t="s">
        <v>7055</v>
      </c>
    </row>
    <row r="2166" spans="1:10">
      <c r="A2166">
        <v>108449</v>
      </c>
      <c r="B2166" t="s">
        <v>446</v>
      </c>
      <c r="C2166" t="s">
        <v>7056</v>
      </c>
      <c r="D2166" t="s">
        <v>12</v>
      </c>
      <c r="E2166" t="s">
        <v>7057</v>
      </c>
      <c r="F2166" t="s">
        <v>14</v>
      </c>
      <c r="G2166" s="1">
        <v>256.5</v>
      </c>
      <c r="H2166" t="s">
        <v>56</v>
      </c>
      <c r="I2166" t="s">
        <v>7058</v>
      </c>
      <c r="J2166" t="s">
        <v>7059</v>
      </c>
    </row>
    <row r="2167" spans="1:10">
      <c r="A2167">
        <v>150272</v>
      </c>
      <c r="B2167" t="s">
        <v>446</v>
      </c>
      <c r="C2167" t="s">
        <v>7060</v>
      </c>
      <c r="D2167" t="s">
        <v>12</v>
      </c>
      <c r="E2167" t="s">
        <v>7061</v>
      </c>
      <c r="F2167" t="s">
        <v>14</v>
      </c>
      <c r="G2167" s="1">
        <v>251</v>
      </c>
      <c r="H2167" t="s">
        <v>333</v>
      </c>
      <c r="I2167" t="s">
        <v>7062</v>
      </c>
      <c r="J2167" t="s">
        <v>7063</v>
      </c>
    </row>
    <row r="2168" spans="1:10">
      <c r="A2168">
        <v>147845</v>
      </c>
      <c r="B2168" t="s">
        <v>446</v>
      </c>
      <c r="C2168" t="s">
        <v>7064</v>
      </c>
      <c r="D2168" t="s">
        <v>12</v>
      </c>
      <c r="E2168" t="s">
        <v>7065</v>
      </c>
      <c r="F2168" t="s">
        <v>14</v>
      </c>
      <c r="G2168" s="1">
        <v>250</v>
      </c>
      <c r="H2168" t="s">
        <v>131</v>
      </c>
      <c r="I2168" t="s">
        <v>7066</v>
      </c>
      <c r="J2168" t="s">
        <v>7067</v>
      </c>
    </row>
    <row r="2169" spans="1:10">
      <c r="A2169">
        <v>149182</v>
      </c>
      <c r="B2169" t="s">
        <v>446</v>
      </c>
      <c r="C2169" t="s">
        <v>7068</v>
      </c>
      <c r="D2169" t="s">
        <v>12</v>
      </c>
      <c r="E2169" t="s">
        <v>7069</v>
      </c>
      <c r="F2169" t="s">
        <v>14</v>
      </c>
      <c r="G2169" s="1">
        <v>247.5</v>
      </c>
      <c r="H2169" t="s">
        <v>437</v>
      </c>
      <c r="I2169" t="s">
        <v>163</v>
      </c>
      <c r="J2169" t="s">
        <v>7070</v>
      </c>
    </row>
    <row r="2170" spans="1:10">
      <c r="A2170">
        <v>118351</v>
      </c>
      <c r="B2170" t="s">
        <v>446</v>
      </c>
      <c r="C2170" t="s">
        <v>7071</v>
      </c>
      <c r="D2170" t="s">
        <v>512</v>
      </c>
      <c r="E2170" t="s">
        <v>7072</v>
      </c>
      <c r="F2170" t="s">
        <v>14</v>
      </c>
      <c r="G2170" s="1">
        <v>245.25</v>
      </c>
      <c r="H2170" t="s">
        <v>553</v>
      </c>
      <c r="I2170" t="s">
        <v>7073</v>
      </c>
      <c r="J2170" t="s">
        <v>7074</v>
      </c>
    </row>
    <row r="2171" spans="1:10">
      <c r="A2171">
        <v>101079</v>
      </c>
      <c r="B2171" t="s">
        <v>446</v>
      </c>
      <c r="C2171" t="s">
        <v>7075</v>
      </c>
      <c r="D2171" t="s">
        <v>12</v>
      </c>
      <c r="E2171" t="s">
        <v>7076</v>
      </c>
      <c r="F2171" t="s">
        <v>14</v>
      </c>
      <c r="G2171" s="1">
        <v>244.5</v>
      </c>
      <c r="H2171" t="s">
        <v>56</v>
      </c>
      <c r="I2171" t="s">
        <v>1353</v>
      </c>
      <c r="J2171" t="s">
        <v>7077</v>
      </c>
    </row>
    <row r="2172" spans="1:10">
      <c r="A2172">
        <v>127935</v>
      </c>
      <c r="B2172" t="s">
        <v>446</v>
      </c>
      <c r="C2172" t="s">
        <v>7078</v>
      </c>
      <c r="D2172" t="s">
        <v>12</v>
      </c>
      <c r="E2172" t="s">
        <v>7079</v>
      </c>
      <c r="F2172" t="s">
        <v>14</v>
      </c>
      <c r="G2172" s="1">
        <v>243.99</v>
      </c>
      <c r="H2172" t="s">
        <v>777</v>
      </c>
      <c r="I2172" t="s">
        <v>2021</v>
      </c>
      <c r="J2172" t="s">
        <v>7080</v>
      </c>
    </row>
    <row r="2173" spans="1:10">
      <c r="A2173">
        <v>146365</v>
      </c>
      <c r="B2173" t="s">
        <v>446</v>
      </c>
      <c r="C2173" t="s">
        <v>7081</v>
      </c>
      <c r="D2173" t="s">
        <v>12</v>
      </c>
      <c r="E2173" t="s">
        <v>7082</v>
      </c>
      <c r="F2173" t="s">
        <v>14</v>
      </c>
      <c r="G2173" s="1">
        <v>242.44</v>
      </c>
      <c r="H2173" t="s">
        <v>85</v>
      </c>
      <c r="I2173" t="s">
        <v>7083</v>
      </c>
      <c r="J2173" t="s">
        <v>7084</v>
      </c>
    </row>
    <row r="2174" spans="1:10">
      <c r="A2174">
        <v>142046</v>
      </c>
      <c r="B2174" t="s">
        <v>446</v>
      </c>
      <c r="C2174" t="s">
        <v>7085</v>
      </c>
      <c r="D2174" t="s">
        <v>12</v>
      </c>
      <c r="E2174" t="s">
        <v>7086</v>
      </c>
      <c r="F2174" t="s">
        <v>14</v>
      </c>
      <c r="G2174" s="1">
        <v>237.8</v>
      </c>
      <c r="H2174" t="s">
        <v>928</v>
      </c>
      <c r="I2174" t="s">
        <v>7087</v>
      </c>
      <c r="J2174" t="s">
        <v>7088</v>
      </c>
    </row>
    <row r="2175" spans="1:10">
      <c r="A2175">
        <v>122102</v>
      </c>
      <c r="B2175" t="s">
        <v>446</v>
      </c>
      <c r="C2175" t="s">
        <v>7089</v>
      </c>
      <c r="D2175" t="s">
        <v>12</v>
      </c>
      <c r="E2175" t="s">
        <v>7090</v>
      </c>
      <c r="F2175" t="s">
        <v>14</v>
      </c>
      <c r="G2175" s="1">
        <v>237.07</v>
      </c>
      <c r="H2175" t="s">
        <v>1017</v>
      </c>
      <c r="I2175" t="s">
        <v>5027</v>
      </c>
      <c r="J2175" t="s">
        <v>7091</v>
      </c>
    </row>
    <row r="2176" spans="1:10">
      <c r="A2176">
        <v>141939</v>
      </c>
      <c r="B2176" t="s">
        <v>446</v>
      </c>
      <c r="C2176" t="s">
        <v>7092</v>
      </c>
      <c r="D2176" t="s">
        <v>12</v>
      </c>
      <c r="E2176" t="s">
        <v>7093</v>
      </c>
      <c r="F2176" t="s">
        <v>14</v>
      </c>
      <c r="G2176" s="1">
        <v>232.18</v>
      </c>
      <c r="H2176" t="s">
        <v>36</v>
      </c>
      <c r="I2176" t="s">
        <v>690</v>
      </c>
      <c r="J2176" t="s">
        <v>7094</v>
      </c>
    </row>
    <row r="2177" spans="1:10">
      <c r="A2177">
        <v>124441</v>
      </c>
      <c r="B2177" t="s">
        <v>446</v>
      </c>
      <c r="C2177" t="s">
        <v>7095</v>
      </c>
      <c r="D2177" t="s">
        <v>124</v>
      </c>
      <c r="E2177" t="s">
        <v>7096</v>
      </c>
      <c r="F2177" t="s">
        <v>14</v>
      </c>
      <c r="G2177" s="1">
        <v>230.92</v>
      </c>
      <c r="H2177" t="s">
        <v>126</v>
      </c>
      <c r="I2177" t="s">
        <v>156</v>
      </c>
      <c r="J2177" t="s">
        <v>7097</v>
      </c>
    </row>
    <row r="2178" spans="1:10">
      <c r="A2178">
        <v>146832</v>
      </c>
      <c r="B2178" t="s">
        <v>446</v>
      </c>
      <c r="C2178" t="s">
        <v>7098</v>
      </c>
      <c r="D2178" t="s">
        <v>12</v>
      </c>
      <c r="E2178" t="s">
        <v>7099</v>
      </c>
      <c r="F2178" t="s">
        <v>14</v>
      </c>
      <c r="G2178" s="1">
        <v>229.18</v>
      </c>
      <c r="H2178" t="s">
        <v>1017</v>
      </c>
      <c r="I2178" t="s">
        <v>6241</v>
      </c>
      <c r="J2178" t="s">
        <v>7100</v>
      </c>
    </row>
    <row r="2179" spans="1:10">
      <c r="A2179">
        <v>120288</v>
      </c>
      <c r="B2179" t="s">
        <v>446</v>
      </c>
      <c r="C2179" t="s">
        <v>7101</v>
      </c>
      <c r="D2179" t="s">
        <v>12</v>
      </c>
      <c r="E2179" t="s">
        <v>7102</v>
      </c>
      <c r="F2179" t="s">
        <v>14</v>
      </c>
      <c r="G2179" s="1">
        <v>226.47</v>
      </c>
      <c r="H2179" t="s">
        <v>777</v>
      </c>
      <c r="I2179" t="s">
        <v>777</v>
      </c>
      <c r="J2179" t="s">
        <v>7103</v>
      </c>
    </row>
    <row r="2180" spans="1:10">
      <c r="A2180">
        <v>123130</v>
      </c>
      <c r="B2180" t="s">
        <v>446</v>
      </c>
      <c r="C2180" t="s">
        <v>7104</v>
      </c>
      <c r="D2180" t="s">
        <v>12</v>
      </c>
      <c r="E2180" t="s">
        <v>7105</v>
      </c>
      <c r="F2180" t="s">
        <v>14</v>
      </c>
      <c r="G2180" s="1">
        <v>225</v>
      </c>
      <c r="H2180" t="s">
        <v>36</v>
      </c>
      <c r="I2180" t="s">
        <v>5765</v>
      </c>
      <c r="J2180" t="s">
        <v>6816</v>
      </c>
    </row>
    <row r="2181" spans="1:10">
      <c r="A2181">
        <v>146450</v>
      </c>
      <c r="B2181" t="s">
        <v>446</v>
      </c>
      <c r="C2181" t="s">
        <v>7106</v>
      </c>
      <c r="D2181" t="s">
        <v>12</v>
      </c>
      <c r="E2181" t="s">
        <v>7107</v>
      </c>
      <c r="F2181" t="s">
        <v>14</v>
      </c>
      <c r="G2181" s="1">
        <v>218.79</v>
      </c>
      <c r="H2181" t="s">
        <v>777</v>
      </c>
      <c r="I2181" t="s">
        <v>7108</v>
      </c>
      <c r="J2181" t="s">
        <v>7109</v>
      </c>
    </row>
    <row r="2182" spans="1:10">
      <c r="A2182">
        <v>108533</v>
      </c>
      <c r="B2182" t="s">
        <v>446</v>
      </c>
      <c r="C2182" t="s">
        <v>7110</v>
      </c>
      <c r="D2182" t="s">
        <v>12</v>
      </c>
      <c r="E2182" t="s">
        <v>7111</v>
      </c>
      <c r="F2182" t="s">
        <v>14</v>
      </c>
      <c r="G2182" s="1">
        <v>211.28</v>
      </c>
      <c r="H2182" t="s">
        <v>36</v>
      </c>
      <c r="I2182" t="s">
        <v>2653</v>
      </c>
      <c r="J2182" t="s">
        <v>7112</v>
      </c>
    </row>
    <row r="2183" spans="1:10">
      <c r="A2183">
        <v>109887</v>
      </c>
      <c r="B2183" t="s">
        <v>446</v>
      </c>
      <c r="C2183" t="s">
        <v>7113</v>
      </c>
      <c r="D2183" t="s">
        <v>12</v>
      </c>
      <c r="E2183" t="s">
        <v>7114</v>
      </c>
      <c r="F2183" t="s">
        <v>14</v>
      </c>
      <c r="G2183" s="1">
        <v>210.8</v>
      </c>
      <c r="H2183" t="s">
        <v>56</v>
      </c>
      <c r="I2183" t="s">
        <v>7115</v>
      </c>
      <c r="J2183" t="s">
        <v>7116</v>
      </c>
    </row>
    <row r="2184" spans="1:10">
      <c r="A2184">
        <v>150488</v>
      </c>
      <c r="B2184" t="s">
        <v>446</v>
      </c>
      <c r="C2184" t="s">
        <v>7117</v>
      </c>
      <c r="D2184" t="s">
        <v>12</v>
      </c>
      <c r="E2184" t="s">
        <v>7118</v>
      </c>
      <c r="F2184" t="s">
        <v>14</v>
      </c>
      <c r="G2184" s="1">
        <v>209.46</v>
      </c>
      <c r="H2184" t="s">
        <v>499</v>
      </c>
      <c r="I2184" t="s">
        <v>2632</v>
      </c>
      <c r="J2184" t="s">
        <v>7119</v>
      </c>
    </row>
    <row r="2185" spans="1:10">
      <c r="A2185">
        <v>125383</v>
      </c>
      <c r="B2185" t="s">
        <v>446</v>
      </c>
      <c r="C2185" t="s">
        <v>7120</v>
      </c>
      <c r="D2185" t="s">
        <v>512</v>
      </c>
      <c r="E2185" t="s">
        <v>7121</v>
      </c>
      <c r="F2185" t="s">
        <v>14</v>
      </c>
      <c r="G2185" s="1">
        <v>206.08</v>
      </c>
      <c r="H2185" t="s">
        <v>85</v>
      </c>
      <c r="I2185" t="s">
        <v>7122</v>
      </c>
      <c r="J2185" t="s">
        <v>7123</v>
      </c>
    </row>
    <row r="2186" spans="1:10">
      <c r="A2186">
        <v>119734</v>
      </c>
      <c r="B2186" t="s">
        <v>446</v>
      </c>
      <c r="C2186" t="s">
        <v>7124</v>
      </c>
      <c r="D2186" t="s">
        <v>12</v>
      </c>
      <c r="E2186" t="s">
        <v>7125</v>
      </c>
      <c r="F2186" t="s">
        <v>14</v>
      </c>
      <c r="G2186" s="1">
        <v>205.29</v>
      </c>
      <c r="H2186" t="s">
        <v>27</v>
      </c>
      <c r="I2186" t="s">
        <v>7126</v>
      </c>
      <c r="J2186" t="s">
        <v>7127</v>
      </c>
    </row>
    <row r="2187" spans="1:10">
      <c r="A2187" t="s">
        <v>7128</v>
      </c>
      <c r="B2187" t="s">
        <v>446</v>
      </c>
      <c r="C2187" t="s">
        <v>7129</v>
      </c>
      <c r="D2187" t="s">
        <v>12</v>
      </c>
      <c r="E2187" t="s">
        <v>7130</v>
      </c>
      <c r="F2187" t="s">
        <v>168</v>
      </c>
      <c r="G2187" s="1">
        <v>201.65</v>
      </c>
      <c r="H2187" t="s">
        <v>848</v>
      </c>
      <c r="I2187" t="s">
        <v>7131</v>
      </c>
      <c r="J2187" t="s">
        <v>7132</v>
      </c>
    </row>
    <row r="2188" spans="1:10">
      <c r="A2188">
        <v>111766</v>
      </c>
      <c r="B2188" t="s">
        <v>446</v>
      </c>
      <c r="C2188" t="s">
        <v>7133</v>
      </c>
      <c r="D2188" t="s">
        <v>12</v>
      </c>
      <c r="E2188" t="s">
        <v>7134</v>
      </c>
      <c r="F2188" t="s">
        <v>14</v>
      </c>
      <c r="G2188" s="1">
        <v>200.32</v>
      </c>
      <c r="H2188" t="s">
        <v>140</v>
      </c>
      <c r="I2188" t="s">
        <v>7135</v>
      </c>
      <c r="J2188" t="s">
        <v>7136</v>
      </c>
    </row>
    <row r="2189" spans="1:10">
      <c r="A2189">
        <v>150510</v>
      </c>
      <c r="B2189" t="s">
        <v>446</v>
      </c>
      <c r="C2189" t="s">
        <v>7137</v>
      </c>
      <c r="D2189" t="s">
        <v>12</v>
      </c>
      <c r="E2189" t="s">
        <v>7138</v>
      </c>
      <c r="F2189" t="s">
        <v>14</v>
      </c>
      <c r="G2189" s="1">
        <v>200</v>
      </c>
      <c r="H2189" t="s">
        <v>56</v>
      </c>
      <c r="I2189" t="s">
        <v>4372</v>
      </c>
      <c r="J2189" t="s">
        <v>7139</v>
      </c>
    </row>
    <row r="2190" spans="1:10">
      <c r="A2190" t="s">
        <v>7140</v>
      </c>
      <c r="B2190" t="s">
        <v>446</v>
      </c>
      <c r="C2190" t="s">
        <v>7141</v>
      </c>
      <c r="D2190" t="s">
        <v>12</v>
      </c>
      <c r="E2190" t="s">
        <v>7142</v>
      </c>
      <c r="F2190" t="s">
        <v>168</v>
      </c>
      <c r="G2190" s="1">
        <v>199.11</v>
      </c>
      <c r="H2190" t="s">
        <v>375</v>
      </c>
      <c r="I2190" t="s">
        <v>7143</v>
      </c>
      <c r="J2190" t="s">
        <v>7144</v>
      </c>
    </row>
    <row r="2191" spans="1:10">
      <c r="A2191">
        <v>103298</v>
      </c>
      <c r="B2191" t="s">
        <v>446</v>
      </c>
      <c r="C2191" t="s">
        <v>7145</v>
      </c>
      <c r="D2191" t="s">
        <v>512</v>
      </c>
      <c r="E2191" t="s">
        <v>6082</v>
      </c>
      <c r="F2191" t="s">
        <v>14</v>
      </c>
      <c r="G2191" s="1">
        <v>195.62</v>
      </c>
      <c r="H2191" t="s">
        <v>27</v>
      </c>
      <c r="I2191" t="s">
        <v>6514</v>
      </c>
      <c r="J2191" t="s">
        <v>7146</v>
      </c>
    </row>
    <row r="2192" spans="1:10">
      <c r="A2192">
        <v>140085</v>
      </c>
      <c r="B2192" t="s">
        <v>446</v>
      </c>
      <c r="C2192" t="s">
        <v>7147</v>
      </c>
      <c r="D2192" t="s">
        <v>12</v>
      </c>
      <c r="E2192" t="s">
        <v>7148</v>
      </c>
      <c r="F2192" t="s">
        <v>14</v>
      </c>
      <c r="G2192" s="1">
        <v>190.95</v>
      </c>
      <c r="H2192" t="s">
        <v>1017</v>
      </c>
      <c r="I2192" t="s">
        <v>3543</v>
      </c>
      <c r="J2192" t="s">
        <v>7149</v>
      </c>
    </row>
    <row r="2193" spans="1:10">
      <c r="A2193">
        <v>150733</v>
      </c>
      <c r="B2193" t="s">
        <v>446</v>
      </c>
      <c r="C2193" t="s">
        <v>7150</v>
      </c>
      <c r="D2193" t="s">
        <v>12</v>
      </c>
      <c r="E2193" t="s">
        <v>7151</v>
      </c>
      <c r="F2193" t="s">
        <v>14</v>
      </c>
      <c r="G2193" s="1">
        <v>190.9</v>
      </c>
      <c r="H2193" t="s">
        <v>36</v>
      </c>
      <c r="I2193" t="s">
        <v>7152</v>
      </c>
      <c r="J2193" t="s">
        <v>7153</v>
      </c>
    </row>
    <row r="2194" spans="1:10">
      <c r="A2194">
        <v>125657</v>
      </c>
      <c r="B2194" t="s">
        <v>446</v>
      </c>
      <c r="C2194" t="s">
        <v>7154</v>
      </c>
      <c r="D2194" t="s">
        <v>12</v>
      </c>
      <c r="E2194" t="s">
        <v>7155</v>
      </c>
      <c r="F2194" t="s">
        <v>14</v>
      </c>
      <c r="G2194" s="1">
        <v>190</v>
      </c>
      <c r="H2194" t="s">
        <v>232</v>
      </c>
      <c r="I2194" t="s">
        <v>7156</v>
      </c>
      <c r="J2194" t="s">
        <v>7157</v>
      </c>
    </row>
    <row r="2195" spans="1:10">
      <c r="A2195">
        <v>143938</v>
      </c>
      <c r="B2195" t="s">
        <v>446</v>
      </c>
      <c r="C2195" t="s">
        <v>7158</v>
      </c>
      <c r="D2195" t="s">
        <v>12</v>
      </c>
      <c r="E2195" t="s">
        <v>7159</v>
      </c>
      <c r="F2195" t="s">
        <v>14</v>
      </c>
      <c r="G2195" s="1">
        <v>189</v>
      </c>
      <c r="H2195" t="s">
        <v>56</v>
      </c>
      <c r="I2195" t="s">
        <v>7160</v>
      </c>
      <c r="J2195" t="s">
        <v>7161</v>
      </c>
    </row>
    <row r="2196" spans="1:10">
      <c r="A2196">
        <v>150258</v>
      </c>
      <c r="B2196" t="s">
        <v>446</v>
      </c>
      <c r="C2196" t="s">
        <v>7162</v>
      </c>
      <c r="D2196" t="s">
        <v>12</v>
      </c>
      <c r="E2196" t="s">
        <v>7163</v>
      </c>
      <c r="F2196" t="s">
        <v>14</v>
      </c>
      <c r="G2196" s="1">
        <v>184.61</v>
      </c>
      <c r="H2196" t="s">
        <v>95</v>
      </c>
      <c r="I2196" t="s">
        <v>506</v>
      </c>
      <c r="J2196" t="s">
        <v>1522</v>
      </c>
    </row>
    <row r="2197" spans="1:10">
      <c r="A2197">
        <v>151769</v>
      </c>
      <c r="B2197" t="s">
        <v>446</v>
      </c>
      <c r="C2197" t="s">
        <v>7164</v>
      </c>
      <c r="D2197" t="s">
        <v>12</v>
      </c>
      <c r="E2197" t="s">
        <v>7165</v>
      </c>
      <c r="F2197" t="s">
        <v>14</v>
      </c>
      <c r="G2197" s="1">
        <v>178.87</v>
      </c>
      <c r="H2197" t="s">
        <v>1124</v>
      </c>
      <c r="I2197" t="s">
        <v>7166</v>
      </c>
      <c r="J2197" t="s">
        <v>7167</v>
      </c>
    </row>
    <row r="2198" spans="1:10">
      <c r="A2198">
        <v>144325</v>
      </c>
      <c r="B2198" t="s">
        <v>446</v>
      </c>
      <c r="C2198" t="s">
        <v>7168</v>
      </c>
      <c r="D2198" t="s">
        <v>124</v>
      </c>
      <c r="E2198" t="s">
        <v>7169</v>
      </c>
      <c r="F2198" t="s">
        <v>14</v>
      </c>
      <c r="G2198" s="1">
        <v>175</v>
      </c>
      <c r="H2198" t="s">
        <v>126</v>
      </c>
      <c r="I2198" t="s">
        <v>156</v>
      </c>
      <c r="J2198" t="s">
        <v>7170</v>
      </c>
    </row>
    <row r="2199" spans="1:10">
      <c r="A2199">
        <v>151732</v>
      </c>
      <c r="B2199" t="s">
        <v>446</v>
      </c>
      <c r="C2199" t="s">
        <v>7171</v>
      </c>
      <c r="D2199" t="s">
        <v>12</v>
      </c>
      <c r="E2199" t="s">
        <v>7172</v>
      </c>
      <c r="F2199" t="s">
        <v>14</v>
      </c>
      <c r="G2199" s="1">
        <v>174.58</v>
      </c>
      <c r="H2199" t="s">
        <v>140</v>
      </c>
      <c r="I2199" t="s">
        <v>505</v>
      </c>
      <c r="J2199" t="s">
        <v>506</v>
      </c>
    </row>
    <row r="2200" spans="1:10">
      <c r="A2200" t="s">
        <v>7173</v>
      </c>
      <c r="B2200" t="s">
        <v>446</v>
      </c>
      <c r="C2200" t="s">
        <v>7174</v>
      </c>
      <c r="D2200" t="s">
        <v>12</v>
      </c>
      <c r="E2200" t="s">
        <v>7175</v>
      </c>
      <c r="F2200" t="s">
        <v>168</v>
      </c>
      <c r="G2200" s="1">
        <v>169.83</v>
      </c>
      <c r="H2200" t="s">
        <v>232</v>
      </c>
      <c r="I2200" t="s">
        <v>2750</v>
      </c>
      <c r="J2200" t="s">
        <v>7176</v>
      </c>
    </row>
    <row r="2201" spans="1:10">
      <c r="A2201">
        <v>120985</v>
      </c>
      <c r="B2201" t="s">
        <v>446</v>
      </c>
      <c r="C2201" t="s">
        <v>7177</v>
      </c>
      <c r="D2201" t="s">
        <v>2098</v>
      </c>
      <c r="E2201" t="s">
        <v>7178</v>
      </c>
      <c r="F2201" t="s">
        <v>14</v>
      </c>
      <c r="G2201" s="1">
        <v>167.38</v>
      </c>
      <c r="H2201" t="s">
        <v>85</v>
      </c>
      <c r="I2201" t="s">
        <v>4402</v>
      </c>
      <c r="J2201" t="s">
        <v>4403</v>
      </c>
    </row>
    <row r="2202" spans="1:10">
      <c r="A2202">
        <v>121940</v>
      </c>
      <c r="B2202" t="s">
        <v>446</v>
      </c>
      <c r="C2202" t="s">
        <v>7179</v>
      </c>
      <c r="D2202" t="s">
        <v>12</v>
      </c>
      <c r="E2202" t="s">
        <v>7180</v>
      </c>
      <c r="F2202" t="s">
        <v>14</v>
      </c>
      <c r="G2202" s="1">
        <v>165.33</v>
      </c>
      <c r="H2202" t="s">
        <v>85</v>
      </c>
      <c r="I2202" t="s">
        <v>7181</v>
      </c>
      <c r="J2202" t="s">
        <v>7182</v>
      </c>
    </row>
    <row r="2203" spans="1:10">
      <c r="A2203">
        <v>110375</v>
      </c>
      <c r="B2203" t="s">
        <v>446</v>
      </c>
      <c r="C2203" t="s">
        <v>7183</v>
      </c>
      <c r="D2203" t="s">
        <v>12</v>
      </c>
      <c r="E2203" t="s">
        <v>7184</v>
      </c>
      <c r="F2203" t="s">
        <v>14</v>
      </c>
      <c r="G2203" s="1">
        <v>160</v>
      </c>
      <c r="H2203" t="s">
        <v>56</v>
      </c>
      <c r="I2203" t="s">
        <v>7185</v>
      </c>
      <c r="J2203" t="s">
        <v>7186</v>
      </c>
    </row>
    <row r="2204" spans="1:10">
      <c r="A2204">
        <v>144285</v>
      </c>
      <c r="B2204" t="s">
        <v>446</v>
      </c>
      <c r="C2204" t="s">
        <v>7187</v>
      </c>
      <c r="D2204" t="s">
        <v>2098</v>
      </c>
      <c r="E2204" t="s">
        <v>7188</v>
      </c>
      <c r="F2204" t="s">
        <v>14</v>
      </c>
      <c r="G2204" s="1">
        <v>159.47999999999999</v>
      </c>
      <c r="H2204" t="s">
        <v>375</v>
      </c>
      <c r="I2204" t="s">
        <v>3552</v>
      </c>
      <c r="J2204" t="s">
        <v>7189</v>
      </c>
    </row>
    <row r="2205" spans="1:10">
      <c r="A2205">
        <v>124366</v>
      </c>
      <c r="B2205" t="s">
        <v>446</v>
      </c>
      <c r="C2205" t="s">
        <v>7190</v>
      </c>
      <c r="D2205" t="s">
        <v>512</v>
      </c>
      <c r="E2205" t="s">
        <v>3570</v>
      </c>
      <c r="F2205" t="s">
        <v>14</v>
      </c>
      <c r="G2205" s="1">
        <v>159.33000000000001</v>
      </c>
      <c r="H2205" t="s">
        <v>553</v>
      </c>
      <c r="I2205" t="s">
        <v>1971</v>
      </c>
      <c r="J2205" t="s">
        <v>3571</v>
      </c>
    </row>
    <row r="2206" spans="1:10">
      <c r="A2206">
        <v>146319</v>
      </c>
      <c r="B2206" t="s">
        <v>446</v>
      </c>
      <c r="C2206" t="s">
        <v>7191</v>
      </c>
      <c r="D2206" t="s">
        <v>12</v>
      </c>
      <c r="E2206" t="s">
        <v>7192</v>
      </c>
      <c r="F2206" t="s">
        <v>14</v>
      </c>
      <c r="G2206" s="1">
        <v>159</v>
      </c>
      <c r="H2206" t="s">
        <v>56</v>
      </c>
      <c r="I2206" t="s">
        <v>7193</v>
      </c>
      <c r="J2206" t="s">
        <v>7194</v>
      </c>
    </row>
    <row r="2207" spans="1:10">
      <c r="A2207" t="s">
        <v>7195</v>
      </c>
      <c r="B2207" t="s">
        <v>446</v>
      </c>
      <c r="C2207" t="s">
        <v>7196</v>
      </c>
      <c r="D2207" t="s">
        <v>12</v>
      </c>
      <c r="E2207" t="s">
        <v>7197</v>
      </c>
      <c r="F2207" t="s">
        <v>168</v>
      </c>
      <c r="G2207" s="1">
        <v>158.13</v>
      </c>
      <c r="H2207" t="s">
        <v>85</v>
      </c>
      <c r="I2207" t="s">
        <v>6474</v>
      </c>
      <c r="J2207" t="s">
        <v>7198</v>
      </c>
    </row>
    <row r="2208" spans="1:10">
      <c r="A2208">
        <v>144414</v>
      </c>
      <c r="B2208" t="s">
        <v>446</v>
      </c>
      <c r="C2208" t="s">
        <v>7199</v>
      </c>
      <c r="D2208" t="s">
        <v>12</v>
      </c>
      <c r="E2208" t="s">
        <v>7200</v>
      </c>
      <c r="F2208" t="s">
        <v>14</v>
      </c>
      <c r="G2208" s="1">
        <v>157.13</v>
      </c>
      <c r="H2208" t="s">
        <v>140</v>
      </c>
      <c r="I2208" t="s">
        <v>7201</v>
      </c>
      <c r="J2208" t="s">
        <v>7202</v>
      </c>
    </row>
    <row r="2209" spans="1:10">
      <c r="A2209">
        <v>147259</v>
      </c>
      <c r="B2209" t="s">
        <v>446</v>
      </c>
      <c r="C2209" t="s">
        <v>7203</v>
      </c>
      <c r="D2209" t="s">
        <v>12</v>
      </c>
      <c r="E2209" t="s">
        <v>7204</v>
      </c>
      <c r="F2209" t="s">
        <v>14</v>
      </c>
      <c r="G2209" s="1">
        <v>153.44</v>
      </c>
      <c r="H2209" t="s">
        <v>1378</v>
      </c>
      <c r="I2209" t="s">
        <v>1379</v>
      </c>
      <c r="J2209" t="s">
        <v>1380</v>
      </c>
    </row>
    <row r="2210" spans="1:10">
      <c r="A2210">
        <v>110288</v>
      </c>
      <c r="B2210" t="s">
        <v>446</v>
      </c>
      <c r="C2210" t="s">
        <v>7205</v>
      </c>
      <c r="D2210" t="s">
        <v>12</v>
      </c>
      <c r="E2210" t="s">
        <v>7206</v>
      </c>
      <c r="F2210" t="s">
        <v>14</v>
      </c>
      <c r="G2210" s="1">
        <v>150.47</v>
      </c>
      <c r="H2210" t="s">
        <v>232</v>
      </c>
      <c r="I2210" t="s">
        <v>233</v>
      </c>
      <c r="J2210" t="s">
        <v>7207</v>
      </c>
    </row>
    <row r="2211" spans="1:10">
      <c r="A2211">
        <v>102525</v>
      </c>
      <c r="B2211" t="s">
        <v>446</v>
      </c>
      <c r="C2211" t="s">
        <v>7208</v>
      </c>
      <c r="D2211" t="s">
        <v>12</v>
      </c>
      <c r="E2211" t="s">
        <v>7209</v>
      </c>
      <c r="F2211" t="s">
        <v>14</v>
      </c>
      <c r="G2211" s="1">
        <v>150</v>
      </c>
      <c r="H2211" t="s">
        <v>425</v>
      </c>
      <c r="I2211" t="s">
        <v>4408</v>
      </c>
      <c r="J2211" t="s">
        <v>4409</v>
      </c>
    </row>
    <row r="2212" spans="1:10">
      <c r="A2212">
        <v>106638</v>
      </c>
      <c r="B2212" t="s">
        <v>446</v>
      </c>
      <c r="C2212" t="s">
        <v>7210</v>
      </c>
      <c r="D2212" t="s">
        <v>12</v>
      </c>
      <c r="E2212" t="s">
        <v>7211</v>
      </c>
      <c r="F2212" t="s">
        <v>14</v>
      </c>
      <c r="G2212" s="1">
        <v>134.38999999999999</v>
      </c>
      <c r="H2212" t="s">
        <v>56</v>
      </c>
      <c r="I2212" t="s">
        <v>1138</v>
      </c>
      <c r="J2212" t="s">
        <v>7212</v>
      </c>
    </row>
    <row r="2213" spans="1:10">
      <c r="A2213">
        <v>149035</v>
      </c>
      <c r="B2213" t="s">
        <v>446</v>
      </c>
      <c r="C2213" t="s">
        <v>7213</v>
      </c>
      <c r="D2213" t="s">
        <v>12</v>
      </c>
      <c r="E2213" t="s">
        <v>7214</v>
      </c>
      <c r="F2213" t="s">
        <v>14</v>
      </c>
      <c r="G2213" s="1">
        <v>134</v>
      </c>
      <c r="H2213" t="s">
        <v>425</v>
      </c>
      <c r="I2213" t="s">
        <v>4713</v>
      </c>
      <c r="J2213" t="s">
        <v>7215</v>
      </c>
    </row>
    <row r="2214" spans="1:10">
      <c r="A2214">
        <v>143336</v>
      </c>
      <c r="B2214" t="s">
        <v>446</v>
      </c>
      <c r="C2214" t="s">
        <v>7216</v>
      </c>
      <c r="D2214" t="s">
        <v>12</v>
      </c>
      <c r="E2214" t="s">
        <v>7217</v>
      </c>
      <c r="F2214" t="s">
        <v>14</v>
      </c>
      <c r="G2214" s="1">
        <v>132.22</v>
      </c>
      <c r="H2214" t="s">
        <v>85</v>
      </c>
      <c r="I2214" t="s">
        <v>7218</v>
      </c>
      <c r="J2214" t="s">
        <v>7219</v>
      </c>
    </row>
    <row r="2215" spans="1:10">
      <c r="A2215">
        <v>146033</v>
      </c>
      <c r="B2215" t="s">
        <v>446</v>
      </c>
      <c r="C2215" t="s">
        <v>7220</v>
      </c>
      <c r="D2215" t="s">
        <v>12</v>
      </c>
      <c r="E2215" t="s">
        <v>7221</v>
      </c>
      <c r="F2215" t="s">
        <v>14</v>
      </c>
      <c r="G2215" s="1">
        <v>131</v>
      </c>
      <c r="H2215" t="s">
        <v>1412</v>
      </c>
      <c r="I2215" t="s">
        <v>7222</v>
      </c>
      <c r="J2215" t="s">
        <v>7223</v>
      </c>
    </row>
    <row r="2216" spans="1:10">
      <c r="A2216">
        <v>117267</v>
      </c>
      <c r="B2216" t="s">
        <v>446</v>
      </c>
      <c r="C2216" t="s">
        <v>7224</v>
      </c>
      <c r="D2216" t="s">
        <v>512</v>
      </c>
      <c r="E2216" t="s">
        <v>7225</v>
      </c>
      <c r="F2216" t="s">
        <v>14</v>
      </c>
      <c r="G2216" s="1">
        <v>129.5</v>
      </c>
      <c r="H2216" t="s">
        <v>553</v>
      </c>
      <c r="I2216" t="s">
        <v>7226</v>
      </c>
      <c r="J2216" t="s">
        <v>7227</v>
      </c>
    </row>
    <row r="2217" spans="1:10">
      <c r="A2217">
        <v>143337</v>
      </c>
      <c r="B2217" t="s">
        <v>446</v>
      </c>
      <c r="C2217" t="s">
        <v>7228</v>
      </c>
      <c r="D2217" t="s">
        <v>12</v>
      </c>
      <c r="E2217" t="s">
        <v>7229</v>
      </c>
      <c r="F2217" t="s">
        <v>14</v>
      </c>
      <c r="G2217" s="1">
        <v>126.79</v>
      </c>
      <c r="H2217" t="s">
        <v>85</v>
      </c>
      <c r="I2217" t="s">
        <v>7230</v>
      </c>
      <c r="J2217" t="s">
        <v>7231</v>
      </c>
    </row>
    <row r="2218" spans="1:10">
      <c r="A2218">
        <v>143687</v>
      </c>
      <c r="B2218" t="s">
        <v>446</v>
      </c>
      <c r="C2218" t="s">
        <v>7232</v>
      </c>
      <c r="D2218" t="s">
        <v>12</v>
      </c>
      <c r="E2218" t="s">
        <v>7233</v>
      </c>
      <c r="F2218" t="s">
        <v>14</v>
      </c>
      <c r="G2218" s="1">
        <v>125</v>
      </c>
      <c r="H2218" t="s">
        <v>56</v>
      </c>
      <c r="I2218" t="s">
        <v>1138</v>
      </c>
      <c r="J2218" t="s">
        <v>7234</v>
      </c>
    </row>
    <row r="2219" spans="1:10">
      <c r="A2219">
        <v>110962</v>
      </c>
      <c r="B2219" t="s">
        <v>446</v>
      </c>
      <c r="C2219" t="s">
        <v>7235</v>
      </c>
      <c r="D2219" t="s">
        <v>12</v>
      </c>
      <c r="E2219" t="s">
        <v>7236</v>
      </c>
      <c r="F2219" t="s">
        <v>14</v>
      </c>
      <c r="G2219" s="1">
        <v>125</v>
      </c>
      <c r="H2219" t="s">
        <v>499</v>
      </c>
      <c r="I2219" t="s">
        <v>2632</v>
      </c>
      <c r="J2219" t="s">
        <v>4988</v>
      </c>
    </row>
    <row r="2220" spans="1:10">
      <c r="A2220">
        <v>150127</v>
      </c>
      <c r="B2220" t="s">
        <v>446</v>
      </c>
      <c r="C2220" t="s">
        <v>7237</v>
      </c>
      <c r="D2220" t="s">
        <v>124</v>
      </c>
      <c r="E2220" t="s">
        <v>7238</v>
      </c>
      <c r="F2220" t="s">
        <v>14</v>
      </c>
      <c r="G2220" s="1">
        <v>110</v>
      </c>
      <c r="H2220" t="s">
        <v>56</v>
      </c>
      <c r="I2220" t="s">
        <v>7239</v>
      </c>
      <c r="J2220" t="s">
        <v>7240</v>
      </c>
    </row>
    <row r="2221" spans="1:10">
      <c r="A2221">
        <v>109117</v>
      </c>
      <c r="B2221" t="s">
        <v>446</v>
      </c>
      <c r="C2221" t="s">
        <v>7241</v>
      </c>
      <c r="D2221" t="s">
        <v>2098</v>
      </c>
      <c r="E2221" t="s">
        <v>7242</v>
      </c>
      <c r="F2221" t="s">
        <v>14</v>
      </c>
      <c r="G2221" s="1">
        <v>105.67</v>
      </c>
      <c r="H2221" t="s">
        <v>85</v>
      </c>
      <c r="I2221" t="s">
        <v>7243</v>
      </c>
      <c r="J2221" t="s">
        <v>7244</v>
      </c>
    </row>
    <row r="2222" spans="1:10">
      <c r="A2222">
        <v>150497</v>
      </c>
      <c r="B2222" t="s">
        <v>446</v>
      </c>
      <c r="C2222" t="s">
        <v>7245</v>
      </c>
      <c r="D2222" t="s">
        <v>12</v>
      </c>
      <c r="E2222" t="s">
        <v>7246</v>
      </c>
      <c r="F2222" t="s">
        <v>14</v>
      </c>
      <c r="G2222" s="1">
        <v>105</v>
      </c>
      <c r="H2222" t="s">
        <v>1017</v>
      </c>
      <c r="I2222" t="s">
        <v>5908</v>
      </c>
      <c r="J2222" t="s">
        <v>7247</v>
      </c>
    </row>
    <row r="2223" spans="1:10">
      <c r="A2223">
        <v>149674</v>
      </c>
      <c r="B2223" t="s">
        <v>446</v>
      </c>
      <c r="C2223" t="s">
        <v>7248</v>
      </c>
      <c r="D2223" t="s">
        <v>12</v>
      </c>
      <c r="E2223" t="s">
        <v>7249</v>
      </c>
      <c r="F2223" t="s">
        <v>14</v>
      </c>
      <c r="G2223" s="1">
        <v>100</v>
      </c>
      <c r="H2223" t="s">
        <v>1412</v>
      </c>
      <c r="I2223" t="s">
        <v>7250</v>
      </c>
      <c r="J2223" t="s">
        <v>7251</v>
      </c>
    </row>
    <row r="2224" spans="1:10">
      <c r="A2224">
        <v>149775</v>
      </c>
      <c r="B2224" t="s">
        <v>446</v>
      </c>
      <c r="C2224" t="s">
        <v>7252</v>
      </c>
      <c r="D2224" t="s">
        <v>12</v>
      </c>
      <c r="E2224" t="s">
        <v>7253</v>
      </c>
      <c r="F2224" t="s">
        <v>14</v>
      </c>
      <c r="G2224" s="1">
        <v>100</v>
      </c>
      <c r="H2224" t="s">
        <v>140</v>
      </c>
      <c r="I2224" t="s">
        <v>1993</v>
      </c>
      <c r="J2224" t="s">
        <v>1994</v>
      </c>
    </row>
    <row r="2225" spans="1:10">
      <c r="A2225">
        <v>150424</v>
      </c>
      <c r="B2225" t="s">
        <v>446</v>
      </c>
      <c r="C2225" t="s">
        <v>7254</v>
      </c>
      <c r="D2225" t="s">
        <v>12</v>
      </c>
      <c r="E2225" t="s">
        <v>7255</v>
      </c>
      <c r="F2225" t="s">
        <v>14</v>
      </c>
      <c r="G2225" s="1">
        <v>100</v>
      </c>
      <c r="H2225" t="s">
        <v>95</v>
      </c>
      <c r="I2225" t="s">
        <v>506</v>
      </c>
      <c r="J2225" t="s">
        <v>1522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61E6-0F23-4883-8DFF-DFD25D2D673C}">
  <dimension ref="A1:E14"/>
  <sheetViews>
    <sheetView workbookViewId="0">
      <selection activeCell="B10" sqref="B10"/>
    </sheetView>
  </sheetViews>
  <sheetFormatPr defaultRowHeight="15"/>
  <cols>
    <col min="2" max="2" width="29.42578125" bestFit="1" customWidth="1"/>
  </cols>
  <sheetData>
    <row r="1" spans="1:5">
      <c r="A1" t="s">
        <v>0</v>
      </c>
      <c r="B1" t="s">
        <v>7256</v>
      </c>
      <c r="C1" t="s">
        <v>3</v>
      </c>
      <c r="D1" t="s">
        <v>7257</v>
      </c>
      <c r="E1" t="s">
        <v>7258</v>
      </c>
    </row>
    <row r="2" spans="1:5">
      <c r="A2">
        <v>1265</v>
      </c>
      <c r="B2" t="s">
        <v>7141</v>
      </c>
      <c r="C2" t="s">
        <v>12</v>
      </c>
      <c r="D2" t="s">
        <v>7259</v>
      </c>
      <c r="E2" t="s">
        <v>7260</v>
      </c>
    </row>
    <row r="3" spans="1:5">
      <c r="A3">
        <v>110288</v>
      </c>
      <c r="B3" t="s">
        <v>7261</v>
      </c>
      <c r="C3" t="s">
        <v>12</v>
      </c>
      <c r="D3" t="s">
        <v>7262</v>
      </c>
      <c r="E3" t="s">
        <v>7263</v>
      </c>
    </row>
    <row r="4" spans="1:5">
      <c r="A4">
        <v>129283</v>
      </c>
      <c r="B4" t="s">
        <v>240</v>
      </c>
      <c r="C4" t="s">
        <v>12</v>
      </c>
      <c r="D4" t="s">
        <v>242</v>
      </c>
      <c r="E4" t="s">
        <v>7264</v>
      </c>
    </row>
    <row r="5" spans="1:5">
      <c r="A5">
        <v>130479</v>
      </c>
      <c r="B5" t="s">
        <v>7265</v>
      </c>
      <c r="C5" t="s">
        <v>12</v>
      </c>
      <c r="D5" t="s">
        <v>7266</v>
      </c>
      <c r="E5" t="s">
        <v>7267</v>
      </c>
    </row>
    <row r="6" spans="1:5">
      <c r="A6">
        <v>131910</v>
      </c>
      <c r="B6" t="s">
        <v>7268</v>
      </c>
      <c r="C6" t="s">
        <v>12</v>
      </c>
      <c r="D6" t="s">
        <v>7269</v>
      </c>
      <c r="E6" t="s">
        <v>7270</v>
      </c>
    </row>
    <row r="7" spans="1:5">
      <c r="A7">
        <v>132018</v>
      </c>
      <c r="B7" t="s">
        <v>402</v>
      </c>
      <c r="C7" t="s">
        <v>12</v>
      </c>
      <c r="D7" t="s">
        <v>7271</v>
      </c>
      <c r="E7" t="s">
        <v>7272</v>
      </c>
    </row>
    <row r="8" spans="1:5">
      <c r="A8">
        <v>142746</v>
      </c>
      <c r="B8" t="s">
        <v>264</v>
      </c>
      <c r="C8" t="s">
        <v>12</v>
      </c>
      <c r="D8" t="s">
        <v>7273</v>
      </c>
      <c r="E8" t="s">
        <v>7274</v>
      </c>
    </row>
    <row r="9" spans="1:5">
      <c r="A9">
        <v>143336</v>
      </c>
      <c r="B9" t="s">
        <v>7216</v>
      </c>
      <c r="C9" t="s">
        <v>12</v>
      </c>
      <c r="D9" t="s">
        <v>7218</v>
      </c>
      <c r="E9" t="s">
        <v>7275</v>
      </c>
    </row>
    <row r="10" spans="1:5">
      <c r="A10">
        <v>143337</v>
      </c>
      <c r="B10" t="s">
        <v>7228</v>
      </c>
      <c r="C10" t="s">
        <v>12</v>
      </c>
      <c r="D10" t="s">
        <v>7276</v>
      </c>
      <c r="E10" t="s">
        <v>7277</v>
      </c>
    </row>
    <row r="11" spans="1:5">
      <c r="A11">
        <v>144944</v>
      </c>
      <c r="B11" t="s">
        <v>300</v>
      </c>
      <c r="C11" t="s">
        <v>12</v>
      </c>
      <c r="D11" t="s">
        <v>7278</v>
      </c>
      <c r="E11" t="s">
        <v>7279</v>
      </c>
    </row>
    <row r="12" spans="1:5">
      <c r="A12">
        <v>145411</v>
      </c>
      <c r="B12" t="s">
        <v>473</v>
      </c>
      <c r="C12" t="s">
        <v>12</v>
      </c>
      <c r="D12" t="s">
        <v>475</v>
      </c>
      <c r="E12" t="s">
        <v>7280</v>
      </c>
    </row>
    <row r="13" spans="1:5">
      <c r="A13">
        <v>145905</v>
      </c>
      <c r="B13" t="s">
        <v>367</v>
      </c>
      <c r="C13" t="s">
        <v>12</v>
      </c>
      <c r="D13" t="s">
        <v>7281</v>
      </c>
      <c r="E13" t="s">
        <v>7282</v>
      </c>
    </row>
    <row r="14" spans="1:5">
      <c r="A14">
        <v>147416</v>
      </c>
      <c r="B14" t="s">
        <v>477</v>
      </c>
      <c r="C14" t="s">
        <v>12</v>
      </c>
      <c r="D14" t="s">
        <v>7283</v>
      </c>
      <c r="E14" t="s">
        <v>7284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tabSelected="1" zoomScale="120" zoomScaleNormal="120" workbookViewId="0">
      <selection activeCell="A20" sqref="A20"/>
    </sheetView>
  </sheetViews>
  <sheetFormatPr defaultRowHeight="15"/>
  <cols>
    <col min="1" max="1" width="42.85546875" bestFit="1" customWidth="1"/>
    <col min="2" max="2" width="13.85546875" bestFit="1" customWidth="1"/>
    <col min="3" max="3" width="10.42578125" bestFit="1" customWidth="1"/>
    <col min="4" max="4" width="14.7109375" bestFit="1" customWidth="1"/>
    <col min="5" max="5" width="21.7109375" bestFit="1" customWidth="1"/>
    <col min="6" max="6" width="19.7109375" bestFit="1" customWidth="1"/>
    <col min="7" max="7" width="26.7109375" bestFit="1" customWidth="1"/>
  </cols>
  <sheetData>
    <row r="1" spans="1:3">
      <c r="A1" s="4" t="s">
        <v>1</v>
      </c>
      <c r="B1" t="s">
        <v>10</v>
      </c>
    </row>
    <row r="3" spans="1:3">
      <c r="A3" s="15" t="s">
        <v>7285</v>
      </c>
      <c r="B3" s="16" t="s">
        <v>7286</v>
      </c>
      <c r="C3" s="16" t="s">
        <v>7287</v>
      </c>
    </row>
    <row r="4" spans="1:3">
      <c r="A4" s="5" t="s">
        <v>126</v>
      </c>
      <c r="B4">
        <v>47</v>
      </c>
      <c r="C4" s="17">
        <v>86679822.349999964</v>
      </c>
    </row>
    <row r="5" spans="1:3">
      <c r="A5" s="5" t="s">
        <v>27</v>
      </c>
      <c r="B5">
        <v>21</v>
      </c>
      <c r="C5" s="17">
        <v>116574947.35000002</v>
      </c>
    </row>
    <row r="6" spans="1:3">
      <c r="A6" s="5" t="s">
        <v>36</v>
      </c>
      <c r="B6">
        <v>16</v>
      </c>
      <c r="C6" s="17">
        <v>133151247.84999999</v>
      </c>
    </row>
    <row r="7" spans="1:3">
      <c r="A7" s="5" t="s">
        <v>95</v>
      </c>
      <c r="B7">
        <v>8</v>
      </c>
      <c r="C7" s="17">
        <v>20184120.539999999</v>
      </c>
    </row>
    <row r="8" spans="1:3">
      <c r="A8" s="5" t="s">
        <v>72</v>
      </c>
      <c r="B8">
        <v>7</v>
      </c>
      <c r="C8" s="17">
        <v>36325446.020000003</v>
      </c>
    </row>
    <row r="9" spans="1:3">
      <c r="A9" s="18" t="s">
        <v>145</v>
      </c>
      <c r="B9">
        <v>1</v>
      </c>
      <c r="C9" s="17">
        <v>3865366.49</v>
      </c>
    </row>
    <row r="10" spans="1:3">
      <c r="A10" s="19" t="s">
        <v>143</v>
      </c>
      <c r="B10">
        <v>1</v>
      </c>
      <c r="C10" s="17">
        <v>3865366.49</v>
      </c>
    </row>
    <row r="11" spans="1:3">
      <c r="A11" s="18" t="s">
        <v>348</v>
      </c>
      <c r="B11">
        <v>1</v>
      </c>
      <c r="C11" s="17">
        <v>1286415.6599999999</v>
      </c>
    </row>
    <row r="12" spans="1:3">
      <c r="A12" s="19" t="s">
        <v>346</v>
      </c>
      <c r="B12">
        <v>1</v>
      </c>
      <c r="C12" s="17">
        <v>1286415.6599999999</v>
      </c>
    </row>
    <row r="13" spans="1:3">
      <c r="A13" s="18" t="s">
        <v>359</v>
      </c>
      <c r="B13">
        <v>1</v>
      </c>
      <c r="C13" s="17">
        <v>1255419.22</v>
      </c>
    </row>
    <row r="14" spans="1:3">
      <c r="A14" s="19" t="s">
        <v>357</v>
      </c>
      <c r="B14">
        <v>1</v>
      </c>
      <c r="C14" s="17">
        <v>1255419.22</v>
      </c>
    </row>
    <row r="15" spans="1:3">
      <c r="A15" s="18" t="s">
        <v>73</v>
      </c>
      <c r="B15">
        <v>1</v>
      </c>
      <c r="C15" s="17">
        <v>9986344.5500000007</v>
      </c>
    </row>
    <row r="16" spans="1:3">
      <c r="A16" s="19" t="s">
        <v>70</v>
      </c>
      <c r="B16">
        <v>1</v>
      </c>
      <c r="C16" s="17">
        <v>9986344.5500000007</v>
      </c>
    </row>
    <row r="17" spans="1:3">
      <c r="A17" s="18" t="s">
        <v>220</v>
      </c>
      <c r="B17">
        <v>1</v>
      </c>
      <c r="C17" s="17">
        <v>2497615.0099999998</v>
      </c>
    </row>
    <row r="18" spans="1:3">
      <c r="A18" s="19" t="s">
        <v>218</v>
      </c>
      <c r="B18">
        <v>1</v>
      </c>
      <c r="C18" s="17">
        <v>2497615.0099999998</v>
      </c>
    </row>
    <row r="19" spans="1:3">
      <c r="A19" s="18" t="s">
        <v>91</v>
      </c>
      <c r="B19">
        <v>1</v>
      </c>
      <c r="C19" s="17">
        <v>8008657.2800000003</v>
      </c>
    </row>
    <row r="20" spans="1:3">
      <c r="A20" s="19" t="s">
        <v>88</v>
      </c>
      <c r="B20">
        <v>1</v>
      </c>
      <c r="C20" s="17">
        <v>8008657.2800000003</v>
      </c>
    </row>
    <row r="21" spans="1:3">
      <c r="A21" s="18" t="s">
        <v>81</v>
      </c>
      <c r="B21">
        <v>1</v>
      </c>
      <c r="C21" s="17">
        <v>9425627.8100000005</v>
      </c>
    </row>
    <row r="22" spans="1:3">
      <c r="A22" s="19" t="s">
        <v>79</v>
      </c>
      <c r="B22">
        <v>1</v>
      </c>
      <c r="C22" s="17">
        <v>9425627.8100000005</v>
      </c>
    </row>
    <row r="23" spans="1:3">
      <c r="A23" s="5" t="s">
        <v>85</v>
      </c>
      <c r="B23">
        <v>5</v>
      </c>
      <c r="C23" s="17">
        <v>20696401.650000002</v>
      </c>
    </row>
    <row r="24" spans="1:3">
      <c r="A24" s="5" t="s">
        <v>15</v>
      </c>
      <c r="B24">
        <v>5</v>
      </c>
      <c r="C24" s="17">
        <v>220512433.68000004</v>
      </c>
    </row>
    <row r="25" spans="1:3">
      <c r="A25" s="5" t="s">
        <v>56</v>
      </c>
      <c r="B25">
        <v>5</v>
      </c>
      <c r="C25" s="17">
        <v>35614015.549999997</v>
      </c>
    </row>
    <row r="26" spans="1:3">
      <c r="A26" s="5" t="s">
        <v>21</v>
      </c>
      <c r="B26">
        <v>2</v>
      </c>
      <c r="C26" s="17">
        <v>66439576.890000001</v>
      </c>
    </row>
    <row r="27" spans="1:3">
      <c r="A27" s="5" t="s">
        <v>140</v>
      </c>
      <c r="B27">
        <v>2</v>
      </c>
      <c r="C27" s="17">
        <v>5935026.8100000005</v>
      </c>
    </row>
    <row r="28" spans="1:3">
      <c r="A28" s="5" t="s">
        <v>131</v>
      </c>
      <c r="B28">
        <v>1</v>
      </c>
      <c r="C28" s="17">
        <v>5034297.67</v>
      </c>
    </row>
    <row r="29" spans="1:3">
      <c r="A29" s="5" t="s">
        <v>333</v>
      </c>
      <c r="B29">
        <v>1</v>
      </c>
      <c r="C29" s="17">
        <v>1371035.34</v>
      </c>
    </row>
    <row r="30" spans="1:3">
      <c r="A30" s="5" t="s">
        <v>425</v>
      </c>
      <c r="B30">
        <v>1</v>
      </c>
      <c r="C30" s="17">
        <v>1080799.0900000001</v>
      </c>
    </row>
    <row r="31" spans="1:3">
      <c r="A31" s="5" t="s">
        <v>232</v>
      </c>
      <c r="B31">
        <v>1</v>
      </c>
      <c r="C31" s="17">
        <v>2330503.54</v>
      </c>
    </row>
    <row r="32" spans="1:3">
      <c r="A32" s="5" t="s">
        <v>375</v>
      </c>
      <c r="B32">
        <v>1</v>
      </c>
      <c r="C32" s="17">
        <v>1203022.95</v>
      </c>
    </row>
    <row r="33" spans="1:3">
      <c r="A33" s="5" t="s">
        <v>437</v>
      </c>
      <c r="B33">
        <v>1</v>
      </c>
      <c r="C33" s="17">
        <v>1048761.45</v>
      </c>
    </row>
    <row r="34" spans="1:3">
      <c r="A34" s="5" t="s">
        <v>7288</v>
      </c>
      <c r="B34">
        <v>124</v>
      </c>
      <c r="C34" s="17">
        <v>754181458.72999978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CA08-88AA-4718-B579-AABD41CE461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D5CB-FD4F-4091-9106-581950DCE2C9}">
  <dimension ref="A1:I2225"/>
  <sheetViews>
    <sheetView topLeftCell="A103" workbookViewId="0">
      <selection activeCell="C2" sqref="C2:C120"/>
    </sheetView>
  </sheetViews>
  <sheetFormatPr defaultRowHeight="15"/>
  <cols>
    <col min="1" max="1" width="12.28515625" bestFit="1" customWidth="1"/>
    <col min="2" max="2" width="84.140625" bestFit="1" customWidth="1"/>
    <col min="3" max="3" width="14.85546875" bestFit="1" customWidth="1"/>
    <col min="4" max="4" width="17.42578125" bestFit="1" customWidth="1"/>
    <col min="5" max="5" width="13.28515625" bestFit="1" customWidth="1"/>
    <col min="6" max="6" width="14.85546875" bestFit="1" customWidth="1"/>
    <col min="8" max="8" width="26.5703125" bestFit="1" customWidth="1"/>
    <col min="9" max="9" width="22.140625" bestFit="1" customWidth="1"/>
  </cols>
  <sheetData>
    <row r="1" spans="1:9">
      <c r="A1" s="9" t="s">
        <v>7289</v>
      </c>
      <c r="B1" s="9" t="s">
        <v>7290</v>
      </c>
      <c r="C1" s="9" t="s">
        <v>7291</v>
      </c>
      <c r="D1" s="9" t="s">
        <v>7292</v>
      </c>
      <c r="E1" s="9" t="s">
        <v>7293</v>
      </c>
      <c r="F1" s="9" t="s">
        <v>7294</v>
      </c>
      <c r="H1" s="12" t="s">
        <v>7295</v>
      </c>
      <c r="I1" s="13"/>
    </row>
    <row r="2" spans="1:9">
      <c r="A2">
        <v>1</v>
      </c>
      <c r="B2" t="str">
        <f>'Enriched Data'!C2</f>
        <v>Morgan Stanley</v>
      </c>
      <c r="C2" s="11">
        <f>'Enriched Data'!G2</f>
        <v>172439519.21000001</v>
      </c>
      <c r="D2" s="11">
        <f>C2</f>
        <v>172439519.21000001</v>
      </c>
      <c r="E2" s="10">
        <f>D2/$F$2</f>
        <v>0.1843166807362531</v>
      </c>
      <c r="F2" s="11">
        <f>SUM('Enriched Data'!G:G)</f>
        <v>935561114.28000033</v>
      </c>
      <c r="H2" t="s">
        <v>7296</v>
      </c>
      <c r="I2" s="11">
        <f>F2</f>
        <v>935561114.28000033</v>
      </c>
    </row>
    <row r="3" spans="1:9">
      <c r="A3">
        <f>A2+1</f>
        <v>2</v>
      </c>
      <c r="B3" t="str" cm="1">
        <f t="array" ref="B3">INDEX('Enriched Data'!C:C,A3+1)</f>
        <v>Tombras</v>
      </c>
      <c r="C3" s="11" cm="1">
        <f t="array" ref="C3">INDEX('Enriched Data'!G:G,A3+1)</f>
        <v>63836894.890000001</v>
      </c>
      <c r="D3" s="11">
        <f>D2+C3</f>
        <v>236276414.10000002</v>
      </c>
      <c r="E3" s="10">
        <f>D3/$F$2</f>
        <v>0.25255048600628971</v>
      </c>
      <c r="H3" t="s">
        <v>7297</v>
      </c>
      <c r="I3" s="11">
        <f>F2*0.8</f>
        <v>748448891.42400026</v>
      </c>
    </row>
    <row r="4" spans="1:9">
      <c r="A4">
        <f t="shared" ref="A4:A67" si="0">A3+1</f>
        <v>3</v>
      </c>
      <c r="B4" t="str" cm="1">
        <f t="array" ref="B4">INDEX('Enriched Data'!C:C,A4+1)</f>
        <v>Blackhawk Transport Inc</v>
      </c>
      <c r="C4" s="11" cm="1">
        <f t="array" ref="C4">INDEX('Enriched Data'!G:G,A4+1)</f>
        <v>30035305.920000002</v>
      </c>
      <c r="D4" s="11">
        <f t="shared" ref="D4:D67" si="1">D3+C4</f>
        <v>266311720.02000004</v>
      </c>
      <c r="E4" s="10">
        <f t="shared" ref="E4:E67" si="2">D4/$F$2</f>
        <v>0.28465454148866715</v>
      </c>
      <c r="H4" t="s">
        <v>7298</v>
      </c>
      <c r="I4">
        <f>COUNTIF(E2:E2225,"&lt;=80%")</f>
        <v>118</v>
      </c>
    </row>
    <row r="5" spans="1:9">
      <c r="A5">
        <f t="shared" si="0"/>
        <v>4</v>
      </c>
      <c r="B5" t="str" cm="1">
        <f t="array" ref="B5">INDEX('Enriched Data'!C:C,A5+1)</f>
        <v>Xn Financial -us</v>
      </c>
      <c r="C5" s="11" cm="1">
        <f t="array" ref="C5">INDEX('Enriched Data'!G:G,A5+1)</f>
        <v>27778217.27</v>
      </c>
      <c r="D5" s="11">
        <f t="shared" si="1"/>
        <v>294089937.29000002</v>
      </c>
      <c r="E5" s="10">
        <f t="shared" si="2"/>
        <v>0.3143460462402064</v>
      </c>
      <c r="H5" t="s">
        <v>7299</v>
      </c>
      <c r="I5">
        <v>2224</v>
      </c>
    </row>
    <row r="6" spans="1:9">
      <c r="A6">
        <f t="shared" si="0"/>
        <v>5</v>
      </c>
      <c r="B6" t="str" cm="1">
        <f t="array" ref="B6">INDEX('Enriched Data'!C:C,A6+1)</f>
        <v>Ryder Transportation Services-CHIC</v>
      </c>
      <c r="C6" s="11" cm="1">
        <f t="array" ref="C6">INDEX('Enriched Data'!G:G,A6+1)</f>
        <v>23877181.120000001</v>
      </c>
      <c r="D6" s="11">
        <f t="shared" si="1"/>
        <v>317967118.41000003</v>
      </c>
      <c r="E6" s="10">
        <f t="shared" si="2"/>
        <v>0.33986782216221623</v>
      </c>
      <c r="H6" t="s">
        <v>7300</v>
      </c>
      <c r="I6" s="10">
        <f>I4/I5</f>
        <v>5.3057553956834536E-2</v>
      </c>
    </row>
    <row r="7" spans="1:9">
      <c r="A7">
        <f t="shared" si="0"/>
        <v>6</v>
      </c>
      <c r="B7" t="str" cm="1">
        <f t="array" ref="B7">INDEX('Enriched Data'!C:C,A7+1)</f>
        <v>C R England Inc</v>
      </c>
      <c r="C7" s="11" cm="1">
        <f t="array" ref="C7">INDEX('Enriched Data'!G:G,A7+1)</f>
        <v>22269849.039999999</v>
      </c>
      <c r="D7" s="11">
        <f t="shared" si="1"/>
        <v>340236967.45000005</v>
      </c>
      <c r="E7" s="10">
        <f t="shared" si="2"/>
        <v>0.36367155737532275</v>
      </c>
    </row>
    <row r="8" spans="1:9">
      <c r="A8">
        <f t="shared" si="0"/>
        <v>7</v>
      </c>
      <c r="B8" t="str" cm="1">
        <f t="array" ref="B8">INDEX('Enriched Data'!C:C,A8+1)</f>
        <v>Schneider National Carriers, Inc.</v>
      </c>
      <c r="C8" s="11" cm="1">
        <f t="array" ref="C8">INDEX('Enriched Data'!G:G,A8+1)</f>
        <v>20887754.390000001</v>
      </c>
      <c r="D8" s="11">
        <f t="shared" si="1"/>
        <v>361124721.84000003</v>
      </c>
      <c r="E8" s="10">
        <f t="shared" si="2"/>
        <v>0.38599800304645887</v>
      </c>
      <c r="H8" t="s">
        <v>7301</v>
      </c>
      <c r="I8" cm="1">
        <f t="array" ref="I8">MATCH(TRUE,E2:E2225&gt;0.8,0)</f>
        <v>119</v>
      </c>
    </row>
    <row r="9" spans="1:9">
      <c r="A9">
        <f t="shared" si="0"/>
        <v>8</v>
      </c>
      <c r="B9" t="str" cm="1">
        <f t="array" ref="B9">INDEX('Enriched Data'!C:C,A9+1)</f>
        <v>Averitt Express</v>
      </c>
      <c r="C9" s="11" cm="1">
        <f t="array" ref="C9">INDEX('Enriched Data'!G:G,A9+1)</f>
        <v>19620029.879999999</v>
      </c>
      <c r="D9" s="11">
        <f t="shared" si="1"/>
        <v>380744751.72000003</v>
      </c>
      <c r="E9" s="10">
        <f t="shared" si="2"/>
        <v>0.40696940681744548</v>
      </c>
      <c r="H9" t="s">
        <v>7302</v>
      </c>
      <c r="I9" t="str" cm="1">
        <f t="array" ref="I9">INDEX(B:B,I8+1)</f>
        <v>Almar Management LLC</v>
      </c>
    </row>
    <row r="10" spans="1:9">
      <c r="A10">
        <f t="shared" si="0"/>
        <v>9</v>
      </c>
      <c r="B10" t="str" cm="1">
        <f t="array" ref="B10">INDEX('Enriched Data'!C:C,A10+1)</f>
        <v>USA Truck LLC</v>
      </c>
      <c r="C10" s="11" cm="1">
        <f t="array" ref="C10">INDEX('Enriched Data'!G:G,A10+1)</f>
        <v>19166697.260000002</v>
      </c>
      <c r="D10" s="11">
        <f t="shared" si="1"/>
        <v>399911448.98000002</v>
      </c>
      <c r="E10" s="10">
        <f t="shared" si="2"/>
        <v>0.42745625365988876</v>
      </c>
      <c r="H10" t="s">
        <v>7303</v>
      </c>
      <c r="I10" s="10">
        <f>E119</f>
        <v>0.79943967111715231</v>
      </c>
    </row>
    <row r="11" spans="1:9">
      <c r="A11">
        <f t="shared" si="0"/>
        <v>10</v>
      </c>
      <c r="B11" t="str" cm="1">
        <f t="array" ref="B11">INDEX('Enriched Data'!C:C,A11+1)</f>
        <v>Concentrix Solutions Corporation</v>
      </c>
      <c r="C11" s="11" cm="1">
        <f t="array" ref="C11">INDEX('Enriched Data'!G:G,A11+1)</f>
        <v>15925507.84</v>
      </c>
      <c r="D11" s="11">
        <f t="shared" si="1"/>
        <v>415836956.81999999</v>
      </c>
      <c r="E11" s="10">
        <f t="shared" si="2"/>
        <v>0.44447866683730702</v>
      </c>
      <c r="H11" t="s">
        <v>7304</v>
      </c>
      <c r="I11" s="10">
        <f>E120</f>
        <v>0.80057073128398526</v>
      </c>
    </row>
    <row r="12" spans="1:9">
      <c r="A12">
        <f t="shared" si="0"/>
        <v>11</v>
      </c>
      <c r="B12" t="str" cm="1">
        <f t="array" ref="B12">INDEX('Enriched Data'!C:C,A12+1)</f>
        <v>NFI</v>
      </c>
      <c r="C12" s="11" cm="1">
        <f t="array" ref="C12">INDEX('Enriched Data'!G:G,A12+1)</f>
        <v>15576392.15</v>
      </c>
      <c r="D12" s="11">
        <f t="shared" si="1"/>
        <v>431413348.96999997</v>
      </c>
      <c r="E12" s="10">
        <f t="shared" si="2"/>
        <v>0.46112791819272214</v>
      </c>
    </row>
    <row r="13" spans="1:9">
      <c r="A13">
        <f t="shared" si="0"/>
        <v>12</v>
      </c>
      <c r="B13" t="str" cm="1">
        <f t="array" ref="B13">INDEX('Enriched Data'!C:C,A13+1)</f>
        <v>WEX Bank</v>
      </c>
      <c r="C13" s="11" cm="1">
        <f t="array" ref="C13">INDEX('Enriched Data'!G:G,A13+1)</f>
        <v>15479314.689999999</v>
      </c>
      <c r="D13" s="11">
        <f t="shared" si="1"/>
        <v>446892663.65999997</v>
      </c>
      <c r="E13" s="10">
        <f t="shared" si="2"/>
        <v>0.47767340565872562</v>
      </c>
    </row>
    <row r="14" spans="1:9">
      <c r="A14">
        <f t="shared" si="0"/>
        <v>13</v>
      </c>
      <c r="B14" t="str" cm="1">
        <f t="array" ref="B14">INDEX('Enriched Data'!C:C,A14+1)</f>
        <v>Fidelity 401K</v>
      </c>
      <c r="C14" s="11" cm="1">
        <f t="array" ref="C14">INDEX('Enriched Data'!G:G,A14+1)</f>
        <v>14258254.119999999</v>
      </c>
      <c r="D14" s="11">
        <f t="shared" si="1"/>
        <v>461150917.77999997</v>
      </c>
      <c r="E14" s="10">
        <f t="shared" si="2"/>
        <v>0.49291372924888793</v>
      </c>
    </row>
    <row r="15" spans="1:9">
      <c r="A15">
        <f t="shared" si="0"/>
        <v>14</v>
      </c>
      <c r="B15" t="str" cm="1">
        <f t="array" ref="B15">INDEX('Enriched Data'!C:C,A15+1)</f>
        <v>Marsh Usa Inc</v>
      </c>
      <c r="C15" s="11" cm="1">
        <f t="array" ref="C15">INDEX('Enriched Data'!G:G,A15+1)</f>
        <v>9986344.5500000007</v>
      </c>
      <c r="D15" s="11">
        <f t="shared" si="1"/>
        <v>471137262.32999998</v>
      </c>
      <c r="E15" s="10">
        <f t="shared" si="2"/>
        <v>0.50358790584470059</v>
      </c>
    </row>
    <row r="16" spans="1:9">
      <c r="A16">
        <f t="shared" si="0"/>
        <v>15</v>
      </c>
      <c r="B16" t="str" cm="1">
        <f t="array" ref="B16">INDEX('Enriched Data'!C:C,A16+1)</f>
        <v>Cass Information Systems, Inc</v>
      </c>
      <c r="C16" s="11" cm="1">
        <f t="array" ref="C16">INDEX('Enriched Data'!G:G,A16+1)</f>
        <v>9468800.4299999997</v>
      </c>
      <c r="D16" s="11">
        <f t="shared" si="1"/>
        <v>480606062.75999999</v>
      </c>
      <c r="E16" s="10">
        <f t="shared" si="2"/>
        <v>0.51370889129981656</v>
      </c>
    </row>
    <row r="17" spans="1:5">
      <c r="A17">
        <f t="shared" si="0"/>
        <v>16</v>
      </c>
      <c r="B17" t="str" cm="1">
        <f t="array" ref="B17">INDEX('Enriched Data'!C:C,A17+1)</f>
        <v>Liberty Mutual Insurance</v>
      </c>
      <c r="C17" s="11" cm="1">
        <f t="array" ref="C17">INDEX('Enriched Data'!G:G,A17+1)</f>
        <v>9425627.8100000005</v>
      </c>
      <c r="D17" s="11">
        <f t="shared" si="1"/>
        <v>490031690.56999999</v>
      </c>
      <c r="E17" s="10">
        <f t="shared" si="2"/>
        <v>0.52378373052317817</v>
      </c>
    </row>
    <row r="18" spans="1:5">
      <c r="A18">
        <f t="shared" si="0"/>
        <v>17</v>
      </c>
      <c r="B18" t="str" cm="1">
        <f t="array" ref="B18">INDEX('Enriched Data'!C:C,A18+1)</f>
        <v>Salesforce.com</v>
      </c>
      <c r="C18" s="11" cm="1">
        <f t="array" ref="C18">INDEX('Enriched Data'!G:G,A18+1)</f>
        <v>9291128.1500000004</v>
      </c>
      <c r="D18" s="11">
        <f t="shared" si="1"/>
        <v>499322818.71999997</v>
      </c>
      <c r="E18" s="10">
        <f t="shared" si="2"/>
        <v>0.5337148061185446</v>
      </c>
    </row>
    <row r="19" spans="1:5">
      <c r="A19">
        <f t="shared" si="0"/>
        <v>18</v>
      </c>
      <c r="B19" t="str" cm="1">
        <f t="array" ref="B19">INDEX('Enriched Data'!C:C,A19+1)</f>
        <v>Express Scripts, Inc</v>
      </c>
      <c r="C19" s="11" cm="1">
        <f t="array" ref="C19">INDEX('Enriched Data'!G:G,A19+1)</f>
        <v>8008657.2800000003</v>
      </c>
      <c r="D19" s="11">
        <f t="shared" si="1"/>
        <v>507331475.99999994</v>
      </c>
      <c r="E19" s="10">
        <f t="shared" si="2"/>
        <v>0.54227507776489603</v>
      </c>
    </row>
    <row r="20" spans="1:5">
      <c r="A20">
        <f t="shared" si="0"/>
        <v>19</v>
      </c>
      <c r="B20" t="str" cm="1">
        <f t="array" ref="B20">INDEX('Enriched Data'!C:C,A20+1)</f>
        <v>Ernst &amp; Young LLP</v>
      </c>
      <c r="C20" s="11" cm="1">
        <f t="array" ref="C20">INDEX('Enriched Data'!G:G,A20+1)</f>
        <v>7740476.9400000004</v>
      </c>
      <c r="D20" s="11">
        <f t="shared" si="1"/>
        <v>515071952.93999994</v>
      </c>
      <c r="E20" s="10">
        <f t="shared" si="2"/>
        <v>0.55054869754435531</v>
      </c>
    </row>
    <row r="21" spans="1:5">
      <c r="A21">
        <f t="shared" si="0"/>
        <v>20</v>
      </c>
      <c r="B21" t="str" cm="1">
        <f t="array" ref="B21">INDEX('Enriched Data'!C:C,A21+1)</f>
        <v>J Hawk Inc</v>
      </c>
      <c r="C21" s="11" cm="1">
        <f t="array" ref="C21">INDEX('Enriched Data'!G:G,A21+1)</f>
        <v>7065487.8700000001</v>
      </c>
      <c r="D21" s="11">
        <f t="shared" si="1"/>
        <v>522137440.80999994</v>
      </c>
      <c r="E21" s="10">
        <f t="shared" si="2"/>
        <v>0.55810083685642742</v>
      </c>
    </row>
    <row r="22" spans="1:5">
      <c r="A22">
        <f t="shared" si="0"/>
        <v>21</v>
      </c>
      <c r="B22" t="str" cm="1">
        <f t="array" ref="B22">INDEX('Enriched Data'!C:C,A22+1)</f>
        <v>Microsoft Licensing Gp</v>
      </c>
      <c r="C22" s="11" cm="1">
        <f t="array" ref="C22">INDEX('Enriched Data'!G:G,A22+1)</f>
        <v>7030985.7199999997</v>
      </c>
      <c r="D22" s="11">
        <f t="shared" si="1"/>
        <v>529168426.52999997</v>
      </c>
      <c r="E22" s="10">
        <f t="shared" si="2"/>
        <v>0.56561609760495801</v>
      </c>
    </row>
    <row r="23" spans="1:5">
      <c r="A23">
        <f t="shared" si="0"/>
        <v>22</v>
      </c>
      <c r="B23" t="str" cm="1">
        <f t="array" ref="B23">INDEX('Enriched Data'!C:C,A23+1)</f>
        <v>Armstrong Transport Group Inc</v>
      </c>
      <c r="C23" s="11" cm="1">
        <f t="array" ref="C23">INDEX('Enriched Data'!G:G,A23+1)</f>
        <v>6489064</v>
      </c>
      <c r="D23" s="11">
        <f t="shared" si="1"/>
        <v>535657490.52999997</v>
      </c>
      <c r="E23" s="10">
        <f t="shared" si="2"/>
        <v>0.57255211055050881</v>
      </c>
    </row>
    <row r="24" spans="1:5">
      <c r="A24">
        <f t="shared" si="0"/>
        <v>23</v>
      </c>
      <c r="B24" t="str" cm="1">
        <f t="array" ref="B24">INDEX('Enriched Data'!C:C,A24+1)</f>
        <v>Hogan Dedicated Services, Inc.</v>
      </c>
      <c r="C24" s="11" cm="1">
        <f t="array" ref="C24">INDEX('Enriched Data'!G:G,A24+1)</f>
        <v>6456600.3399999999</v>
      </c>
      <c r="D24" s="11">
        <f t="shared" si="1"/>
        <v>542114090.87</v>
      </c>
      <c r="E24" s="10">
        <f t="shared" si="2"/>
        <v>0.57945342382812293</v>
      </c>
    </row>
    <row r="25" spans="1:5">
      <c r="A25">
        <f t="shared" si="0"/>
        <v>24</v>
      </c>
      <c r="B25" t="str" cm="1">
        <f t="array" ref="B25">INDEX('Enriched Data'!C:C,A25+1)</f>
        <v>Total Transportation of MS, LLC</v>
      </c>
      <c r="C25" s="11" cm="1">
        <f t="array" ref="C25">INDEX('Enriched Data'!G:G,A25+1)</f>
        <v>5888808.8300000001</v>
      </c>
      <c r="D25" s="11">
        <f t="shared" si="1"/>
        <v>548002899.70000005</v>
      </c>
      <c r="E25" s="10">
        <f t="shared" si="2"/>
        <v>0.58574783767251626</v>
      </c>
    </row>
    <row r="26" spans="1:5">
      <c r="A26">
        <f t="shared" si="0"/>
        <v>25</v>
      </c>
      <c r="B26" t="str" cm="1">
        <f t="array" ref="B26">INDEX('Enriched Data'!C:C,A26+1)</f>
        <v>Maverick Transporation LLC</v>
      </c>
      <c r="C26" s="11" cm="1">
        <f t="array" ref="C26">INDEX('Enriched Data'!G:G,A26+1)</f>
        <v>5587356.9400000004</v>
      </c>
      <c r="D26" s="11">
        <f t="shared" si="1"/>
        <v>553590256.6400001</v>
      </c>
      <c r="E26" s="10">
        <f t="shared" si="2"/>
        <v>0.59172003644683158</v>
      </c>
    </row>
    <row r="27" spans="1:5">
      <c r="A27">
        <f t="shared" si="0"/>
        <v>26</v>
      </c>
      <c r="B27" t="str" cm="1">
        <f t="array" ref="B27">INDEX('Enriched Data'!C:C,A27+1)</f>
        <v>Pasha Group</v>
      </c>
      <c r="C27" s="11" cm="1">
        <f t="array" ref="C27">INDEX('Enriched Data'!G:G,A27+1)</f>
        <v>5484525.2999999998</v>
      </c>
      <c r="D27" s="11">
        <f t="shared" si="1"/>
        <v>559074781.94000006</v>
      </c>
      <c r="E27" s="10">
        <f t="shared" si="2"/>
        <v>0.59758232081958551</v>
      </c>
    </row>
    <row r="28" spans="1:5">
      <c r="A28">
        <f t="shared" si="0"/>
        <v>27</v>
      </c>
      <c r="B28" t="str" cm="1">
        <f t="array" ref="B28">INDEX('Enriched Data'!C:C,A28+1)</f>
        <v>Prologis, L.P</v>
      </c>
      <c r="C28" s="11" cm="1">
        <f t="array" ref="C28">INDEX('Enriched Data'!G:G,A28+1)</f>
        <v>5292946.41</v>
      </c>
      <c r="D28" s="11">
        <f t="shared" si="1"/>
        <v>564367728.35000002</v>
      </c>
      <c r="E28" s="10">
        <f t="shared" si="2"/>
        <v>0.60323983087340316</v>
      </c>
    </row>
    <row r="29" spans="1:5">
      <c r="A29">
        <f t="shared" si="0"/>
        <v>28</v>
      </c>
      <c r="B29" t="str" cm="1">
        <f t="array" ref="B29">INDEX('Enriched Data'!C:C,A29+1)</f>
        <v>Sea Box Inc.</v>
      </c>
      <c r="C29" s="11" cm="1">
        <f t="array" ref="C29">INDEX('Enriched Data'!G:G,A29+1)</f>
        <v>5034297.67</v>
      </c>
      <c r="D29" s="11">
        <f t="shared" si="1"/>
        <v>569402026.01999998</v>
      </c>
      <c r="E29" s="10">
        <f t="shared" si="2"/>
        <v>0.60862087717081614</v>
      </c>
    </row>
    <row r="30" spans="1:5">
      <c r="A30">
        <f t="shared" si="0"/>
        <v>29</v>
      </c>
      <c r="B30" t="str" cm="1">
        <f t="array" ref="B30">INDEX('Enriched Data'!C:C,A30+1)</f>
        <v>Global Logistics Group, LLC</v>
      </c>
      <c r="C30" s="11" cm="1">
        <f t="array" ref="C30">INDEX('Enriched Data'!G:G,A30+1)</f>
        <v>4332434.01</v>
      </c>
      <c r="D30" s="11">
        <f t="shared" si="1"/>
        <v>573734460.02999997</v>
      </c>
      <c r="E30" s="10">
        <f t="shared" si="2"/>
        <v>0.61325171736273054</v>
      </c>
    </row>
    <row r="31" spans="1:5">
      <c r="A31">
        <f t="shared" si="0"/>
        <v>30</v>
      </c>
      <c r="B31" t="str" cm="1">
        <f t="array" ref="B31">INDEX('Enriched Data'!C:C,A31+1)</f>
        <v>Frank Consolidated Enterprises LLC</v>
      </c>
      <c r="C31" s="11" cm="1">
        <f t="array" ref="C31">INDEX('Enriched Data'!G:G,A31+1)</f>
        <v>4164045.68</v>
      </c>
      <c r="D31" s="11">
        <f t="shared" si="1"/>
        <v>577898505.70999992</v>
      </c>
      <c r="E31" s="10">
        <f t="shared" si="2"/>
        <v>0.61770257109792936</v>
      </c>
    </row>
    <row r="32" spans="1:5">
      <c r="A32">
        <f t="shared" si="0"/>
        <v>31</v>
      </c>
      <c r="B32" t="str" cm="1">
        <f t="array" ref="B32">INDEX('Enriched Data'!C:C,A32+1)</f>
        <v>Gallagher Bassett Services, Inc.</v>
      </c>
      <c r="C32" s="11" cm="1">
        <f t="array" ref="C32">INDEX('Enriched Data'!G:G,A32+1)</f>
        <v>3865366.49</v>
      </c>
      <c r="D32" s="11">
        <f t="shared" si="1"/>
        <v>581763872.19999993</v>
      </c>
      <c r="E32" s="10">
        <f t="shared" si="2"/>
        <v>0.62183417343902792</v>
      </c>
    </row>
    <row r="33" spans="1:5">
      <c r="A33">
        <f t="shared" si="0"/>
        <v>32</v>
      </c>
      <c r="B33" t="str" cm="1">
        <f t="array" ref="B33">INDEX('Enriched Data'!C:C,A33+1)</f>
        <v>Dynamic Wave, LLC</v>
      </c>
      <c r="C33" s="11" cm="1">
        <f t="array" ref="C33">INDEX('Enriched Data'!G:G,A33+1)</f>
        <v>3684855.03</v>
      </c>
      <c r="D33" s="11">
        <f t="shared" si="1"/>
        <v>585448727.2299999</v>
      </c>
      <c r="E33" s="10">
        <f t="shared" si="2"/>
        <v>0.62577283118543903</v>
      </c>
    </row>
    <row r="34" spans="1:5">
      <c r="A34">
        <f t="shared" si="0"/>
        <v>33</v>
      </c>
      <c r="B34" t="str" cm="1">
        <f t="array" ref="B34">INDEX('Enriched Data'!C:C,A34+1)</f>
        <v>AFCO Credit-Direct</v>
      </c>
      <c r="C34" s="11" cm="1">
        <f t="array" ref="C34">INDEX('Enriched Data'!G:G,A34+1)</f>
        <v>3678784.08</v>
      </c>
      <c r="D34" s="11">
        <f t="shared" si="1"/>
        <v>589127511.30999994</v>
      </c>
      <c r="E34" s="10">
        <f t="shared" si="2"/>
        <v>0.62970499983145123</v>
      </c>
    </row>
    <row r="35" spans="1:5">
      <c r="A35">
        <f t="shared" si="0"/>
        <v>34</v>
      </c>
      <c r="B35" t="str" cm="1">
        <f t="array" ref="B35">INDEX('Enriched Data'!C:C,A35+1)</f>
        <v>Lion Industrial Properties LP</v>
      </c>
      <c r="C35" s="11" cm="1">
        <f t="array" ref="C35">INDEX('Enriched Data'!G:G,A35+1)</f>
        <v>3669054</v>
      </c>
      <c r="D35" s="11">
        <f t="shared" si="1"/>
        <v>592796565.30999994</v>
      </c>
      <c r="E35" s="10">
        <f t="shared" si="2"/>
        <v>0.63362676821621755</v>
      </c>
    </row>
    <row r="36" spans="1:5">
      <c r="A36">
        <f t="shared" si="0"/>
        <v>35</v>
      </c>
      <c r="B36" t="str" cm="1">
        <f t="array" ref="B36">INDEX('Enriched Data'!C:C,A36+1)</f>
        <v>Penske</v>
      </c>
      <c r="C36" s="11" cm="1">
        <f t="array" ref="C36">INDEX('Enriched Data'!G:G,A36+1)</f>
        <v>3560124.49</v>
      </c>
      <c r="D36" s="11">
        <f t="shared" si="1"/>
        <v>596356689.79999995</v>
      </c>
      <c r="E36" s="10">
        <f t="shared" si="2"/>
        <v>0.63743210432484776</v>
      </c>
    </row>
    <row r="37" spans="1:5">
      <c r="A37">
        <f t="shared" si="0"/>
        <v>36</v>
      </c>
      <c r="B37" t="str" cm="1">
        <f t="array" ref="B37">INDEX('Enriched Data'!C:C,A37+1)</f>
        <v>Legacy Support Services</v>
      </c>
      <c r="C37" s="11" cm="1">
        <f t="array" ref="C37">INDEX('Enriched Data'!G:G,A37+1)</f>
        <v>3530311.6</v>
      </c>
      <c r="D37" s="11">
        <f t="shared" si="1"/>
        <v>599887001.39999998</v>
      </c>
      <c r="E37" s="10">
        <f t="shared" si="2"/>
        <v>0.64120557411331469</v>
      </c>
    </row>
    <row r="38" spans="1:5">
      <c r="A38">
        <f t="shared" si="0"/>
        <v>37</v>
      </c>
      <c r="B38" t="str" cm="1">
        <f t="array" ref="B38">INDEX('Enriched Data'!C:C,A38+1)</f>
        <v>Ryder Truck Rental Canada</v>
      </c>
      <c r="C38" s="11" cm="1">
        <f t="array" ref="C38">INDEX('Enriched Data'!G:G,A38+1)</f>
        <v>3293556.4</v>
      </c>
      <c r="D38" s="11">
        <f t="shared" si="1"/>
        <v>603180557.79999995</v>
      </c>
      <c r="E38" s="10">
        <f t="shared" si="2"/>
        <v>0.64472598165241446</v>
      </c>
    </row>
    <row r="39" spans="1:5">
      <c r="A39">
        <f t="shared" si="0"/>
        <v>38</v>
      </c>
      <c r="B39" t="str" cm="1">
        <f t="array" ref="B39">INDEX('Enriched Data'!C:C,A39+1)</f>
        <v>Concept Logistics</v>
      </c>
      <c r="C39" s="11" cm="1">
        <f t="array" ref="C39">INDEX('Enriched Data'!G:G,A39+1)</f>
        <v>3261841</v>
      </c>
      <c r="D39" s="11">
        <f t="shared" si="1"/>
        <v>606442398.79999995</v>
      </c>
      <c r="E39" s="10">
        <f t="shared" si="2"/>
        <v>0.64821248932167597</v>
      </c>
    </row>
    <row r="40" spans="1:5">
      <c r="A40">
        <f t="shared" si="0"/>
        <v>39</v>
      </c>
      <c r="B40" t="str" cm="1">
        <f t="array" ref="B40">INDEX('Enriched Data'!C:C,A40+1)</f>
        <v>Los Angeles County Employees Retirement</v>
      </c>
      <c r="C40" s="11" cm="1">
        <f t="array" ref="C40">INDEX('Enriched Data'!G:G,A40+1)</f>
        <v>3020989.97</v>
      </c>
      <c r="D40" s="11">
        <f t="shared" si="1"/>
        <v>609463388.76999998</v>
      </c>
      <c r="E40" s="10">
        <f t="shared" si="2"/>
        <v>0.65144155680202431</v>
      </c>
    </row>
    <row r="41" spans="1:5">
      <c r="A41">
        <f t="shared" si="0"/>
        <v>40</v>
      </c>
      <c r="B41" t="str" cm="1">
        <f t="array" ref="B41">INDEX('Enriched Data'!C:C,A41+1)</f>
        <v>Pacab LLC</v>
      </c>
      <c r="C41" s="11" cm="1">
        <f t="array" ref="C41">INDEX('Enriched Data'!G:G,A41+1)</f>
        <v>2943600.49</v>
      </c>
      <c r="D41" s="11">
        <f t="shared" si="1"/>
        <v>612406989.25999999</v>
      </c>
      <c r="E41" s="10">
        <f t="shared" si="2"/>
        <v>0.65458790442707004</v>
      </c>
    </row>
    <row r="42" spans="1:5">
      <c r="A42">
        <f t="shared" si="0"/>
        <v>41</v>
      </c>
      <c r="B42" t="str" cm="1">
        <f t="array" ref="B42">INDEX('Enriched Data'!C:C,A42+1)</f>
        <v>HYG Financial Services, Inc.</v>
      </c>
      <c r="C42" s="11" cm="1">
        <f t="array" ref="C42">INDEX('Enriched Data'!G:G,A42+1)</f>
        <v>2915710.57</v>
      </c>
      <c r="D42" s="11">
        <f t="shared" si="1"/>
        <v>615322699.83000004</v>
      </c>
      <c r="E42" s="10">
        <f t="shared" si="2"/>
        <v>0.65770444115085636</v>
      </c>
    </row>
    <row r="43" spans="1:5">
      <c r="A43">
        <f t="shared" si="0"/>
        <v>42</v>
      </c>
      <c r="B43" t="str" cm="1">
        <f t="array" ref="B43">INDEX('Enriched Data'!C:C,A43+1)</f>
        <v>BTC II Holdco, LLC</v>
      </c>
      <c r="C43" s="11" cm="1">
        <f t="array" ref="C43">INDEX('Enriched Data'!G:G,A43+1)</f>
        <v>2900407.44</v>
      </c>
      <c r="D43" s="11">
        <f t="shared" si="1"/>
        <v>618223107.2700001</v>
      </c>
      <c r="E43" s="10">
        <f t="shared" si="2"/>
        <v>0.6608046207069852</v>
      </c>
    </row>
    <row r="44" spans="1:5">
      <c r="A44">
        <f t="shared" si="0"/>
        <v>43</v>
      </c>
      <c r="B44" t="str" cm="1">
        <f t="array" ref="B44">INDEX('Enriched Data'!C:C,A44+1)</f>
        <v>Boyle at 54th, LLC</v>
      </c>
      <c r="C44" s="11" cm="1">
        <f t="array" ref="C44">INDEX('Enriched Data'!G:G,A44+1)</f>
        <v>2860899.09</v>
      </c>
      <c r="D44" s="11">
        <f t="shared" si="1"/>
        <v>621084006.36000013</v>
      </c>
      <c r="E44" s="10">
        <f t="shared" si="2"/>
        <v>0.66386257068623566</v>
      </c>
    </row>
    <row r="45" spans="1:5">
      <c r="A45">
        <f t="shared" si="0"/>
        <v>44</v>
      </c>
      <c r="B45" t="str" cm="1">
        <f t="array" ref="B45">INDEX('Enriched Data'!C:C,A45+1)</f>
        <v>Gateway Logistics, Inc.</v>
      </c>
      <c r="C45" s="11" cm="1">
        <f t="array" ref="C45">INDEX('Enriched Data'!G:G,A45+1)</f>
        <v>2749533</v>
      </c>
      <c r="D45" s="11">
        <f t="shared" si="1"/>
        <v>623833539.36000013</v>
      </c>
      <c r="E45" s="10">
        <f t="shared" si="2"/>
        <v>0.66680148398439687</v>
      </c>
    </row>
    <row r="46" spans="1:5">
      <c r="A46">
        <f t="shared" si="0"/>
        <v>45</v>
      </c>
      <c r="B46" t="str" cm="1">
        <f t="array" ref="B46">INDEX('Enriched Data'!C:C,A46+1)</f>
        <v>Terreno Realty Corporation</v>
      </c>
      <c r="C46" s="11" cm="1">
        <f t="array" ref="C46">INDEX('Enriched Data'!G:G,A46+1)</f>
        <v>2732693.09</v>
      </c>
      <c r="D46" s="11">
        <f t="shared" si="1"/>
        <v>626566232.45000017</v>
      </c>
      <c r="E46" s="10">
        <f t="shared" si="2"/>
        <v>0.66972239748570572</v>
      </c>
    </row>
    <row r="47" spans="1:5">
      <c r="A47">
        <f t="shared" si="0"/>
        <v>46</v>
      </c>
      <c r="B47" t="str" cm="1">
        <f t="array" ref="B47">INDEX('Enriched Data'!C:C,A47+1)</f>
        <v>Gateway Pacific Vista LLC</v>
      </c>
      <c r="C47" s="11" cm="1">
        <f t="array" ref="C47">INDEX('Enriched Data'!G:G,A47+1)</f>
        <v>2711818.23</v>
      </c>
      <c r="D47" s="11">
        <f t="shared" si="1"/>
        <v>629278050.68000019</v>
      </c>
      <c r="E47" s="10">
        <f t="shared" si="2"/>
        <v>0.67262099832386368</v>
      </c>
    </row>
    <row r="48" spans="1:5">
      <c r="A48">
        <f t="shared" si="0"/>
        <v>47</v>
      </c>
      <c r="B48" t="str" cm="1">
        <f t="array" ref="B48">INDEX('Enriched Data'!C:C,A48+1)</f>
        <v>Prologis, L.P</v>
      </c>
      <c r="C48" s="11" cm="1">
        <f t="array" ref="C48">INDEX('Enriched Data'!G:G,A48+1)</f>
        <v>2678231.5099999998</v>
      </c>
      <c r="D48" s="11">
        <f t="shared" si="1"/>
        <v>631956282.19000018</v>
      </c>
      <c r="E48" s="10">
        <f t="shared" si="2"/>
        <v>0.67548369908078987</v>
      </c>
    </row>
    <row r="49" spans="1:5">
      <c r="A49">
        <f t="shared" si="0"/>
        <v>48</v>
      </c>
      <c r="B49" t="str" cm="1">
        <f t="array" ref="B49">INDEX('Enriched Data'!C:C,A49+1)</f>
        <v>Dyer Business Park c/o Shea Ctr Cor</v>
      </c>
      <c r="C49" s="11" cm="1">
        <f t="array" ref="C49">INDEX('Enriched Data'!G:G,A49+1)</f>
        <v>2634362.5099999998</v>
      </c>
      <c r="D49" s="11">
        <f t="shared" si="1"/>
        <v>634590644.70000017</v>
      </c>
      <c r="E49" s="10">
        <f t="shared" si="2"/>
        <v>0.67829950926121552</v>
      </c>
    </row>
    <row r="50" spans="1:5">
      <c r="A50">
        <f t="shared" si="0"/>
        <v>49</v>
      </c>
      <c r="B50" t="str" cm="1">
        <f t="array" ref="B50">INDEX('Enriched Data'!C:C,A50+1)</f>
        <v>FKQ Marketing</v>
      </c>
      <c r="C50" s="11" cm="1">
        <f t="array" ref="C50">INDEX('Enriched Data'!G:G,A50+1)</f>
        <v>2602682</v>
      </c>
      <c r="D50" s="11">
        <f t="shared" si="1"/>
        <v>637193326.70000017</v>
      </c>
      <c r="E50" s="10">
        <f t="shared" si="2"/>
        <v>0.68108145686493027</v>
      </c>
    </row>
    <row r="51" spans="1:5">
      <c r="A51">
        <f t="shared" si="0"/>
        <v>50</v>
      </c>
      <c r="B51" t="str" cm="1">
        <f t="array" ref="B51">INDEX('Enriched Data'!C:C,A51+1)</f>
        <v>Rexford Industrial Realty LP</v>
      </c>
      <c r="C51" s="11" cm="1">
        <f t="array" ref="C51">INDEX('Enriched Data'!G:G,A51+1)</f>
        <v>2547243.25</v>
      </c>
      <c r="D51" s="11">
        <f t="shared" si="1"/>
        <v>639740569.95000017</v>
      </c>
      <c r="E51" s="10">
        <f t="shared" si="2"/>
        <v>0.68380414724947058</v>
      </c>
    </row>
    <row r="52" spans="1:5">
      <c r="A52">
        <f t="shared" si="0"/>
        <v>51</v>
      </c>
      <c r="B52" t="str" cm="1">
        <f t="array" ref="B52">INDEX('Enriched Data'!C:C,A52+1)</f>
        <v>Greatwide Dallas Mavis LLC</v>
      </c>
      <c r="C52" s="11" cm="1">
        <f t="array" ref="C52">INDEX('Enriched Data'!G:G,A52+1)</f>
        <v>2525227</v>
      </c>
      <c r="D52" s="11">
        <f t="shared" si="1"/>
        <v>642265796.95000017</v>
      </c>
      <c r="E52" s="10">
        <f t="shared" si="2"/>
        <v>0.68650330496504475</v>
      </c>
    </row>
    <row r="53" spans="1:5">
      <c r="A53">
        <f t="shared" si="0"/>
        <v>52</v>
      </c>
      <c r="B53" t="str" cm="1">
        <f t="array" ref="B53">INDEX('Enriched Data'!C:C,A53+1)</f>
        <v>DD Rich</v>
      </c>
      <c r="C53" s="11" cm="1">
        <f t="array" ref="C53">INDEX('Enriched Data'!G:G,A53+1)</f>
        <v>2510649</v>
      </c>
      <c r="D53" s="11">
        <f t="shared" si="1"/>
        <v>644776445.95000017</v>
      </c>
      <c r="E53" s="10">
        <f t="shared" si="2"/>
        <v>0.68918688058792876</v>
      </c>
    </row>
    <row r="54" spans="1:5">
      <c r="A54">
        <f t="shared" si="0"/>
        <v>53</v>
      </c>
      <c r="B54" t="str" cm="1">
        <f t="array" ref="B54">INDEX('Enriched Data'!C:C,A54+1)</f>
        <v>Logistic Dynamics LLC</v>
      </c>
      <c r="C54" s="11" cm="1">
        <f t="array" ref="C54">INDEX('Enriched Data'!G:G,A54+1)</f>
        <v>2510403.59</v>
      </c>
      <c r="D54" s="11">
        <f t="shared" si="1"/>
        <v>647286849.5400002</v>
      </c>
      <c r="E54" s="10">
        <f t="shared" si="2"/>
        <v>0.69187019389764448</v>
      </c>
    </row>
    <row r="55" spans="1:5">
      <c r="A55">
        <f t="shared" si="0"/>
        <v>54</v>
      </c>
      <c r="B55" t="str" cm="1">
        <f t="array" ref="B55">INDEX('Enriched Data'!C:C,A55+1)</f>
        <v>ReliaStar Life insurance Co.</v>
      </c>
      <c r="C55" s="11" cm="1">
        <f t="array" ref="C55">INDEX('Enriched Data'!G:G,A55+1)</f>
        <v>2497615.0099999998</v>
      </c>
      <c r="D55" s="11">
        <f t="shared" si="1"/>
        <v>649784464.55000019</v>
      </c>
      <c r="E55" s="10">
        <f t="shared" si="2"/>
        <v>0.69453983778501593</v>
      </c>
    </row>
    <row r="56" spans="1:5">
      <c r="A56">
        <f t="shared" si="0"/>
        <v>55</v>
      </c>
      <c r="B56" t="str" cm="1">
        <f t="array" ref="B56">INDEX('Enriched Data'!C:C,A56+1)</f>
        <v>J.P.Morgan REIT Operating Part LP</v>
      </c>
      <c r="C56" s="11" cm="1">
        <f t="array" ref="C56">INDEX('Enriched Data'!G:G,A56+1)</f>
        <v>2473468.62</v>
      </c>
      <c r="D56" s="11">
        <f t="shared" si="1"/>
        <v>652257933.1700002</v>
      </c>
      <c r="E56" s="10">
        <f t="shared" si="2"/>
        <v>0.69718367214521548</v>
      </c>
    </row>
    <row r="57" spans="1:5">
      <c r="A57">
        <f t="shared" si="0"/>
        <v>56</v>
      </c>
      <c r="B57" t="str" cm="1">
        <f t="array" ref="B57">INDEX('Enriched Data'!C:C,A57+1)</f>
        <v>National Financial Services LLC</v>
      </c>
      <c r="C57" s="11" cm="1">
        <f t="array" ref="C57">INDEX('Enriched Data'!G:G,A57+1)</f>
        <v>2357659</v>
      </c>
      <c r="D57" s="11">
        <f t="shared" si="1"/>
        <v>654615592.1700002</v>
      </c>
      <c r="E57" s="10">
        <f t="shared" si="2"/>
        <v>0.69970372023615646</v>
      </c>
    </row>
    <row r="58" spans="1:5">
      <c r="A58">
        <f t="shared" si="0"/>
        <v>57</v>
      </c>
      <c r="B58" t="str" cm="1">
        <f t="array" ref="B58">INDEX('Enriched Data'!C:C,A58+1)</f>
        <v>Yale Materials Handling Corp</v>
      </c>
      <c r="C58" s="11" cm="1">
        <f t="array" ref="C58">INDEX('Enriched Data'!G:G,A58+1)</f>
        <v>2330503.54</v>
      </c>
      <c r="D58" s="11">
        <f t="shared" si="1"/>
        <v>656946095.71000016</v>
      </c>
      <c r="E58" s="10">
        <f t="shared" si="2"/>
        <v>0.70219474247343017</v>
      </c>
    </row>
    <row r="59" spans="1:5">
      <c r="A59">
        <f t="shared" si="0"/>
        <v>58</v>
      </c>
      <c r="B59" t="str" cm="1">
        <f t="array" ref="B59">INDEX('Enriched Data'!C:C,A59+1)</f>
        <v>Cintas National Rental A/R</v>
      </c>
      <c r="C59" s="11" cm="1">
        <f t="array" ref="C59">INDEX('Enriched Data'!G:G,A59+1)</f>
        <v>2309632.36</v>
      </c>
      <c r="D59" s="11">
        <f t="shared" si="1"/>
        <v>659255728.07000017</v>
      </c>
      <c r="E59" s="10">
        <f t="shared" si="2"/>
        <v>0.7046634559810212</v>
      </c>
    </row>
    <row r="60" spans="1:5">
      <c r="A60">
        <f t="shared" si="0"/>
        <v>59</v>
      </c>
      <c r="B60" t="str" cm="1">
        <f t="array" ref="B60">INDEX('Enriched Data'!C:C,A60+1)</f>
        <v>Fleming Business Park LLC</v>
      </c>
      <c r="C60" s="11" cm="1">
        <f t="array" ref="C60">INDEX('Enriched Data'!G:G,A60+1)</f>
        <v>2245570.5299999998</v>
      </c>
      <c r="D60" s="11">
        <f t="shared" si="1"/>
        <v>661501298.60000014</v>
      </c>
      <c r="E60" s="10">
        <f t="shared" si="2"/>
        <v>0.70706369525531831</v>
      </c>
    </row>
    <row r="61" spans="1:5">
      <c r="A61">
        <f t="shared" si="0"/>
        <v>60</v>
      </c>
      <c r="B61" t="str" cm="1">
        <f t="array" ref="B61">INDEX('Enriched Data'!C:C,A61+1)</f>
        <v>Five9 Inc.</v>
      </c>
      <c r="C61" s="11" cm="1">
        <f t="array" ref="C61">INDEX('Enriched Data'!G:G,A61+1)</f>
        <v>2239867.37</v>
      </c>
      <c r="D61" s="11">
        <f t="shared" si="1"/>
        <v>663741165.97000015</v>
      </c>
      <c r="E61" s="10">
        <f t="shared" si="2"/>
        <v>0.70945783855158362</v>
      </c>
    </row>
    <row r="62" spans="1:5">
      <c r="A62">
        <f t="shared" si="0"/>
        <v>61</v>
      </c>
      <c r="B62" t="str" cm="1">
        <f t="array" ref="B62">INDEX('Enriched Data'!C:C,A62+1)</f>
        <v>Best Bay Logistics Inc</v>
      </c>
      <c r="C62" s="11" cm="1">
        <f t="array" ref="C62">INDEX('Enriched Data'!G:G,A62+1)</f>
        <v>2155219</v>
      </c>
      <c r="D62" s="11">
        <f t="shared" si="1"/>
        <v>665896384.97000015</v>
      </c>
      <c r="E62" s="10">
        <f t="shared" si="2"/>
        <v>0.71176150313009556</v>
      </c>
    </row>
    <row r="63" spans="1:5">
      <c r="A63">
        <f t="shared" si="0"/>
        <v>62</v>
      </c>
      <c r="B63" t="str" cm="1">
        <f t="array" ref="B63">INDEX('Enriched Data'!C:C,A63+1)</f>
        <v>PS Business Parks, LP</v>
      </c>
      <c r="C63" s="11" cm="1">
        <f t="array" ref="C63">INDEX('Enriched Data'!G:G,A63+1)</f>
        <v>2127865.66</v>
      </c>
      <c r="D63" s="11">
        <f t="shared" si="1"/>
        <v>668024250.63000011</v>
      </c>
      <c r="E63" s="10">
        <f t="shared" si="2"/>
        <v>0.71403593034550794</v>
      </c>
    </row>
    <row r="64" spans="1:5">
      <c r="A64">
        <f t="shared" si="0"/>
        <v>63</v>
      </c>
      <c r="B64" t="str" cm="1">
        <f t="array" ref="B64">INDEX('Enriched Data'!C:C,A64+1)</f>
        <v>Ryder Truck Rental INC</v>
      </c>
      <c r="C64" s="11" cm="1">
        <f t="array" ref="C64">INDEX('Enriched Data'!G:G,A64+1)</f>
        <v>2062249.14</v>
      </c>
      <c r="D64" s="11">
        <f t="shared" si="1"/>
        <v>670086499.7700001</v>
      </c>
      <c r="E64" s="10">
        <f t="shared" si="2"/>
        <v>0.71624022155483968</v>
      </c>
    </row>
    <row r="65" spans="1:5">
      <c r="A65">
        <f t="shared" si="0"/>
        <v>64</v>
      </c>
      <c r="B65" t="str" cm="1">
        <f t="array" ref="B65">INDEX('Enriched Data'!C:C,A65+1)</f>
        <v>Tata Consultancy Services Limited</v>
      </c>
      <c r="C65" s="11" cm="1">
        <f t="array" ref="C65">INDEX('Enriched Data'!G:G,A65+1)</f>
        <v>2015459</v>
      </c>
      <c r="D65" s="11">
        <f t="shared" si="1"/>
        <v>672101958.7700001</v>
      </c>
      <c r="E65" s="10">
        <f t="shared" si="2"/>
        <v>0.71839449984755288</v>
      </c>
    </row>
    <row r="66" spans="1:5">
      <c r="A66">
        <f t="shared" si="0"/>
        <v>65</v>
      </c>
      <c r="B66" t="str" cm="1">
        <f t="array" ref="B66">INDEX('Enriched Data'!C:C,A66+1)</f>
        <v>Bridge FLL, LLC</v>
      </c>
      <c r="C66" s="11" cm="1">
        <f t="array" ref="C66">INDEX('Enriched Data'!G:G,A66+1)</f>
        <v>1999094.87</v>
      </c>
      <c r="D66" s="11">
        <f t="shared" si="1"/>
        <v>674101053.6400001</v>
      </c>
      <c r="E66" s="10">
        <f t="shared" si="2"/>
        <v>0.72053128689383628</v>
      </c>
    </row>
    <row r="67" spans="1:5">
      <c r="A67">
        <f t="shared" si="0"/>
        <v>66</v>
      </c>
      <c r="B67" t="str" cm="1">
        <f t="array" ref="B67">INDEX('Enriched Data'!C:C,A67+1)</f>
        <v>2065 George St</v>
      </c>
      <c r="C67" s="11" cm="1">
        <f t="array" ref="C67">INDEX('Enriched Data'!G:G,A67+1)</f>
        <v>1984805.53</v>
      </c>
      <c r="D67" s="11">
        <f t="shared" si="1"/>
        <v>676085859.17000008</v>
      </c>
      <c r="E67" s="10">
        <f t="shared" si="2"/>
        <v>0.72265280038953938</v>
      </c>
    </row>
    <row r="68" spans="1:5">
      <c r="A68">
        <f t="shared" ref="A68:A131" si="3">A67+1</f>
        <v>67</v>
      </c>
      <c r="B68" t="str" cm="1">
        <f t="array" ref="B68">INDEX('Enriched Data'!C:C,A68+1)</f>
        <v>ListEngage, LLC</v>
      </c>
      <c r="C68" s="11" cm="1">
        <f t="array" ref="C68">INDEX('Enriched Data'!G:G,A68+1)</f>
        <v>1964041.5</v>
      </c>
      <c r="D68" s="11">
        <f t="shared" ref="D68:D131" si="4">D67+C68</f>
        <v>678049900.67000008</v>
      </c>
      <c r="E68" s="10">
        <f t="shared" ref="E68:E131" si="5">D68/$F$2</f>
        <v>0.72475211968575814</v>
      </c>
    </row>
    <row r="69" spans="1:5">
      <c r="A69">
        <f t="shared" si="3"/>
        <v>68</v>
      </c>
      <c r="B69" t="str" cm="1">
        <f t="array" ref="B69">INDEX('Enriched Data'!C:C,A69+1)</f>
        <v>Greyway Global LLC</v>
      </c>
      <c r="C69" s="11" cm="1">
        <f t="array" ref="C69">INDEX('Enriched Data'!G:G,A69+1)</f>
        <v>1958952</v>
      </c>
      <c r="D69" s="11">
        <f t="shared" si="4"/>
        <v>680008852.67000008</v>
      </c>
      <c r="E69" s="10">
        <f t="shared" si="5"/>
        <v>0.72684599893116442</v>
      </c>
    </row>
    <row r="70" spans="1:5">
      <c r="A70">
        <f t="shared" si="3"/>
        <v>69</v>
      </c>
      <c r="B70" t="str" cm="1">
        <f t="array" ref="B70">INDEX('Enriched Data'!C:C,A70+1)</f>
        <v>LBA LVF IX Aggregator, LLC</v>
      </c>
      <c r="C70" s="11" cm="1">
        <f t="array" ref="C70">INDEX('Enriched Data'!G:G,A70+1)</f>
        <v>1957090.9</v>
      </c>
      <c r="D70" s="11">
        <f t="shared" si="4"/>
        <v>681965943.57000005</v>
      </c>
      <c r="E70" s="10">
        <f t="shared" si="5"/>
        <v>0.72893788888910271</v>
      </c>
    </row>
    <row r="71" spans="1:5">
      <c r="A71">
        <f t="shared" si="3"/>
        <v>70</v>
      </c>
      <c r="B71" t="str" cm="1">
        <f t="array" ref="B71">INDEX('Enriched Data'!C:C,A71+1)</f>
        <v>Veritas Logistics</v>
      </c>
      <c r="C71" s="11" cm="1">
        <f t="array" ref="C71">INDEX('Enriched Data'!G:G,A71+1)</f>
        <v>1955467.34</v>
      </c>
      <c r="D71" s="11">
        <f t="shared" si="4"/>
        <v>683921410.91000009</v>
      </c>
      <c r="E71" s="10">
        <f t="shared" si="5"/>
        <v>0.73102804346067762</v>
      </c>
    </row>
    <row r="72" spans="1:5">
      <c r="A72">
        <f t="shared" si="3"/>
        <v>71</v>
      </c>
      <c r="B72" t="str" cm="1">
        <f t="array" ref="B72">INDEX('Enriched Data'!C:C,A72+1)</f>
        <v>American Express</v>
      </c>
      <c r="C72" s="11" cm="1">
        <f t="array" ref="C72">INDEX('Enriched Data'!G:G,A72+1)</f>
        <v>1868456.22</v>
      </c>
      <c r="D72" s="11">
        <f t="shared" si="4"/>
        <v>685789867.13000011</v>
      </c>
      <c r="E72" s="10">
        <f t="shared" si="5"/>
        <v>0.73302519382475406</v>
      </c>
    </row>
    <row r="73" spans="1:5">
      <c r="A73">
        <f t="shared" si="3"/>
        <v>72</v>
      </c>
      <c r="B73" t="str" cm="1">
        <f t="array" ref="B73">INDEX('Enriched Data'!C:C,A73+1)</f>
        <v>Sandell Holdings LLC</v>
      </c>
      <c r="C73" s="11" cm="1">
        <f t="array" ref="C73">INDEX('Enriched Data'!G:G,A73+1)</f>
        <v>1802317.48</v>
      </c>
      <c r="D73" s="11">
        <f t="shared" si="4"/>
        <v>687592184.61000013</v>
      </c>
      <c r="E73" s="10">
        <f t="shared" si="5"/>
        <v>0.73495164999366724</v>
      </c>
    </row>
    <row r="74" spans="1:5">
      <c r="A74">
        <f t="shared" si="3"/>
        <v>73</v>
      </c>
      <c r="B74" t="str" cm="1">
        <f t="array" ref="B74">INDEX('Enriched Data'!C:C,A74+1)</f>
        <v>Nirro LLC</v>
      </c>
      <c r="C74" s="11" cm="1">
        <f t="array" ref="C74">INDEX('Enriched Data'!G:G,A74+1)</f>
        <v>1770981.13</v>
      </c>
      <c r="D74" s="11">
        <f t="shared" si="4"/>
        <v>689363165.74000013</v>
      </c>
      <c r="E74" s="10">
        <f t="shared" si="5"/>
        <v>0.73684461145066726</v>
      </c>
    </row>
    <row r="75" spans="1:5">
      <c r="A75">
        <f t="shared" si="3"/>
        <v>74</v>
      </c>
      <c r="B75" t="str" cm="1">
        <f t="array" ref="B75">INDEX('Enriched Data'!C:C,A75+1)</f>
        <v>Lima Truck Brokers LLC</v>
      </c>
      <c r="C75" s="11" cm="1">
        <f t="array" ref="C75">INDEX('Enriched Data'!G:G,A75+1)</f>
        <v>1749466</v>
      </c>
      <c r="D75" s="11">
        <f t="shared" si="4"/>
        <v>691112631.74000013</v>
      </c>
      <c r="E75" s="10">
        <f t="shared" si="5"/>
        <v>0.73871457587447331</v>
      </c>
    </row>
    <row r="76" spans="1:5">
      <c r="A76">
        <f t="shared" si="3"/>
        <v>75</v>
      </c>
      <c r="B76" t="str" cm="1">
        <f t="array" ref="B76">INDEX('Enriched Data'!C:C,A76+1)</f>
        <v>Build to Core Industrial Partn</v>
      </c>
      <c r="C76" s="11" cm="1">
        <f t="array" ref="C76">INDEX('Enriched Data'!G:G,A76+1)</f>
        <v>1740880.31</v>
      </c>
      <c r="D76" s="11">
        <f t="shared" si="4"/>
        <v>692853512.05000007</v>
      </c>
      <c r="E76" s="10">
        <f t="shared" si="5"/>
        <v>0.74057536324948059</v>
      </c>
    </row>
    <row r="77" spans="1:5">
      <c r="A77">
        <f t="shared" si="3"/>
        <v>76</v>
      </c>
      <c r="B77" t="str" cm="1">
        <f t="array" ref="B77">INDEX('Enriched Data'!C:C,A77+1)</f>
        <v>PBI Post Dist. LLC</v>
      </c>
      <c r="C77" s="11" cm="1">
        <f t="array" ref="C77">INDEX('Enriched Data'!G:G,A77+1)</f>
        <v>1634591.69</v>
      </c>
      <c r="D77" s="11">
        <f t="shared" si="4"/>
        <v>694488103.74000013</v>
      </c>
      <c r="E77" s="10">
        <f t="shared" si="5"/>
        <v>0.74232254113561802</v>
      </c>
    </row>
    <row r="78" spans="1:5">
      <c r="A78">
        <f t="shared" si="3"/>
        <v>77</v>
      </c>
      <c r="B78" t="str" cm="1">
        <f t="array" ref="B78">INDEX('Enriched Data'!C:C,A78+1)</f>
        <v>VMD Industrial V LLC</v>
      </c>
      <c r="C78" s="11" cm="1">
        <f t="array" ref="C78">INDEX('Enriched Data'!G:G,A78+1)</f>
        <v>1610474.66</v>
      </c>
      <c r="D78" s="11">
        <f t="shared" si="4"/>
        <v>696098578.4000001</v>
      </c>
      <c r="E78" s="10">
        <f t="shared" si="5"/>
        <v>0.74404394087681969</v>
      </c>
    </row>
    <row r="79" spans="1:5">
      <c r="A79">
        <f t="shared" si="3"/>
        <v>78</v>
      </c>
      <c r="B79" t="str" cm="1">
        <f t="array" ref="B79">INDEX('Enriched Data'!C:C,A79+1)</f>
        <v>Coast 2 Coast Logistics LLC</v>
      </c>
      <c r="C79" s="11" cm="1">
        <f t="array" ref="C79">INDEX('Enriched Data'!G:G,A79+1)</f>
        <v>1587574</v>
      </c>
      <c r="D79" s="11">
        <f t="shared" si="4"/>
        <v>697686152.4000001</v>
      </c>
      <c r="E79" s="10">
        <f t="shared" si="5"/>
        <v>0.74574086262331807</v>
      </c>
    </row>
    <row r="80" spans="1:5">
      <c r="A80">
        <f t="shared" si="3"/>
        <v>79</v>
      </c>
      <c r="B80" t="str" cm="1">
        <f t="array" ref="B80">INDEX('Enriched Data'!C:C,A80+1)</f>
        <v>Bestpass, Inc.</v>
      </c>
      <c r="C80" s="11" cm="1">
        <f t="array" ref="C80">INDEX('Enriched Data'!G:G,A80+1)</f>
        <v>1515426.73</v>
      </c>
      <c r="D80" s="11">
        <f t="shared" si="4"/>
        <v>699201579.13000011</v>
      </c>
      <c r="E80" s="10">
        <f t="shared" si="5"/>
        <v>0.7473606677935728</v>
      </c>
    </row>
    <row r="81" spans="1:5">
      <c r="A81">
        <f t="shared" si="3"/>
        <v>80</v>
      </c>
      <c r="B81" t="str" cm="1">
        <f t="array" ref="B81">INDEX('Enriched Data'!C:C,A81+1)</f>
        <v>Teachers Ins&amp; Anny Assoc of America</v>
      </c>
      <c r="C81" s="11" cm="1">
        <f t="array" ref="C81">INDEX('Enriched Data'!G:G,A81+1)</f>
        <v>1513252.88</v>
      </c>
      <c r="D81" s="11">
        <f t="shared" si="4"/>
        <v>700714832.01000011</v>
      </c>
      <c r="E81" s="10">
        <f t="shared" si="5"/>
        <v>0.74897814938499674</v>
      </c>
    </row>
    <row r="82" spans="1:5">
      <c r="A82">
        <f t="shared" si="3"/>
        <v>81</v>
      </c>
      <c r="B82" t="str" cm="1">
        <f t="array" ref="B82">INDEX('Enriched Data'!C:C,A82+1)</f>
        <v>Miller Dedicated Services</v>
      </c>
      <c r="C82" s="11" cm="1">
        <f t="array" ref="C82">INDEX('Enriched Data'!G:G,A82+1)</f>
        <v>1473582.01</v>
      </c>
      <c r="D82" s="11">
        <f t="shared" si="4"/>
        <v>702188414.0200001</v>
      </c>
      <c r="E82" s="10">
        <f t="shared" si="5"/>
        <v>0.75055322768561006</v>
      </c>
    </row>
    <row r="83" spans="1:5">
      <c r="A83">
        <f t="shared" si="3"/>
        <v>82</v>
      </c>
      <c r="B83" t="str" cm="1">
        <f t="array" ref="B83">INDEX('Enriched Data'!C:C,A83+1)</f>
        <v>Invesco U.S. Income REIT, LLC</v>
      </c>
      <c r="C83" s="11" cm="1">
        <f t="array" ref="C83">INDEX('Enriched Data'!G:G,A83+1)</f>
        <v>1464688.39</v>
      </c>
      <c r="D83" s="11">
        <f t="shared" si="4"/>
        <v>703653102.41000009</v>
      </c>
      <c r="E83" s="10">
        <f t="shared" si="5"/>
        <v>0.75211879979804996</v>
      </c>
    </row>
    <row r="84" spans="1:5">
      <c r="A84">
        <f t="shared" si="3"/>
        <v>83</v>
      </c>
      <c r="B84" t="str" cm="1">
        <f t="array" ref="B84">INDEX('Enriched Data'!C:C,A84+1)</f>
        <v>Bristol Warehouse LLC</v>
      </c>
      <c r="C84" s="11" cm="1">
        <f t="array" ref="C84">INDEX('Enriched Data'!G:G,A84+1)</f>
        <v>1447245.61</v>
      </c>
      <c r="D84" s="11">
        <f t="shared" si="4"/>
        <v>705100348.0200001</v>
      </c>
      <c r="E84" s="10">
        <f t="shared" si="5"/>
        <v>0.75366572771960405</v>
      </c>
    </row>
    <row r="85" spans="1:5">
      <c r="A85">
        <f t="shared" si="3"/>
        <v>84</v>
      </c>
      <c r="B85" t="str" cm="1">
        <f t="array" ref="B85">INDEX('Enriched Data'!C:C,A85+1)</f>
        <v>Majestic Realty Co.</v>
      </c>
      <c r="C85" s="11" cm="1">
        <f t="array" ref="C85">INDEX('Enriched Data'!G:G,A85+1)</f>
        <v>1443781.6</v>
      </c>
      <c r="D85" s="11">
        <f t="shared" si="4"/>
        <v>706544129.62000012</v>
      </c>
      <c r="E85" s="10">
        <f t="shared" si="5"/>
        <v>0.75520895303964219</v>
      </c>
    </row>
    <row r="86" spans="1:5">
      <c r="A86">
        <f t="shared" si="3"/>
        <v>85</v>
      </c>
      <c r="B86" t="str" cm="1">
        <f t="array" ref="B86">INDEX('Enriched Data'!C:C,A86+1)</f>
        <v>94 Business Park Drive Associates</v>
      </c>
      <c r="C86" s="11" cm="1">
        <f t="array" ref="C86">INDEX('Enriched Data'!G:G,A86+1)</f>
        <v>1432760.58</v>
      </c>
      <c r="D86" s="11">
        <f t="shared" si="4"/>
        <v>707976890.20000017</v>
      </c>
      <c r="E86" s="10">
        <f t="shared" si="5"/>
        <v>0.7567403982420251</v>
      </c>
    </row>
    <row r="87" spans="1:5">
      <c r="A87">
        <f t="shared" si="3"/>
        <v>86</v>
      </c>
      <c r="B87" t="str" cm="1">
        <f t="array" ref="B87">INDEX('Enriched Data'!C:C,A87+1)</f>
        <v>Orlando Corporation</v>
      </c>
      <c r="C87" s="11" cm="1">
        <f t="array" ref="C87">INDEX('Enriched Data'!G:G,A87+1)</f>
        <v>1420725.17</v>
      </c>
      <c r="D87" s="11">
        <f t="shared" si="4"/>
        <v>709397615.37000012</v>
      </c>
      <c r="E87" s="10">
        <f t="shared" si="5"/>
        <v>0.75825897906834905</v>
      </c>
    </row>
    <row r="88" spans="1:5">
      <c r="A88">
        <f t="shared" si="3"/>
        <v>87</v>
      </c>
      <c r="B88" t="str" cm="1">
        <f t="array" ref="B88">INDEX('Enriched Data'!C:C,A88+1)</f>
        <v>E Thomas Harvey III</v>
      </c>
      <c r="C88" s="11" cm="1">
        <f t="array" ref="C88">INDEX('Enriched Data'!G:G,A88+1)</f>
        <v>1411964.06</v>
      </c>
      <c r="D88" s="11">
        <f t="shared" si="4"/>
        <v>710809579.43000007</v>
      </c>
      <c r="E88" s="10">
        <f t="shared" si="5"/>
        <v>0.75976819534342543</v>
      </c>
    </row>
    <row r="89" spans="1:5">
      <c r="A89">
        <f t="shared" si="3"/>
        <v>88</v>
      </c>
      <c r="B89" t="str" cm="1">
        <f t="array" ref="B89">INDEX('Enriched Data'!C:C,A89+1)</f>
        <v>BA One REIT LLC</v>
      </c>
      <c r="C89" s="11" cm="1">
        <f t="array" ref="C89">INDEX('Enriched Data'!G:G,A89+1)</f>
        <v>1404197.73</v>
      </c>
      <c r="D89" s="11">
        <f t="shared" si="4"/>
        <v>712213777.16000009</v>
      </c>
      <c r="E89" s="10">
        <f t="shared" si="5"/>
        <v>0.76126911036497447</v>
      </c>
    </row>
    <row r="90" spans="1:5">
      <c r="A90">
        <f t="shared" si="3"/>
        <v>89</v>
      </c>
      <c r="B90" t="str" cm="1">
        <f t="array" ref="B90">INDEX('Enriched Data'!C:C,A90+1)</f>
        <v>Sullivan &amp; Cromwell LLP</v>
      </c>
      <c r="C90" s="11" cm="1">
        <f t="array" ref="C90">INDEX('Enriched Data'!G:G,A90+1)</f>
        <v>1371035.34</v>
      </c>
      <c r="D90" s="11">
        <f t="shared" si="4"/>
        <v>713584812.50000012</v>
      </c>
      <c r="E90" s="10">
        <f t="shared" si="5"/>
        <v>0.76273457886197926</v>
      </c>
    </row>
    <row r="91" spans="1:5">
      <c r="A91">
        <f t="shared" si="3"/>
        <v>90</v>
      </c>
      <c r="B91" t="str" cm="1">
        <f t="array" ref="B91">INDEX('Enriched Data'!C:C,A91+1)</f>
        <v>Wheels Leasing Canada LTD</v>
      </c>
      <c r="C91" s="11" cm="1">
        <f t="array" ref="C91">INDEX('Enriched Data'!G:G,A91+1)</f>
        <v>1348072.5</v>
      </c>
      <c r="D91" s="11">
        <f t="shared" si="4"/>
        <v>714932885.00000012</v>
      </c>
      <c r="E91" s="10">
        <f t="shared" si="5"/>
        <v>0.76417550290149272</v>
      </c>
    </row>
    <row r="92" spans="1:5">
      <c r="A92">
        <f t="shared" si="3"/>
        <v>91</v>
      </c>
      <c r="B92" t="str" cm="1">
        <f t="array" ref="B92">INDEX('Enriched Data'!C:C,A92+1)</f>
        <v>Simon Kucher &amp; Partners</v>
      </c>
      <c r="C92" s="11" cm="1">
        <f t="array" ref="C92">INDEX('Enriched Data'!G:G,A92+1)</f>
        <v>1343918.92</v>
      </c>
      <c r="D92" s="11">
        <f t="shared" si="4"/>
        <v>716276803.92000008</v>
      </c>
      <c r="E92" s="10">
        <f t="shared" si="5"/>
        <v>0.7656119872737982</v>
      </c>
    </row>
    <row r="93" spans="1:5">
      <c r="A93">
        <f t="shared" si="3"/>
        <v>92</v>
      </c>
      <c r="B93" t="str" cm="1">
        <f t="array" ref="B93">INDEX('Enriched Data'!C:C,A93+1)</f>
        <v>GFI Big Joe LLC</v>
      </c>
      <c r="C93" s="11" cm="1">
        <f t="array" ref="C93">INDEX('Enriched Data'!G:G,A93+1)</f>
        <v>1302281.4099999999</v>
      </c>
      <c r="D93" s="11">
        <f t="shared" si="4"/>
        <v>717579085.33000004</v>
      </c>
      <c r="E93" s="10">
        <f t="shared" si="5"/>
        <v>0.7670039662585193</v>
      </c>
    </row>
    <row r="94" spans="1:5">
      <c r="A94">
        <f t="shared" si="3"/>
        <v>93</v>
      </c>
      <c r="B94" t="str" cm="1">
        <f t="array" ref="B94">INDEX('Enriched Data'!C:C,A94+1)</f>
        <v>Standard Ins Co (Life/Disability)</v>
      </c>
      <c r="C94" s="11" cm="1">
        <f t="array" ref="C94">INDEX('Enriched Data'!G:G,A94+1)</f>
        <v>1286415.6599999999</v>
      </c>
      <c r="D94" s="11">
        <f t="shared" si="4"/>
        <v>718865500.99000001</v>
      </c>
      <c r="E94" s="10">
        <f t="shared" si="5"/>
        <v>0.76837898670385918</v>
      </c>
    </row>
    <row r="95" spans="1:5">
      <c r="A95">
        <f t="shared" si="3"/>
        <v>94</v>
      </c>
      <c r="B95" t="str" cm="1">
        <f t="array" ref="B95">INDEX('Enriched Data'!C:C,A95+1)</f>
        <v>GuidePoint Security Holdings LLC</v>
      </c>
      <c r="C95" s="11" cm="1">
        <f t="array" ref="C95">INDEX('Enriched Data'!G:G,A95+1)</f>
        <v>1267723.06</v>
      </c>
      <c r="D95" s="11">
        <f t="shared" si="4"/>
        <v>720133224.04999995</v>
      </c>
      <c r="E95" s="10">
        <f t="shared" si="5"/>
        <v>0.76973402705413663</v>
      </c>
    </row>
    <row r="96" spans="1:5">
      <c r="A96">
        <f t="shared" si="3"/>
        <v>95</v>
      </c>
      <c r="B96" t="str" cm="1">
        <f t="array" ref="B96">INDEX('Enriched Data'!C:C,A96+1)</f>
        <v>LMO Creekside Dist., LLC</v>
      </c>
      <c r="C96" s="11" cm="1">
        <f t="array" ref="C96">INDEX('Enriched Data'!G:G,A96+1)</f>
        <v>1266405.78</v>
      </c>
      <c r="D96" s="11">
        <f t="shared" si="4"/>
        <v>721399629.82999992</v>
      </c>
      <c r="E96" s="10">
        <f t="shared" si="5"/>
        <v>0.77108765939377755</v>
      </c>
    </row>
    <row r="97" spans="1:5">
      <c r="A97">
        <f t="shared" si="3"/>
        <v>96</v>
      </c>
      <c r="B97" t="str" cm="1">
        <f t="array" ref="B97">INDEX('Enriched Data'!C:C,A97+1)</f>
        <v>Aetna Life Insurance Company Medical</v>
      </c>
      <c r="C97" s="11" cm="1">
        <f t="array" ref="C97">INDEX('Enriched Data'!G:G,A97+1)</f>
        <v>1255419.22</v>
      </c>
      <c r="D97" s="11">
        <f t="shared" si="4"/>
        <v>722655049.04999995</v>
      </c>
      <c r="E97" s="10">
        <f t="shared" si="5"/>
        <v>0.7724295484492737</v>
      </c>
    </row>
    <row r="98" spans="1:5">
      <c r="A98">
        <f t="shared" si="3"/>
        <v>97</v>
      </c>
      <c r="B98" t="str" cm="1">
        <f t="array" ref="B98">INDEX('Enriched Data'!C:C,A98+1)</f>
        <v>Mode Transportation, LLC</v>
      </c>
      <c r="C98" s="11" cm="1">
        <f t="array" ref="C98">INDEX('Enriched Data'!G:G,A98+1)</f>
        <v>1250507.5</v>
      </c>
      <c r="D98" s="11">
        <f t="shared" si="4"/>
        <v>723905556.54999995</v>
      </c>
      <c r="E98" s="10">
        <f t="shared" si="5"/>
        <v>0.7737661874789562</v>
      </c>
    </row>
    <row r="99" spans="1:5">
      <c r="A99">
        <f t="shared" si="3"/>
        <v>98</v>
      </c>
      <c r="B99" t="str" cm="1">
        <f t="array" ref="B99">INDEX('Enriched Data'!C:C,A99+1)</f>
        <v>HDC Properties Hanua Logistic Ctr</v>
      </c>
      <c r="C99" s="11" cm="1">
        <f t="array" ref="C99">INDEX('Enriched Data'!G:G,A99+1)</f>
        <v>1240916.07</v>
      </c>
      <c r="D99" s="11">
        <f t="shared" si="4"/>
        <v>725146472.62</v>
      </c>
      <c r="E99" s="10">
        <f t="shared" si="5"/>
        <v>0.77509257444722512</v>
      </c>
    </row>
    <row r="100" spans="1:5">
      <c r="A100">
        <f t="shared" si="3"/>
        <v>99</v>
      </c>
      <c r="B100" t="str" cm="1">
        <f t="array" ref="B100">INDEX('Enriched Data'!C:C,A100+1)</f>
        <v>Ankura Consulting Group LLC</v>
      </c>
      <c r="C100" s="11" cm="1">
        <f t="array" ref="C100">INDEX('Enriched Data'!G:G,A100+1)</f>
        <v>1220838.3700000001</v>
      </c>
      <c r="D100" s="11">
        <f t="shared" si="4"/>
        <v>726367310.99000001</v>
      </c>
      <c r="E100" s="10">
        <f t="shared" si="5"/>
        <v>0.7763975008185392</v>
      </c>
    </row>
    <row r="101" spans="1:5">
      <c r="A101">
        <f t="shared" si="3"/>
        <v>100</v>
      </c>
      <c r="B101" t="str" cm="1">
        <f t="array" ref="B101">INDEX('Enriched Data'!C:C,A101+1)</f>
        <v>BGO Diversified Property Fund REIT LLC</v>
      </c>
      <c r="C101" s="11" cm="1">
        <f t="array" ref="C101">INDEX('Enriched Data'!G:G,A101+1)</f>
        <v>1206729.02</v>
      </c>
      <c r="D101" s="11">
        <f t="shared" si="4"/>
        <v>727574040.00999999</v>
      </c>
      <c r="E101" s="10">
        <f t="shared" si="5"/>
        <v>0.77768734602649092</v>
      </c>
    </row>
    <row r="102" spans="1:5">
      <c r="A102">
        <f t="shared" si="3"/>
        <v>101</v>
      </c>
      <c r="B102" t="str" cm="1">
        <f t="array" ref="B102">INDEX('Enriched Data'!C:C,A102+1)</f>
        <v>SML Relocation LLC</v>
      </c>
      <c r="C102" s="11" cm="1">
        <f t="array" ref="C102">INDEX('Enriched Data'!G:G,A102+1)</f>
        <v>1203022.95</v>
      </c>
      <c r="D102" s="11">
        <f t="shared" si="4"/>
        <v>728777062.96000004</v>
      </c>
      <c r="E102" s="10">
        <f t="shared" si="5"/>
        <v>0.77897322990049722</v>
      </c>
    </row>
    <row r="103" spans="1:5">
      <c r="A103">
        <f t="shared" si="3"/>
        <v>102</v>
      </c>
      <c r="B103" t="str" cm="1">
        <f t="array" ref="B103">INDEX('Enriched Data'!C:C,A103+1)</f>
        <v>RG Industries dba RG Group</v>
      </c>
      <c r="C103" s="11" cm="1">
        <f t="array" ref="C103">INDEX('Enriched Data'!G:G,A103+1)</f>
        <v>1197427.8</v>
      </c>
      <c r="D103" s="11">
        <f t="shared" si="4"/>
        <v>729974490.75999999</v>
      </c>
      <c r="E103" s="10">
        <f t="shared" si="5"/>
        <v>0.78025313324590451</v>
      </c>
    </row>
    <row r="104" spans="1:5">
      <c r="A104">
        <f t="shared" si="3"/>
        <v>103</v>
      </c>
      <c r="B104" t="str" cm="1">
        <f t="array" ref="B104">INDEX('Enriched Data'!C:C,A104+1)</f>
        <v>Motus Freight LLC</v>
      </c>
      <c r="C104" s="11" cm="1">
        <f t="array" ref="C104">INDEX('Enriched Data'!G:G,A104+1)</f>
        <v>1176479</v>
      </c>
      <c r="D104" s="11">
        <f t="shared" si="4"/>
        <v>731150969.75999999</v>
      </c>
      <c r="E104" s="10">
        <f t="shared" si="5"/>
        <v>0.78151064489537636</v>
      </c>
    </row>
    <row r="105" spans="1:5">
      <c r="A105">
        <f t="shared" si="3"/>
        <v>104</v>
      </c>
      <c r="B105" t="str" cm="1">
        <f t="array" ref="B105">INDEX('Enriched Data'!C:C,A105+1)</f>
        <v>Grizz Logistics</v>
      </c>
      <c r="C105" s="11" cm="1">
        <f t="array" ref="C105">INDEX('Enriched Data'!G:G,A105+1)</f>
        <v>1169525</v>
      </c>
      <c r="D105" s="11">
        <f t="shared" si="4"/>
        <v>732320494.75999999</v>
      </c>
      <c r="E105" s="10">
        <f t="shared" si="5"/>
        <v>0.78276072357238513</v>
      </c>
    </row>
    <row r="106" spans="1:5">
      <c r="A106">
        <f t="shared" si="3"/>
        <v>105</v>
      </c>
      <c r="B106" t="str" cm="1">
        <f t="array" ref="B106">INDEX('Enriched Data'!C:C,A106+1)</f>
        <v>New Age Holdings LLC</v>
      </c>
      <c r="C106" s="11" cm="1">
        <f t="array" ref="C106">INDEX('Enriched Data'!G:G,A106+1)</f>
        <v>1152781.03</v>
      </c>
      <c r="D106" s="11">
        <f t="shared" si="4"/>
        <v>733473275.78999996</v>
      </c>
      <c r="E106" s="10">
        <f t="shared" si="5"/>
        <v>0.78399290500062579</v>
      </c>
    </row>
    <row r="107" spans="1:5">
      <c r="A107">
        <f t="shared" si="3"/>
        <v>106</v>
      </c>
      <c r="B107" t="str" cm="1">
        <f t="array" ref="B107">INDEX('Enriched Data'!C:C,A107+1)</f>
        <v>Jing Jiang Asian-Pacific Special Mt</v>
      </c>
      <c r="C107" s="11" cm="1">
        <f t="array" ref="C107">INDEX('Enriched Data'!G:G,A107+1)</f>
        <v>1143309</v>
      </c>
      <c r="D107" s="11">
        <f t="shared" si="4"/>
        <v>734616584.78999996</v>
      </c>
      <c r="E107" s="10">
        <f t="shared" si="5"/>
        <v>0.78521496199139751</v>
      </c>
    </row>
    <row r="108" spans="1:5">
      <c r="A108">
        <f t="shared" si="3"/>
        <v>107</v>
      </c>
      <c r="B108" t="str" cm="1">
        <f t="array" ref="B108">INDEX('Enriched Data'!C:C,A108+1)</f>
        <v>CREIT Management LP in Trust for CREIT Alberta Industrial</v>
      </c>
      <c r="C108" s="11" cm="1">
        <f t="array" ref="C108">INDEX('Enriched Data'!G:G,A108+1)</f>
        <v>1130141.94</v>
      </c>
      <c r="D108" s="11">
        <f t="shared" si="4"/>
        <v>735746726.73000002</v>
      </c>
      <c r="E108" s="10">
        <f t="shared" si="5"/>
        <v>0.78642294501115972</v>
      </c>
    </row>
    <row r="109" spans="1:5">
      <c r="A109">
        <f t="shared" si="3"/>
        <v>108</v>
      </c>
      <c r="B109" t="str" cm="1">
        <f t="array" ref="B109">INDEX('Enriched Data'!C:C,A109+1)</f>
        <v>625 Universtiy Leasehold Owner, LLC</v>
      </c>
      <c r="C109" s="11" cm="1">
        <f t="array" ref="C109">INDEX('Enriched Data'!G:G,A109+1)</f>
        <v>1123635.8600000001</v>
      </c>
      <c r="D109" s="11">
        <f t="shared" si="4"/>
        <v>736870362.59000003</v>
      </c>
      <c r="E109" s="10">
        <f t="shared" si="5"/>
        <v>0.78762397382996086</v>
      </c>
    </row>
    <row r="110" spans="1:5">
      <c r="A110">
        <f t="shared" si="3"/>
        <v>109</v>
      </c>
      <c r="B110" t="str" cm="1">
        <f t="array" ref="B110">INDEX('Enriched Data'!C:C,A110+1)</f>
        <v>Pac West Equities dba PW Fund Do not use - use 152202</v>
      </c>
      <c r="C110" s="11" cm="1">
        <f t="array" ref="C110">INDEX('Enriched Data'!G:G,A110+1)</f>
        <v>1121824.58</v>
      </c>
      <c r="D110" s="11">
        <f t="shared" si="4"/>
        <v>737992187.17000008</v>
      </c>
      <c r="E110" s="10">
        <f t="shared" si="5"/>
        <v>0.78882306661275936</v>
      </c>
    </row>
    <row r="111" spans="1:5">
      <c r="A111">
        <f t="shared" si="3"/>
        <v>110</v>
      </c>
      <c r="B111" t="str" cm="1">
        <f t="array" ref="B111">INDEX('Enriched Data'!C:C,A111+1)</f>
        <v>UKG Inc.</v>
      </c>
      <c r="C111" s="11" cm="1">
        <f t="array" ref="C111">INDEX('Enriched Data'!G:G,A111+1)</f>
        <v>1120512.4099999999</v>
      </c>
      <c r="D111" s="11">
        <f t="shared" si="4"/>
        <v>739112699.58000004</v>
      </c>
      <c r="E111" s="10">
        <f t="shared" si="5"/>
        <v>0.790020756846884</v>
      </c>
    </row>
    <row r="112" spans="1:5">
      <c r="A112">
        <f t="shared" si="3"/>
        <v>111</v>
      </c>
      <c r="B112" t="str" cm="1">
        <f t="array" ref="B112">INDEX('Enriched Data'!C:C,A112+1)</f>
        <v>29899 SW Boones Ferry Rd Co LLC</v>
      </c>
      <c r="C112" s="11" cm="1">
        <f t="array" ref="C112">INDEX('Enriched Data'!G:G,A112+1)</f>
        <v>1119426.23</v>
      </c>
      <c r="D112" s="11">
        <f t="shared" si="4"/>
        <v>740232125.81000006</v>
      </c>
      <c r="E112" s="10">
        <f t="shared" si="5"/>
        <v>0.79121728608790698</v>
      </c>
    </row>
    <row r="113" spans="1:5">
      <c r="A113">
        <f t="shared" si="3"/>
        <v>112</v>
      </c>
      <c r="B113" t="str" cm="1">
        <f t="array" ref="B113">INDEX('Enriched Data'!C:C,A113+1)</f>
        <v>Rastegar Rel Fund Mgt Infinity Park</v>
      </c>
      <c r="C113" s="11" cm="1">
        <f t="array" ref="C113">INDEX('Enriched Data'!G:G,A113+1)</f>
        <v>1110450</v>
      </c>
      <c r="D113" s="11">
        <f t="shared" si="4"/>
        <v>741342575.81000006</v>
      </c>
      <c r="E113" s="10">
        <f t="shared" si="5"/>
        <v>0.79240422084080619</v>
      </c>
    </row>
    <row r="114" spans="1:5">
      <c r="A114">
        <f t="shared" si="3"/>
        <v>113</v>
      </c>
      <c r="B114" t="str" cm="1">
        <f t="array" ref="B114">INDEX('Enriched Data'!C:C,A114+1)</f>
        <v>Werner Enterprises Inc</v>
      </c>
      <c r="C114" s="11" cm="1">
        <f t="array" ref="C114">INDEX('Enriched Data'!G:G,A114+1)</f>
        <v>1105487.42</v>
      </c>
      <c r="D114" s="11">
        <f t="shared" si="4"/>
        <v>742448063.23000002</v>
      </c>
      <c r="E114" s="10">
        <f t="shared" si="5"/>
        <v>0.79358585120479441</v>
      </c>
    </row>
    <row r="115" spans="1:5">
      <c r="A115">
        <f t="shared" si="3"/>
        <v>114</v>
      </c>
      <c r="B115" t="str" cm="1">
        <f t="array" ref="B115">INDEX('Enriched Data'!C:C,A115+1)</f>
        <v>Pine Forest Everett, LLC</v>
      </c>
      <c r="C115" s="11" cm="1">
        <f t="array" ref="C115">INDEX('Enriched Data'!G:G,A115+1)</f>
        <v>1105479.99</v>
      </c>
      <c r="D115" s="11">
        <f t="shared" si="4"/>
        <v>743553543.22000003</v>
      </c>
      <c r="E115" s="10">
        <f t="shared" si="5"/>
        <v>0.79476747362702471</v>
      </c>
    </row>
    <row r="116" spans="1:5">
      <c r="A116">
        <f t="shared" si="3"/>
        <v>115</v>
      </c>
      <c r="B116" t="str" cm="1">
        <f t="array" ref="B116">INDEX('Enriched Data'!C:C,A116+1)</f>
        <v>Focused Labs, Inc.</v>
      </c>
      <c r="C116" s="11" cm="1">
        <f t="array" ref="C116">INDEX('Enriched Data'!G:G,A116+1)</f>
        <v>1101351.1499999999</v>
      </c>
      <c r="D116" s="11">
        <f t="shared" si="4"/>
        <v>744654894.37</v>
      </c>
      <c r="E116" s="10">
        <f t="shared" si="5"/>
        <v>0.79594468282607056</v>
      </c>
    </row>
    <row r="117" spans="1:5">
      <c r="A117">
        <f t="shared" si="3"/>
        <v>116</v>
      </c>
      <c r="B117" t="str" cm="1">
        <f t="array" ref="B117">INDEX('Enriched Data'!C:C,A117+1)</f>
        <v>One Fifteen-M-Woodridge, L.L.C.</v>
      </c>
      <c r="C117" s="11" cm="1">
        <f t="array" ref="C117">INDEX('Enriched Data'!G:G,A117+1)</f>
        <v>1096016.56</v>
      </c>
      <c r="D117" s="11">
        <f t="shared" si="4"/>
        <v>745750910.92999995</v>
      </c>
      <c r="E117" s="10">
        <f t="shared" si="5"/>
        <v>0.79711619000317613</v>
      </c>
    </row>
    <row r="118" spans="1:5">
      <c r="A118">
        <f t="shared" si="3"/>
        <v>117</v>
      </c>
      <c r="B118" t="str" cm="1">
        <f t="array" ref="B118">INDEX('Enriched Data'!C:C,A118+1)</f>
        <v>JM Holdings USA LLC</v>
      </c>
      <c r="C118" s="11" cm="1">
        <f t="array" ref="C118">INDEX('Enriched Data'!G:G,A118+1)</f>
        <v>1092959.49</v>
      </c>
      <c r="D118" s="11">
        <f t="shared" si="4"/>
        <v>746843870.41999996</v>
      </c>
      <c r="E118" s="10">
        <f t="shared" si="5"/>
        <v>0.79828442954767787</v>
      </c>
    </row>
    <row r="119" spans="1:5">
      <c r="A119">
        <f t="shared" si="3"/>
        <v>118</v>
      </c>
      <c r="B119" t="str" cm="1">
        <f t="array" ref="B119">INDEX('Enriched Data'!C:C,A119+1)</f>
        <v>AAFES</v>
      </c>
      <c r="C119" s="11" cm="1">
        <f t="array" ref="C119">INDEX('Enriched Data'!G:G,A119+1)</f>
        <v>1080799.0900000001</v>
      </c>
      <c r="D119" s="11">
        <f t="shared" si="4"/>
        <v>747924669.50999999</v>
      </c>
      <c r="E119" s="10">
        <f t="shared" si="5"/>
        <v>0.79943967111715231</v>
      </c>
    </row>
    <row r="120" spans="1:5">
      <c r="A120">
        <f t="shared" si="3"/>
        <v>119</v>
      </c>
      <c r="B120" t="str" cm="1">
        <f t="array" ref="B120">INDEX('Enriched Data'!C:C,A120+1)</f>
        <v>Almar Management LLC</v>
      </c>
      <c r="C120" s="11" cm="1">
        <f t="array" ref="C120">INDEX('Enriched Data'!G:G,A120+1)</f>
        <v>1058175.9099999999</v>
      </c>
      <c r="D120" s="11">
        <f t="shared" si="4"/>
        <v>748982845.41999996</v>
      </c>
      <c r="E120" s="10">
        <f t="shared" si="5"/>
        <v>0.80057073128398526</v>
      </c>
    </row>
    <row r="121" spans="1:5">
      <c r="A121">
        <f t="shared" si="3"/>
        <v>120</v>
      </c>
      <c r="B121" t="str" cm="1">
        <f t="array" ref="B121">INDEX('Enriched Data'!C:C,A121+1)</f>
        <v>First Industrial Realty Trust</v>
      </c>
      <c r="C121" s="11" cm="1">
        <f t="array" ref="C121">INDEX('Enriched Data'!G:G,A121+1)</f>
        <v>1054986.76</v>
      </c>
      <c r="D121" s="11">
        <f t="shared" si="4"/>
        <v>750037832.17999995</v>
      </c>
      <c r="E121" s="10">
        <f t="shared" si="5"/>
        <v>0.80169838264090587</v>
      </c>
    </row>
    <row r="122" spans="1:5">
      <c r="A122">
        <f t="shared" si="3"/>
        <v>121</v>
      </c>
      <c r="B122" t="str" cm="1">
        <f t="array" ref="B122">INDEX('Enriched Data'!C:C,A122+1)</f>
        <v>Austin Warehouse LLC</v>
      </c>
      <c r="C122" s="11" cm="1">
        <f t="array" ref="C122">INDEX('Enriched Data'!G:G,A122+1)</f>
        <v>1054323.57</v>
      </c>
      <c r="D122" s="11">
        <f t="shared" si="4"/>
        <v>751092155.75</v>
      </c>
      <c r="E122" s="10">
        <f t="shared" si="5"/>
        <v>0.80282532512911675</v>
      </c>
    </row>
    <row r="123" spans="1:5">
      <c r="A123">
        <f t="shared" si="3"/>
        <v>122</v>
      </c>
      <c r="B123" t="str" cm="1">
        <f t="array" ref="B123">INDEX('Enriched Data'!C:C,A123+1)</f>
        <v>Allegis dba Aerotek</v>
      </c>
      <c r="C123" s="11" cm="1">
        <f t="array" ref="C123">INDEX('Enriched Data'!G:G,A123+1)</f>
        <v>1048761.45</v>
      </c>
      <c r="D123" s="11">
        <f t="shared" si="4"/>
        <v>752140917.20000005</v>
      </c>
      <c r="E123" s="10">
        <f t="shared" si="5"/>
        <v>0.80394632239374453</v>
      </c>
    </row>
    <row r="124" spans="1:5">
      <c r="A124">
        <f t="shared" si="3"/>
        <v>123</v>
      </c>
      <c r="B124" t="str" cm="1">
        <f t="array" ref="B124">INDEX('Enriched Data'!C:C,A124+1)</f>
        <v>Nor Co 2534 Holdings, LLC</v>
      </c>
      <c r="C124" s="11" cm="1">
        <f t="array" ref="C124">INDEX('Enriched Data'!G:G,A124+1)</f>
        <v>1026633.53</v>
      </c>
      <c r="D124" s="11">
        <f t="shared" si="4"/>
        <v>753167550.73000002</v>
      </c>
      <c r="E124" s="10">
        <f t="shared" si="5"/>
        <v>0.80504366762788249</v>
      </c>
    </row>
    <row r="125" spans="1:5">
      <c r="A125">
        <f t="shared" si="3"/>
        <v>124</v>
      </c>
      <c r="B125" t="str" cm="1">
        <f t="array" ref="B125">INDEX('Enriched Data'!C:C,A125+1)</f>
        <v>CIGNITI TECHNOLOGIES LIMITED</v>
      </c>
      <c r="C125" s="11" cm="1">
        <f t="array" ref="C125">INDEX('Enriched Data'!G:G,A125+1)</f>
        <v>1013908</v>
      </c>
      <c r="D125" s="11">
        <f t="shared" si="4"/>
        <v>754181458.73000002</v>
      </c>
      <c r="E125" s="10">
        <f t="shared" si="5"/>
        <v>0.80612741083238748</v>
      </c>
    </row>
    <row r="126" spans="1:5">
      <c r="A126">
        <f t="shared" si="3"/>
        <v>125</v>
      </c>
      <c r="B126" t="str" cm="1">
        <f t="array" ref="B126">INDEX('Enriched Data'!C:C,A126+1)</f>
        <v>Florida Storage Equities LLC</v>
      </c>
      <c r="C126" s="11" cm="1">
        <f t="array" ref="C126">INDEX('Enriched Data'!G:G,A126+1)</f>
        <v>980693.27</v>
      </c>
      <c r="D126" s="11">
        <f t="shared" si="4"/>
        <v>755162152</v>
      </c>
      <c r="E126" s="10">
        <f t="shared" si="5"/>
        <v>0.8071756515673123</v>
      </c>
    </row>
    <row r="127" spans="1:5">
      <c r="A127">
        <f t="shared" si="3"/>
        <v>126</v>
      </c>
      <c r="B127" t="str" cm="1">
        <f t="array" ref="B127">INDEX('Enriched Data'!C:C,A127+1)</f>
        <v>Hurley Felds 1, LLC</v>
      </c>
      <c r="C127" s="11" cm="1">
        <f t="array" ref="C127">INDEX('Enriched Data'!G:G,A127+1)</f>
        <v>976337.24</v>
      </c>
      <c r="D127" s="11">
        <f t="shared" si="4"/>
        <v>756138489.24000001</v>
      </c>
      <c r="E127" s="10">
        <f t="shared" si="5"/>
        <v>0.80821923624082814</v>
      </c>
    </row>
    <row r="128" spans="1:5">
      <c r="A128">
        <f t="shared" si="3"/>
        <v>127</v>
      </c>
      <c r="B128" t="str" cm="1">
        <f t="array" ref="B128">INDEX('Enriched Data'!C:C,A128+1)</f>
        <v>GP Trans Inc.</v>
      </c>
      <c r="C128" s="11" cm="1">
        <f t="array" ref="C128">INDEX('Enriched Data'!G:G,A128+1)</f>
        <v>975139</v>
      </c>
      <c r="D128" s="11">
        <f t="shared" si="4"/>
        <v>757113628.24000001</v>
      </c>
      <c r="E128" s="10">
        <f t="shared" si="5"/>
        <v>0.80926154014285645</v>
      </c>
    </row>
    <row r="129" spans="1:5">
      <c r="A129">
        <f t="shared" si="3"/>
        <v>128</v>
      </c>
      <c r="B129" t="str" cm="1">
        <f t="array" ref="B129">INDEX('Enriched Data'!C:C,A129+1)</f>
        <v>Sureway Transportation Company</v>
      </c>
      <c r="C129" s="11" cm="1">
        <f t="array" ref="C129">INDEX('Enriched Data'!G:G,A129+1)</f>
        <v>969974.16</v>
      </c>
      <c r="D129" s="11">
        <f t="shared" si="4"/>
        <v>758083602.39999998</v>
      </c>
      <c r="E129" s="10">
        <f t="shared" si="5"/>
        <v>0.81029832346485942</v>
      </c>
    </row>
    <row r="130" spans="1:5">
      <c r="A130">
        <f t="shared" si="3"/>
        <v>129</v>
      </c>
      <c r="B130" t="str" cm="1">
        <f t="array" ref="B130">INDEX('Enriched Data'!C:C,A130+1)</f>
        <v>Traffic Tech, Inc.</v>
      </c>
      <c r="C130" s="11" cm="1">
        <f t="array" ref="C130">INDEX('Enriched Data'!G:G,A130+1)</f>
        <v>965736.06</v>
      </c>
      <c r="D130" s="11">
        <f t="shared" si="4"/>
        <v>759049338.45999992</v>
      </c>
      <c r="E130" s="10">
        <f t="shared" si="5"/>
        <v>0.81133057677814846</v>
      </c>
    </row>
    <row r="131" spans="1:5">
      <c r="A131">
        <f t="shared" si="3"/>
        <v>130</v>
      </c>
      <c r="B131" t="str" cm="1">
        <f t="array" ref="B131">INDEX('Enriched Data'!C:C,A131+1)</f>
        <v>FitzMark Inc.</v>
      </c>
      <c r="C131" s="11" cm="1">
        <f t="array" ref="C131">INDEX('Enriched Data'!G:G,A131+1)</f>
        <v>948186</v>
      </c>
      <c r="D131" s="11">
        <f t="shared" si="4"/>
        <v>759997524.45999992</v>
      </c>
      <c r="E131" s="10">
        <f t="shared" si="5"/>
        <v>0.81234407123139929</v>
      </c>
    </row>
    <row r="132" spans="1:5">
      <c r="A132">
        <f t="shared" ref="A132:A195" si="6">A131+1</f>
        <v>131</v>
      </c>
      <c r="B132" t="str" cm="1">
        <f t="array" ref="B132">INDEX('Enriched Data'!C:C,A132+1)</f>
        <v>McClellan Park LLC</v>
      </c>
      <c r="C132" s="11" cm="1">
        <f t="array" ref="C132">INDEX('Enriched Data'!G:G,A132+1)</f>
        <v>940083.42</v>
      </c>
      <c r="D132" s="11">
        <f t="shared" ref="D132:D195" si="7">D131+C132</f>
        <v>760937607.87999988</v>
      </c>
      <c r="E132" s="10">
        <f t="shared" ref="E132:E195" si="8">D132/$F$2</f>
        <v>0.81334890502114421</v>
      </c>
    </row>
    <row r="133" spans="1:5">
      <c r="A133">
        <f t="shared" si="6"/>
        <v>132</v>
      </c>
      <c r="B133" t="str" cm="1">
        <f t="array" ref="B133">INDEX('Enriched Data'!C:C,A133+1)</f>
        <v>Portable Storage Canada, LTD</v>
      </c>
      <c r="C133" s="11" cm="1">
        <f t="array" ref="C133">INDEX('Enriched Data'!G:G,A133+1)</f>
        <v>922489.08</v>
      </c>
      <c r="D133" s="11">
        <f t="shared" si="7"/>
        <v>761860096.95999992</v>
      </c>
      <c r="E133" s="10">
        <f t="shared" si="8"/>
        <v>0.81433493262096601</v>
      </c>
    </row>
    <row r="134" spans="1:5">
      <c r="A134">
        <f t="shared" si="6"/>
        <v>133</v>
      </c>
      <c r="B134" t="str" cm="1">
        <f t="array" ref="B134">INDEX('Enriched Data'!C:C,A134+1)</f>
        <v>PROS Inc.</v>
      </c>
      <c r="C134" s="11" cm="1">
        <f t="array" ref="C134">INDEX('Enriched Data'!G:G,A134+1)</f>
        <v>919265.91</v>
      </c>
      <c r="D134" s="11">
        <f t="shared" si="7"/>
        <v>762779362.86999989</v>
      </c>
      <c r="E134" s="10">
        <f t="shared" si="8"/>
        <v>0.81531751504767092</v>
      </c>
    </row>
    <row r="135" spans="1:5">
      <c r="A135">
        <f t="shared" si="6"/>
        <v>134</v>
      </c>
      <c r="B135" t="str" cm="1">
        <f t="array" ref="B135">INDEX('Enriched Data'!C:C,A135+1)</f>
        <v>Logik.io Inc</v>
      </c>
      <c r="C135" s="11" cm="1">
        <f t="array" ref="C135">INDEX('Enriched Data'!G:G,A135+1)</f>
        <v>919135.89</v>
      </c>
      <c r="D135" s="11">
        <f t="shared" si="7"/>
        <v>763698498.75999987</v>
      </c>
      <c r="E135" s="10">
        <f t="shared" si="8"/>
        <v>0.81629995849895443</v>
      </c>
    </row>
    <row r="136" spans="1:5">
      <c r="A136">
        <f t="shared" si="6"/>
        <v>135</v>
      </c>
      <c r="B136" t="str" cm="1">
        <f t="array" ref="B136">INDEX('Enriched Data'!C:C,A136+1)</f>
        <v>CB Luna Industrial No 2</v>
      </c>
      <c r="C136" s="11" cm="1">
        <f t="array" ref="C136">INDEX('Enriched Data'!G:G,A136+1)</f>
        <v>903325.94</v>
      </c>
      <c r="D136" s="11">
        <f t="shared" si="7"/>
        <v>764601824.69999993</v>
      </c>
      <c r="E136" s="10">
        <f t="shared" si="8"/>
        <v>0.81726550305420809</v>
      </c>
    </row>
    <row r="137" spans="1:5">
      <c r="A137">
        <f t="shared" si="6"/>
        <v>136</v>
      </c>
      <c r="B137" t="str" cm="1">
        <f t="array" ref="B137">INDEX('Enriched Data'!C:C,A137+1)</f>
        <v>RCCI Inc</v>
      </c>
      <c r="C137" s="11" cm="1">
        <f t="array" ref="C137">INDEX('Enriched Data'!G:G,A137+1)</f>
        <v>898733.1</v>
      </c>
      <c r="D137" s="11">
        <f t="shared" si="7"/>
        <v>765500557.79999995</v>
      </c>
      <c r="E137" s="10">
        <f t="shared" si="8"/>
        <v>0.8182261384272288</v>
      </c>
    </row>
    <row r="138" spans="1:5">
      <c r="A138">
        <f t="shared" si="6"/>
        <v>137</v>
      </c>
      <c r="B138" t="str" cm="1">
        <f t="array" ref="B138">INDEX('Enriched Data'!C:C,A138+1)</f>
        <v>ARA-B, LLC</v>
      </c>
      <c r="C138" s="11" cm="1">
        <f t="array" ref="C138">INDEX('Enriched Data'!G:G,A138+1)</f>
        <v>893729.56</v>
      </c>
      <c r="D138" s="11">
        <f t="shared" si="7"/>
        <v>766394287.3599999</v>
      </c>
      <c r="E138" s="10">
        <f t="shared" si="8"/>
        <v>0.81918142563012597</v>
      </c>
    </row>
    <row r="139" spans="1:5">
      <c r="A139">
        <f t="shared" si="6"/>
        <v>138</v>
      </c>
      <c r="B139" t="str" cm="1">
        <f t="array" ref="B139">INDEX('Enriched Data'!C:C,A139+1)</f>
        <v>Amazon Capital Services, Inc.</v>
      </c>
      <c r="C139" s="11" cm="1">
        <f t="array" ref="C139">INDEX('Enriched Data'!G:G,A139+1)</f>
        <v>871716.32</v>
      </c>
      <c r="D139" s="11">
        <f t="shared" si="7"/>
        <v>767266003.67999995</v>
      </c>
      <c r="E139" s="10">
        <f t="shared" si="8"/>
        <v>0.82011318338137773</v>
      </c>
    </row>
    <row r="140" spans="1:5">
      <c r="A140">
        <f t="shared" si="6"/>
        <v>139</v>
      </c>
      <c r="B140" t="str" cm="1">
        <f t="array" ref="B140">INDEX('Enriched Data'!C:C,A140+1)</f>
        <v>Ashley Romulus LLC</v>
      </c>
      <c r="C140" s="11" cm="1">
        <f t="array" ref="C140">INDEX('Enriched Data'!G:G,A140+1)</f>
        <v>870522.44</v>
      </c>
      <c r="D140" s="11">
        <f t="shared" si="7"/>
        <v>768136526.12</v>
      </c>
      <c r="E140" s="10">
        <f t="shared" si="8"/>
        <v>0.82104366502144666</v>
      </c>
    </row>
    <row r="141" spans="1:5">
      <c r="A141">
        <f t="shared" si="6"/>
        <v>140</v>
      </c>
      <c r="B141" t="str" cm="1">
        <f t="array" ref="B141">INDEX('Enriched Data'!C:C,A141+1)</f>
        <v>Manassas Logistics Center LLC</v>
      </c>
      <c r="C141" s="11" cm="1">
        <f t="array" ref="C141">INDEX('Enriched Data'!G:G,A141+1)</f>
        <v>864379.67</v>
      </c>
      <c r="D141" s="11">
        <f t="shared" si="7"/>
        <v>769000905.78999996</v>
      </c>
      <c r="E141" s="10">
        <f t="shared" si="8"/>
        <v>0.82196758079435184</v>
      </c>
    </row>
    <row r="142" spans="1:5">
      <c r="A142">
        <f t="shared" si="6"/>
        <v>141</v>
      </c>
      <c r="B142" t="str" cm="1">
        <f t="array" ref="B142">INDEX('Enriched Data'!C:C,A142+1)</f>
        <v>MTA Distributors LLC</v>
      </c>
      <c r="C142" s="11" cm="1">
        <f t="array" ref="C142">INDEX('Enriched Data'!G:G,A142+1)</f>
        <v>862739.67</v>
      </c>
      <c r="D142" s="11">
        <f t="shared" si="7"/>
        <v>769863645.45999992</v>
      </c>
      <c r="E142" s="10">
        <f t="shared" si="8"/>
        <v>0.82288974360855116</v>
      </c>
    </row>
    <row r="143" spans="1:5">
      <c r="A143">
        <f t="shared" si="6"/>
        <v>142</v>
      </c>
      <c r="B143" t="str" cm="1">
        <f t="array" ref="B143">INDEX('Enriched Data'!C:C,A143+1)</f>
        <v>Cascades West LLC</v>
      </c>
      <c r="C143" s="11" cm="1">
        <f t="array" ref="C143">INDEX('Enriched Data'!G:G,A143+1)</f>
        <v>862555.84</v>
      </c>
      <c r="D143" s="11">
        <f t="shared" si="7"/>
        <v>770726201.29999995</v>
      </c>
      <c r="E143" s="10">
        <f t="shared" si="8"/>
        <v>0.82381170993104402</v>
      </c>
    </row>
    <row r="144" spans="1:5">
      <c r="A144">
        <f t="shared" si="6"/>
        <v>143</v>
      </c>
      <c r="B144" t="str" cm="1">
        <f t="array" ref="B144">INDEX('Enriched Data'!C:C,A144+1)</f>
        <v>The Westwood Companies Inc</v>
      </c>
      <c r="C144" s="11" cm="1">
        <f t="array" ref="C144">INDEX('Enriched Data'!G:G,A144+1)</f>
        <v>860922.03</v>
      </c>
      <c r="D144" s="11">
        <f t="shared" si="7"/>
        <v>771587123.32999992</v>
      </c>
      <c r="E144" s="10">
        <f t="shared" si="8"/>
        <v>0.82473192991118127</v>
      </c>
    </row>
    <row r="145" spans="1:5">
      <c r="A145">
        <f t="shared" si="6"/>
        <v>144</v>
      </c>
      <c r="B145" t="str" cm="1">
        <f t="array" ref="B145">INDEX('Enriched Data'!C:C,A145+1)</f>
        <v>IL Trep Kingsland, LLC</v>
      </c>
      <c r="C145" s="11" cm="1">
        <f t="array" ref="C145">INDEX('Enriched Data'!G:G,A145+1)</f>
        <v>858347.43</v>
      </c>
      <c r="D145" s="11">
        <f t="shared" si="7"/>
        <v>772445470.75999987</v>
      </c>
      <c r="E145" s="10">
        <f t="shared" si="8"/>
        <v>0.82564939795992609</v>
      </c>
    </row>
    <row r="146" spans="1:5">
      <c r="A146">
        <f t="shared" si="6"/>
        <v>145</v>
      </c>
      <c r="B146" t="str" cm="1">
        <f t="array" ref="B146">INDEX('Enriched Data'!C:C,A146+1)</f>
        <v>Verizon Wireless- #920358656</v>
      </c>
      <c r="C146" s="11" cm="1">
        <f t="array" ref="C146">INDEX('Enriched Data'!G:G,A146+1)</f>
        <v>852513.17</v>
      </c>
      <c r="D146" s="11">
        <f t="shared" si="7"/>
        <v>773297983.92999983</v>
      </c>
      <c r="E146" s="10">
        <f t="shared" si="8"/>
        <v>0.82656062990083035</v>
      </c>
    </row>
    <row r="147" spans="1:5">
      <c r="A147">
        <f t="shared" si="6"/>
        <v>146</v>
      </c>
      <c r="B147" t="str" cm="1">
        <f t="array" ref="B147">INDEX('Enriched Data'!C:C,A147+1)</f>
        <v>WEX Canada</v>
      </c>
      <c r="C147" s="11" cm="1">
        <f t="array" ref="C147">INDEX('Enriched Data'!G:G,A147+1)</f>
        <v>850997.96</v>
      </c>
      <c r="D147" s="11">
        <f t="shared" si="7"/>
        <v>774148981.88999987</v>
      </c>
      <c r="E147" s="10">
        <f t="shared" si="8"/>
        <v>0.8274702422682223</v>
      </c>
    </row>
    <row r="148" spans="1:5">
      <c r="A148">
        <f t="shared" si="6"/>
        <v>147</v>
      </c>
      <c r="B148" t="str" cm="1">
        <f t="array" ref="B148">INDEX('Enriched Data'!C:C,A148+1)</f>
        <v>Russell Lane Technology</v>
      </c>
      <c r="C148" s="11" cm="1">
        <f t="array" ref="C148">INDEX('Enriched Data'!G:G,A148+1)</f>
        <v>843435.5</v>
      </c>
      <c r="D148" s="11">
        <f t="shared" si="7"/>
        <v>774992417.38999987</v>
      </c>
      <c r="E148" s="10">
        <f t="shared" si="8"/>
        <v>0.82837177129409367</v>
      </c>
    </row>
    <row r="149" spans="1:5">
      <c r="A149">
        <f t="shared" si="6"/>
        <v>148</v>
      </c>
      <c r="B149" t="str" cm="1">
        <f t="array" ref="B149">INDEX('Enriched Data'!C:C,A149+1)</f>
        <v>Frederickson 50, LLC</v>
      </c>
      <c r="C149" s="11" cm="1">
        <f t="array" ref="C149">INDEX('Enriched Data'!G:G,A149+1)</f>
        <v>831240</v>
      </c>
      <c r="D149" s="11">
        <f t="shared" si="7"/>
        <v>775823657.38999987</v>
      </c>
      <c r="E149" s="10">
        <f t="shared" si="8"/>
        <v>0.82926026482734583</v>
      </c>
    </row>
    <row r="150" spans="1:5">
      <c r="A150">
        <f t="shared" si="6"/>
        <v>149</v>
      </c>
      <c r="B150" t="str" cm="1">
        <f t="array" ref="B150">INDEX('Enriched Data'!C:C,A150+1)</f>
        <v>SPW - DIST, LLC</v>
      </c>
      <c r="C150" s="11" cm="1">
        <f t="array" ref="C150">INDEX('Enriched Data'!G:G,A150+1)</f>
        <v>829256.96</v>
      </c>
      <c r="D150" s="11">
        <f t="shared" si="7"/>
        <v>776652914.3499999</v>
      </c>
      <c r="E150" s="10">
        <f t="shared" si="8"/>
        <v>0.83014663873423722</v>
      </c>
    </row>
    <row r="151" spans="1:5">
      <c r="A151">
        <f t="shared" si="6"/>
        <v>150</v>
      </c>
      <c r="B151" t="str" cm="1">
        <f t="array" ref="B151">INDEX('Enriched Data'!C:C,A151+1)</f>
        <v>Adler AB Owner XVII LLC dba Adler Industrial LLC</v>
      </c>
      <c r="C151" s="11" cm="1">
        <f t="array" ref="C151">INDEX('Enriched Data'!G:G,A151+1)</f>
        <v>820340.91</v>
      </c>
      <c r="D151" s="11">
        <f t="shared" si="7"/>
        <v>777473255.25999987</v>
      </c>
      <c r="E151" s="10">
        <f t="shared" si="8"/>
        <v>0.83102348247803837</v>
      </c>
    </row>
    <row r="152" spans="1:5">
      <c r="A152">
        <f t="shared" si="6"/>
        <v>151</v>
      </c>
      <c r="B152" t="str" cm="1">
        <f t="array" ref="B152">INDEX('Enriched Data'!C:C,A152+1)</f>
        <v>HG Logistics LLC</v>
      </c>
      <c r="C152" s="11" cm="1">
        <f t="array" ref="C152">INDEX('Enriched Data'!G:G,A152+1)</f>
        <v>818725</v>
      </c>
      <c r="D152" s="11">
        <f t="shared" si="7"/>
        <v>778291980.25999987</v>
      </c>
      <c r="E152" s="10">
        <f t="shared" si="8"/>
        <v>0.83189859901238694</v>
      </c>
    </row>
    <row r="153" spans="1:5">
      <c r="A153">
        <f t="shared" si="6"/>
        <v>152</v>
      </c>
      <c r="B153" t="str" cm="1">
        <f t="array" ref="B153">INDEX('Enriched Data'!C:C,A153+1)</f>
        <v>Kennesaw 75 Investors LLC</v>
      </c>
      <c r="C153" s="11" cm="1">
        <f t="array" ref="C153">INDEX('Enriched Data'!G:G,A153+1)</f>
        <v>806588.05</v>
      </c>
      <c r="D153" s="11">
        <f t="shared" si="7"/>
        <v>779098568.30999982</v>
      </c>
      <c r="E153" s="10">
        <f t="shared" si="8"/>
        <v>0.83276074263687982</v>
      </c>
    </row>
    <row r="154" spans="1:5">
      <c r="A154">
        <f t="shared" si="6"/>
        <v>153</v>
      </c>
      <c r="B154" t="str" cm="1">
        <f t="array" ref="B154">INDEX('Enriched Data'!C:C,A154+1)</f>
        <v>N&amp;G Realty Co.</v>
      </c>
      <c r="C154" s="11" cm="1">
        <f t="array" ref="C154">INDEX('Enriched Data'!G:G,A154+1)</f>
        <v>805910.17</v>
      </c>
      <c r="D154" s="11">
        <f t="shared" si="7"/>
        <v>779904478.47999978</v>
      </c>
      <c r="E154" s="10">
        <f t="shared" si="8"/>
        <v>0.8336221616908559</v>
      </c>
    </row>
    <row r="155" spans="1:5">
      <c r="A155">
        <f t="shared" si="6"/>
        <v>154</v>
      </c>
      <c r="B155" t="str" cm="1">
        <f t="array" ref="B155">INDEX('Enriched Data'!C:C,A155+1)</f>
        <v>Usa Logistics Inc</v>
      </c>
      <c r="C155" s="11" cm="1">
        <f t="array" ref="C155">INDEX('Enriched Data'!G:G,A155+1)</f>
        <v>805554</v>
      </c>
      <c r="D155" s="11">
        <f t="shared" si="7"/>
        <v>780710032.47999978</v>
      </c>
      <c r="E155" s="10">
        <f t="shared" si="8"/>
        <v>0.83448320004281862</v>
      </c>
    </row>
    <row r="156" spans="1:5">
      <c r="A156">
        <f t="shared" si="6"/>
        <v>155</v>
      </c>
      <c r="B156" t="str" cm="1">
        <f t="array" ref="B156">INDEX('Enriched Data'!C:C,A156+1)</f>
        <v>PVR Consulting Inc</v>
      </c>
      <c r="C156" s="11" cm="1">
        <f t="array" ref="C156">INDEX('Enriched Data'!G:G,A156+1)</f>
        <v>802499.47</v>
      </c>
      <c r="D156" s="11">
        <f t="shared" si="7"/>
        <v>781512531.94999981</v>
      </c>
      <c r="E156" s="10">
        <f t="shared" si="8"/>
        <v>0.83534097347712555</v>
      </c>
    </row>
    <row r="157" spans="1:5">
      <c r="A157">
        <f t="shared" si="6"/>
        <v>156</v>
      </c>
      <c r="B157" t="str" cm="1">
        <f t="array" ref="B157">INDEX('Enriched Data'!C:C,A157+1)</f>
        <v>BCP Owner LLC</v>
      </c>
      <c r="C157" s="11" cm="1">
        <f t="array" ref="C157">INDEX('Enriched Data'!G:G,A157+1)</f>
        <v>792118.34</v>
      </c>
      <c r="D157" s="11">
        <f t="shared" si="7"/>
        <v>782304650.28999984</v>
      </c>
      <c r="E157" s="10">
        <f t="shared" si="8"/>
        <v>0.83618765075764689</v>
      </c>
    </row>
    <row r="158" spans="1:5">
      <c r="A158">
        <f t="shared" si="6"/>
        <v>157</v>
      </c>
      <c r="B158" t="str" cm="1">
        <f t="array" ref="B158">INDEX('Enriched Data'!C:C,A158+1)</f>
        <v>Sherwin Williams District Credit</v>
      </c>
      <c r="C158" s="11" cm="1">
        <f t="array" ref="C158">INDEX('Enriched Data'!G:G,A158+1)</f>
        <v>775947.45</v>
      </c>
      <c r="D158" s="11">
        <f t="shared" si="7"/>
        <v>783080597.73999989</v>
      </c>
      <c r="E158" s="10">
        <f t="shared" si="8"/>
        <v>0.83701704334158</v>
      </c>
    </row>
    <row r="159" spans="1:5">
      <c r="A159">
        <f t="shared" si="6"/>
        <v>158</v>
      </c>
      <c r="B159" t="str" cm="1">
        <f t="array" ref="B159">INDEX('Enriched Data'!C:C,A159+1)</f>
        <v>Mansfield Oil Co of Gainesville, .</v>
      </c>
      <c r="C159" s="11" cm="1">
        <f t="array" ref="C159">INDEX('Enriched Data'!G:G,A159+1)</f>
        <v>772170.1</v>
      </c>
      <c r="D159" s="11">
        <f t="shared" si="7"/>
        <v>783852767.83999991</v>
      </c>
      <c r="E159" s="10">
        <f t="shared" si="8"/>
        <v>0.83784239840199659</v>
      </c>
    </row>
    <row r="160" spans="1:5">
      <c r="A160">
        <f t="shared" si="6"/>
        <v>159</v>
      </c>
      <c r="B160" t="str" cm="1">
        <f t="array" ref="B160">INDEX('Enriched Data'!C:C,A160+1)</f>
        <v>Guide Southbelt DRE, LLC</v>
      </c>
      <c r="C160" s="11" cm="1">
        <f t="array" ref="C160">INDEX('Enriched Data'!G:G,A160+1)</f>
        <v>767773</v>
      </c>
      <c r="D160" s="11">
        <f t="shared" si="7"/>
        <v>784620540.83999991</v>
      </c>
      <c r="E160" s="10">
        <f t="shared" si="8"/>
        <v>0.83866305350221515</v>
      </c>
    </row>
    <row r="161" spans="1:5">
      <c r="A161">
        <f t="shared" si="6"/>
        <v>160</v>
      </c>
      <c r="B161" t="str" cm="1">
        <f t="array" ref="B161">INDEX('Enriched Data'!C:C,A161+1)</f>
        <v>Colliers Macaulay Nicolls Inc. ITF</v>
      </c>
      <c r="C161" s="11" cm="1">
        <f t="array" ref="C161">INDEX('Enriched Data'!G:G,A161+1)</f>
        <v>765019.18</v>
      </c>
      <c r="D161" s="11">
        <f t="shared" si="7"/>
        <v>785385560.01999986</v>
      </c>
      <c r="E161" s="10">
        <f t="shared" si="8"/>
        <v>0.83948076510685865</v>
      </c>
    </row>
    <row r="162" spans="1:5">
      <c r="A162">
        <f t="shared" si="6"/>
        <v>161</v>
      </c>
      <c r="B162" t="str" cm="1">
        <f t="array" ref="B162">INDEX('Enriched Data'!C:C,A162+1)</f>
        <v>SL Project Texas 2, LP</v>
      </c>
      <c r="C162" s="11" cm="1">
        <f t="array" ref="C162">INDEX('Enriched Data'!G:G,A162+1)</f>
        <v>756920.93</v>
      </c>
      <c r="D162" s="11">
        <f t="shared" si="7"/>
        <v>786142480.94999981</v>
      </c>
      <c r="E162" s="10">
        <f t="shared" si="8"/>
        <v>0.8402898206762347</v>
      </c>
    </row>
    <row r="163" spans="1:5">
      <c r="A163">
        <f t="shared" si="6"/>
        <v>162</v>
      </c>
      <c r="B163" t="str" cm="1">
        <f t="array" ref="B163">INDEX('Enriched Data'!C:C,A163+1)</f>
        <v>Wesgroup Properties Ltd.</v>
      </c>
      <c r="C163" s="11" cm="1">
        <f t="array" ref="C163">INDEX('Enriched Data'!G:G,A163+1)</f>
        <v>754877.15</v>
      </c>
      <c r="D163" s="11">
        <f t="shared" si="7"/>
        <v>786897358.09999979</v>
      </c>
      <c r="E163" s="10">
        <f t="shared" si="8"/>
        <v>0.84109669169564527</v>
      </c>
    </row>
    <row r="164" spans="1:5">
      <c r="A164">
        <f t="shared" si="6"/>
        <v>163</v>
      </c>
      <c r="B164" t="str" cm="1">
        <f t="array" ref="B164">INDEX('Enriched Data'!C:C,A164+1)</f>
        <v>Cosa Nova Fashions</v>
      </c>
      <c r="C164" s="11" cm="1">
        <f t="array" ref="C164">INDEX('Enriched Data'!G:G,A164+1)</f>
        <v>751421.85</v>
      </c>
      <c r="D164" s="11">
        <f t="shared" si="7"/>
        <v>787648779.94999981</v>
      </c>
      <c r="E164" s="10">
        <f t="shared" si="8"/>
        <v>0.84189986942346084</v>
      </c>
    </row>
    <row r="165" spans="1:5">
      <c r="A165">
        <f t="shared" si="6"/>
        <v>164</v>
      </c>
      <c r="B165" t="str" cm="1">
        <f t="array" ref="B165">INDEX('Enriched Data'!C:C,A165+1)</f>
        <v>Mastech Digital Technologies Inc.</v>
      </c>
      <c r="C165" s="11" cm="1">
        <f t="array" ref="C165">INDEX('Enriched Data'!G:G,A165+1)</f>
        <v>749398</v>
      </c>
      <c r="D165" s="11">
        <f t="shared" si="7"/>
        <v>788398177.94999981</v>
      </c>
      <c r="E165" s="10">
        <f t="shared" si="8"/>
        <v>0.84270088390403464</v>
      </c>
    </row>
    <row r="166" spans="1:5">
      <c r="A166">
        <f t="shared" si="6"/>
        <v>165</v>
      </c>
      <c r="B166" t="str" cm="1">
        <f t="array" ref="B166">INDEX('Enriched Data'!C:C,A166+1)</f>
        <v>Aetna Life Insurance Company Voluntary</v>
      </c>
      <c r="C166" s="11" cm="1">
        <f t="array" ref="C166">INDEX('Enriched Data'!G:G,A166+1)</f>
        <v>743813.29</v>
      </c>
      <c r="D166" s="11">
        <f t="shared" si="7"/>
        <v>789141991.23999977</v>
      </c>
      <c r="E166" s="10">
        <f t="shared" si="8"/>
        <v>0.84349592901508796</v>
      </c>
    </row>
    <row r="167" spans="1:5">
      <c r="A167">
        <f t="shared" si="6"/>
        <v>166</v>
      </c>
      <c r="B167" t="str" cm="1">
        <f t="array" ref="B167">INDEX('Enriched Data'!C:C,A167+1)</f>
        <v>RSM US LLP</v>
      </c>
      <c r="C167" s="11" cm="1">
        <f t="array" ref="C167">INDEX('Enriched Data'!G:G,A167+1)</f>
        <v>742260.38</v>
      </c>
      <c r="D167" s="11">
        <f t="shared" si="7"/>
        <v>789884251.61999977</v>
      </c>
      <c r="E167" s="10">
        <f t="shared" si="8"/>
        <v>0.84428931425595621</v>
      </c>
    </row>
    <row r="168" spans="1:5">
      <c r="A168">
        <f t="shared" si="6"/>
        <v>167</v>
      </c>
      <c r="B168" t="str" cm="1">
        <f t="array" ref="B168">INDEX('Enriched Data'!C:C,A168+1)</f>
        <v>Avot Realty Sanford Logistics Ctr</v>
      </c>
      <c r="C168" s="11" cm="1">
        <f t="array" ref="C168">INDEX('Enriched Data'!G:G,A168+1)</f>
        <v>741625.92</v>
      </c>
      <c r="D168" s="11">
        <f t="shared" si="7"/>
        <v>790625877.53999972</v>
      </c>
      <c r="E168" s="10">
        <f t="shared" si="8"/>
        <v>0.84508202133695831</v>
      </c>
    </row>
    <row r="169" spans="1:5">
      <c r="A169">
        <f t="shared" si="6"/>
        <v>168</v>
      </c>
      <c r="B169" t="str" cm="1">
        <f t="array" ref="B169">INDEX('Enriched Data'!C:C,A169+1)</f>
        <v>San Marcos Warehouse LLC</v>
      </c>
      <c r="C169" s="11" cm="1">
        <f t="array" ref="C169">INDEX('Enriched Data'!G:G,A169+1)</f>
        <v>736646.23</v>
      </c>
      <c r="D169" s="11">
        <f t="shared" si="7"/>
        <v>791362523.76999974</v>
      </c>
      <c r="E169" s="10">
        <f t="shared" si="8"/>
        <v>0.84586940574055969</v>
      </c>
    </row>
    <row r="170" spans="1:5">
      <c r="A170">
        <f t="shared" si="6"/>
        <v>169</v>
      </c>
      <c r="B170" t="str" cm="1">
        <f t="array" ref="B170">INDEX('Enriched Data'!C:C,A170+1)</f>
        <v>AmeriGas -371473</v>
      </c>
      <c r="C170" s="11" cm="1">
        <f t="array" ref="C170">INDEX('Enriched Data'!G:G,A170+1)</f>
        <v>731030.66</v>
      </c>
      <c r="D170" s="11">
        <f t="shared" si="7"/>
        <v>792093554.42999971</v>
      </c>
      <c r="E170" s="10">
        <f t="shared" si="8"/>
        <v>0.84665078778908842</v>
      </c>
    </row>
    <row r="171" spans="1:5">
      <c r="A171">
        <f t="shared" si="6"/>
        <v>170</v>
      </c>
      <c r="B171" t="str" cm="1">
        <f t="array" ref="B171">INDEX('Enriched Data'!C:C,A171+1)</f>
        <v>TCD245 Sunbelt Property LLC-Do Not Use</v>
      </c>
      <c r="C171" s="11" cm="1">
        <f t="array" ref="C171">INDEX('Enriched Data'!G:G,A171+1)</f>
        <v>727990.13</v>
      </c>
      <c r="D171" s="11">
        <f t="shared" si="7"/>
        <v>792821544.5599997</v>
      </c>
      <c r="E171" s="10">
        <f t="shared" si="8"/>
        <v>0.84742891988424318</v>
      </c>
    </row>
    <row r="172" spans="1:5">
      <c r="A172">
        <f t="shared" si="6"/>
        <v>171</v>
      </c>
      <c r="B172" t="str" cm="1">
        <f t="array" ref="B172">INDEX('Enriched Data'!C:C,A172+1)</f>
        <v>Marlboro Dist Rte 9 LLC</v>
      </c>
      <c r="C172" s="11" cm="1">
        <f t="array" ref="C172">INDEX('Enriched Data'!G:G,A172+1)</f>
        <v>727935.02</v>
      </c>
      <c r="D172" s="11">
        <f t="shared" si="7"/>
        <v>793549479.57999969</v>
      </c>
      <c r="E172" s="10">
        <f t="shared" si="8"/>
        <v>0.84820699307357217</v>
      </c>
    </row>
    <row r="173" spans="1:5">
      <c r="A173">
        <f t="shared" si="6"/>
        <v>172</v>
      </c>
      <c r="B173" t="str" cm="1">
        <f t="array" ref="B173">INDEX('Enriched Data'!C:C,A173+1)</f>
        <v>Columbia Georgia Horizon Industrl</v>
      </c>
      <c r="C173" s="11" cm="1">
        <f t="array" ref="C173">INDEX('Enriched Data'!G:G,A173+1)</f>
        <v>726084.77</v>
      </c>
      <c r="D173" s="11">
        <f t="shared" si="7"/>
        <v>794275564.34999967</v>
      </c>
      <c r="E173" s="10">
        <f t="shared" si="8"/>
        <v>0.84898308857275151</v>
      </c>
    </row>
    <row r="174" spans="1:5">
      <c r="A174">
        <f t="shared" si="6"/>
        <v>173</v>
      </c>
      <c r="B174" t="str" cm="1">
        <f t="array" ref="B174">INDEX('Enriched Data'!C:C,A174+1)</f>
        <v>Warren Warehouse,LLC</v>
      </c>
      <c r="C174" s="11" cm="1">
        <f t="array" ref="C174">INDEX('Enriched Data'!G:G,A174+1)</f>
        <v>722774.2</v>
      </c>
      <c r="D174" s="11">
        <f t="shared" si="7"/>
        <v>794998338.54999971</v>
      </c>
      <c r="E174" s="10">
        <f t="shared" si="8"/>
        <v>0.84975564547894178</v>
      </c>
    </row>
    <row r="175" spans="1:5">
      <c r="A175">
        <f t="shared" si="6"/>
        <v>174</v>
      </c>
      <c r="B175" t="str" cm="1">
        <f t="array" ref="B175">INDEX('Enriched Data'!C:C,A175+1)</f>
        <v>94-40 Merrick Blvd. LLC- DO NOT USE-USE 111153</v>
      </c>
      <c r="C175" s="11" cm="1">
        <f t="array" ref="C175">INDEX('Enriched Data'!G:G,A175+1)</f>
        <v>717324.83</v>
      </c>
      <c r="D175" s="11">
        <f t="shared" si="7"/>
        <v>795715663.37999976</v>
      </c>
      <c r="E175" s="10">
        <f t="shared" si="8"/>
        <v>0.85052237767745997</v>
      </c>
    </row>
    <row r="176" spans="1:5">
      <c r="A176">
        <f t="shared" si="6"/>
        <v>175</v>
      </c>
      <c r="B176" t="str" cm="1">
        <f t="array" ref="B176">INDEX('Enriched Data'!C:C,A176+1)</f>
        <v>TransForce Inc.</v>
      </c>
      <c r="C176" s="11" cm="1">
        <f t="array" ref="C176">INDEX('Enriched Data'!G:G,A176+1)</f>
        <v>709450.04</v>
      </c>
      <c r="D176" s="11">
        <f t="shared" si="7"/>
        <v>796425113.41999972</v>
      </c>
      <c r="E176" s="10">
        <f t="shared" si="8"/>
        <v>0.85128069269202311</v>
      </c>
    </row>
    <row r="177" spans="1:5">
      <c r="A177">
        <f t="shared" si="6"/>
        <v>176</v>
      </c>
      <c r="B177" t="str" cm="1">
        <f t="array" ref="B177">INDEX('Enriched Data'!C:C,A177+1)</f>
        <v>OCF-S West 38, LLC</v>
      </c>
      <c r="C177" s="11" cm="1">
        <f t="array" ref="C177">INDEX('Enriched Data'!G:G,A177+1)</f>
        <v>707132.84</v>
      </c>
      <c r="D177" s="11">
        <f t="shared" si="7"/>
        <v>797132246.25999975</v>
      </c>
      <c r="E177" s="10">
        <f t="shared" si="8"/>
        <v>0.85203653090420051</v>
      </c>
    </row>
    <row r="178" spans="1:5">
      <c r="A178">
        <f t="shared" si="6"/>
        <v>177</v>
      </c>
      <c r="B178" t="str" cm="1">
        <f t="array" ref="B178">INDEX('Enriched Data'!C:C,A178+1)</f>
        <v>Ivoyant, LLC</v>
      </c>
      <c r="C178" s="11" cm="1">
        <f t="array" ref="C178">INDEX('Enriched Data'!G:G,A178+1)</f>
        <v>705789.57</v>
      </c>
      <c r="D178" s="11">
        <f t="shared" si="7"/>
        <v>797838035.8299998</v>
      </c>
      <c r="E178" s="10">
        <f t="shared" si="8"/>
        <v>0.85279093332562139</v>
      </c>
    </row>
    <row r="179" spans="1:5">
      <c r="A179">
        <f t="shared" si="6"/>
        <v>178</v>
      </c>
      <c r="B179" t="str" cm="1">
        <f t="array" ref="B179">INDEX('Enriched Data'!C:C,A179+1)</f>
        <v>Trace3 LLC</v>
      </c>
      <c r="C179" s="11" cm="1">
        <f t="array" ref="C179">INDEX('Enriched Data'!G:G,A179+1)</f>
        <v>696386.61</v>
      </c>
      <c r="D179" s="11">
        <f t="shared" si="7"/>
        <v>798534422.43999982</v>
      </c>
      <c r="E179" s="10">
        <f t="shared" si="8"/>
        <v>0.85353528513692545</v>
      </c>
    </row>
    <row r="180" spans="1:5">
      <c r="A180">
        <f t="shared" si="6"/>
        <v>179</v>
      </c>
      <c r="B180" t="str" cm="1">
        <f t="array" ref="B180">INDEX('Enriched Data'!C:C,A180+1)</f>
        <v>BCI IV Operating Partnership LP</v>
      </c>
      <c r="C180" s="11" cm="1">
        <f t="array" ref="C180">INDEX('Enriched Data'!G:G,A180+1)</f>
        <v>690883.49</v>
      </c>
      <c r="D180" s="11">
        <f t="shared" si="7"/>
        <v>799225305.92999983</v>
      </c>
      <c r="E180" s="10">
        <f t="shared" si="8"/>
        <v>0.85427375478840484</v>
      </c>
    </row>
    <row r="181" spans="1:5">
      <c r="A181">
        <f t="shared" si="6"/>
        <v>180</v>
      </c>
      <c r="B181" t="str" cm="1">
        <f t="array" ref="B181">INDEX('Enriched Data'!C:C,A181+1)</f>
        <v>CK Ridge Creek West lll, LLC</v>
      </c>
      <c r="C181" s="11" cm="1">
        <f t="array" ref="C181">INDEX('Enriched Data'!G:G,A181+1)</f>
        <v>688317.92</v>
      </c>
      <c r="D181" s="11">
        <f t="shared" si="7"/>
        <v>799913623.84999979</v>
      </c>
      <c r="E181" s="10">
        <f t="shared" si="8"/>
        <v>0.85500948216045336</v>
      </c>
    </row>
    <row r="182" spans="1:5">
      <c r="A182">
        <f t="shared" si="6"/>
        <v>181</v>
      </c>
      <c r="B182" t="str" cm="1">
        <f t="array" ref="B182">INDEX('Enriched Data'!C:C,A182+1)</f>
        <v>Stevens Group Management dba L&amp;M Ent. Ltd.</v>
      </c>
      <c r="C182" s="11" cm="1">
        <f t="array" ref="C182">INDEX('Enriched Data'!G:G,A182+1)</f>
        <v>682975.51</v>
      </c>
      <c r="D182" s="11">
        <f t="shared" si="7"/>
        <v>800596599.35999978</v>
      </c>
      <c r="E182" s="10">
        <f t="shared" si="8"/>
        <v>0.85573949915194147</v>
      </c>
    </row>
    <row r="183" spans="1:5">
      <c r="A183">
        <f t="shared" si="6"/>
        <v>182</v>
      </c>
      <c r="B183" t="str" cm="1">
        <f t="array" ref="B183">INDEX('Enriched Data'!C:C,A183+1)</f>
        <v>Fastenal</v>
      </c>
      <c r="C183" s="11" cm="1">
        <f t="array" ref="C183">INDEX('Enriched Data'!G:G,A183+1)</f>
        <v>681424.55</v>
      </c>
      <c r="D183" s="11">
        <f t="shared" si="7"/>
        <v>801278023.90999973</v>
      </c>
      <c r="E183" s="10">
        <f t="shared" si="8"/>
        <v>0.85646785835755512</v>
      </c>
    </row>
    <row r="184" spans="1:5">
      <c r="A184">
        <f t="shared" si="6"/>
        <v>183</v>
      </c>
      <c r="B184" t="str" cm="1">
        <f t="array" ref="B184">INDEX('Enriched Data'!C:C,A184+1)</f>
        <v>Merritt Properties, LLC-Elkridge</v>
      </c>
      <c r="C184" s="11" cm="1">
        <f t="array" ref="C184">INDEX('Enriched Data'!G:G,A184+1)</f>
        <v>678722.49</v>
      </c>
      <c r="D184" s="11">
        <f t="shared" si="7"/>
        <v>801956746.39999974</v>
      </c>
      <c r="E184" s="10">
        <f t="shared" si="8"/>
        <v>0.85719332939268078</v>
      </c>
    </row>
    <row r="185" spans="1:5">
      <c r="A185">
        <f t="shared" si="6"/>
        <v>184</v>
      </c>
      <c r="B185" t="str" cm="1">
        <f t="array" ref="B185">INDEX('Enriched Data'!C:C,A185+1)</f>
        <v>Teleport Logistic Services Inc.</v>
      </c>
      <c r="C185" s="11" cm="1">
        <f t="array" ref="C185">INDEX('Enriched Data'!G:G,A185+1)</f>
        <v>676156.76</v>
      </c>
      <c r="D185" s="11">
        <f t="shared" si="7"/>
        <v>802632903.15999973</v>
      </c>
      <c r="E185" s="10">
        <f t="shared" si="8"/>
        <v>0.85791605797735515</v>
      </c>
    </row>
    <row r="186" spans="1:5">
      <c r="A186">
        <f t="shared" si="6"/>
        <v>185</v>
      </c>
      <c r="B186" t="str" cm="1">
        <f t="array" ref="B186">INDEX('Enriched Data'!C:C,A186+1)</f>
        <v>Clackamas Commons II LLC</v>
      </c>
      <c r="C186" s="11" cm="1">
        <f t="array" ref="C186">INDEX('Enriched Data'!G:G,A186+1)</f>
        <v>673399.83</v>
      </c>
      <c r="D186" s="11">
        <f t="shared" si="7"/>
        <v>803306302.98999977</v>
      </c>
      <c r="E186" s="10">
        <f t="shared" si="8"/>
        <v>0.85863583974224633</v>
      </c>
    </row>
    <row r="187" spans="1:5">
      <c r="A187">
        <f t="shared" si="6"/>
        <v>186</v>
      </c>
      <c r="B187" t="str" cm="1">
        <f t="array" ref="B187">INDEX('Enriched Data'!C:C,A187+1)</f>
        <v>799A Kahelu Ave, LLC</v>
      </c>
      <c r="C187" s="11" cm="1">
        <f t="array" ref="C187">INDEX('Enriched Data'!G:G,A187+1)</f>
        <v>671370.87</v>
      </c>
      <c r="D187" s="11">
        <f t="shared" si="7"/>
        <v>803977673.85999978</v>
      </c>
      <c r="E187" s="10">
        <f t="shared" si="8"/>
        <v>0.85935345279793296</v>
      </c>
    </row>
    <row r="188" spans="1:5">
      <c r="A188">
        <f t="shared" si="6"/>
        <v>187</v>
      </c>
      <c r="B188" t="str" cm="1">
        <f t="array" ref="B188">INDEX('Enriched Data'!C:C,A188+1)</f>
        <v>Carrot HR Inc. dba Assembly</v>
      </c>
      <c r="C188" s="11" cm="1">
        <f t="array" ref="C188">INDEX('Enriched Data'!G:G,A188+1)</f>
        <v>670458.24</v>
      </c>
      <c r="D188" s="11">
        <f t="shared" si="7"/>
        <v>804648132.09999979</v>
      </c>
      <c r="E188" s="10">
        <f t="shared" si="8"/>
        <v>0.86007009036416604</v>
      </c>
    </row>
    <row r="189" spans="1:5">
      <c r="A189">
        <f t="shared" si="6"/>
        <v>188</v>
      </c>
      <c r="B189" t="str" cm="1">
        <f t="array" ref="B189">INDEX('Enriched Data'!C:C,A189+1)</f>
        <v>Prologis USLV Subreit 4, LLC</v>
      </c>
      <c r="C189" s="11" cm="1">
        <f t="array" ref="C189">INDEX('Enriched Data'!G:G,A189+1)</f>
        <v>667222.65</v>
      </c>
      <c r="D189" s="11">
        <f t="shared" si="7"/>
        <v>805315354.74999976</v>
      </c>
      <c r="E189" s="10">
        <f t="shared" si="8"/>
        <v>0.86078326948182693</v>
      </c>
    </row>
    <row r="190" spans="1:5">
      <c r="A190">
        <f t="shared" si="6"/>
        <v>189</v>
      </c>
      <c r="B190" t="str" cm="1">
        <f t="array" ref="B190">INDEX('Enriched Data'!C:C,A190+1)</f>
        <v>TDC Charleston Partners I, LLC</v>
      </c>
      <c r="C190" s="11" cm="1">
        <f t="array" ref="C190">INDEX('Enriched Data'!G:G,A190+1)</f>
        <v>661718.13</v>
      </c>
      <c r="D190" s="11">
        <f t="shared" si="7"/>
        <v>805977072.87999976</v>
      </c>
      <c r="E190" s="10">
        <f t="shared" si="8"/>
        <v>0.86149056494323484</v>
      </c>
    </row>
    <row r="191" spans="1:5">
      <c r="A191">
        <f t="shared" si="6"/>
        <v>190</v>
      </c>
      <c r="B191" t="str" cm="1">
        <f t="array" ref="B191">INDEX('Enriched Data'!C:C,A191+1)</f>
        <v>Guide Kenswick DRE, LLC</v>
      </c>
      <c r="C191" s="11" cm="1">
        <f t="array" ref="C191">INDEX('Enriched Data'!G:G,A191+1)</f>
        <v>659917</v>
      </c>
      <c r="D191" s="11">
        <f t="shared" si="7"/>
        <v>806636989.87999976</v>
      </c>
      <c r="E191" s="10">
        <f t="shared" si="8"/>
        <v>0.86219593521774418</v>
      </c>
    </row>
    <row r="192" spans="1:5">
      <c r="A192">
        <f t="shared" si="6"/>
        <v>191</v>
      </c>
      <c r="B192" t="str" cm="1">
        <f t="array" ref="B192">INDEX('Enriched Data'!C:C,A192+1)</f>
        <v>Franco Transport, Inc.</v>
      </c>
      <c r="C192" s="11" cm="1">
        <f t="array" ref="C192">INDEX('Enriched Data'!G:G,A192+1)</f>
        <v>658942.5</v>
      </c>
      <c r="D192" s="11">
        <f t="shared" si="7"/>
        <v>807295932.37999976</v>
      </c>
      <c r="E192" s="10">
        <f t="shared" si="8"/>
        <v>0.8629002638713642</v>
      </c>
    </row>
    <row r="193" spans="1:5">
      <c r="A193">
        <f t="shared" si="6"/>
        <v>192</v>
      </c>
      <c r="B193" t="str" cm="1">
        <f t="array" ref="B193">INDEX('Enriched Data'!C:C,A193+1)</f>
        <v>Walker Ford Company Inc</v>
      </c>
      <c r="C193" s="11" cm="1">
        <f t="array" ref="C193">INDEX('Enriched Data'!G:G,A193+1)</f>
        <v>655047.81000000006</v>
      </c>
      <c r="D193" s="11">
        <f t="shared" si="7"/>
        <v>807950980.1899997</v>
      </c>
      <c r="E193" s="10">
        <f t="shared" si="8"/>
        <v>0.86360042957940997</v>
      </c>
    </row>
    <row r="194" spans="1:5">
      <c r="A194">
        <f t="shared" si="6"/>
        <v>193</v>
      </c>
      <c r="B194" t="str" cm="1">
        <f t="array" ref="B194">INDEX('Enriched Data'!C:C,A194+1)</f>
        <v>West Gate Industrial Park LLC</v>
      </c>
      <c r="C194" s="11" cm="1">
        <f t="array" ref="C194">INDEX('Enriched Data'!G:G,A194+1)</f>
        <v>654547.31999999995</v>
      </c>
      <c r="D194" s="11">
        <f t="shared" si="7"/>
        <v>808605527.50999975</v>
      </c>
      <c r="E194" s="10">
        <f t="shared" si="8"/>
        <v>0.86430006032507611</v>
      </c>
    </row>
    <row r="195" spans="1:5">
      <c r="A195">
        <f t="shared" si="6"/>
        <v>194</v>
      </c>
      <c r="B195" t="str" cm="1">
        <f t="array" ref="B195">INDEX('Enriched Data'!C:C,A195+1)</f>
        <v>Calverton Dist RTE 25 LLC</v>
      </c>
      <c r="C195" s="11" cm="1">
        <f t="array" ref="C195">INDEX('Enriched Data'!G:G,A195+1)</f>
        <v>652276.62</v>
      </c>
      <c r="D195" s="11">
        <f t="shared" si="7"/>
        <v>809257804.12999976</v>
      </c>
      <c r="E195" s="10">
        <f t="shared" si="8"/>
        <v>0.86499726397114907</v>
      </c>
    </row>
    <row r="196" spans="1:5">
      <c r="A196">
        <f t="shared" ref="A196:A259" si="9">A195+1</f>
        <v>195</v>
      </c>
      <c r="B196" t="str" cm="1">
        <f t="array" ref="B196">INDEX('Enriched Data'!C:C,A196+1)</f>
        <v>EQT Exeter Industrial REIT VI, LLC</v>
      </c>
      <c r="C196" s="11" cm="1">
        <f t="array" ref="C196">INDEX('Enriched Data'!G:G,A196+1)</f>
        <v>646685.56999999995</v>
      </c>
      <c r="D196" s="11">
        <f t="shared" ref="D196:D259" si="10">D195+C196</f>
        <v>809904489.69999981</v>
      </c>
      <c r="E196" s="10">
        <f t="shared" ref="E196:E259" si="11">D196/$F$2</f>
        <v>0.86568849147101978</v>
      </c>
    </row>
    <row r="197" spans="1:5">
      <c r="A197">
        <f t="shared" si="9"/>
        <v>196</v>
      </c>
      <c r="B197" t="str" cm="1">
        <f t="array" ref="B197">INDEX('Enriched Data'!C:C,A197+1)</f>
        <v>COS Dabling Distr. LLC</v>
      </c>
      <c r="C197" s="11" cm="1">
        <f t="array" ref="C197">INDEX('Enriched Data'!G:G,A197+1)</f>
        <v>643917.16</v>
      </c>
      <c r="D197" s="11">
        <f t="shared" si="10"/>
        <v>810548406.85999978</v>
      </c>
      <c r="E197" s="10">
        <f t="shared" si="11"/>
        <v>0.8663767598803962</v>
      </c>
    </row>
    <row r="198" spans="1:5">
      <c r="A198">
        <f t="shared" si="9"/>
        <v>197</v>
      </c>
      <c r="B198" t="str" cm="1">
        <f t="array" ref="B198">INDEX('Enriched Data'!C:C,A198+1)</f>
        <v>Tiburon Advisors, LLC</v>
      </c>
      <c r="C198" s="11" cm="1">
        <f t="array" ref="C198">INDEX('Enriched Data'!G:G,A198+1)</f>
        <v>642751</v>
      </c>
      <c r="D198" s="11">
        <f t="shared" si="10"/>
        <v>811191157.85999978</v>
      </c>
      <c r="E198" s="10">
        <f t="shared" si="11"/>
        <v>0.8670637818078677</v>
      </c>
    </row>
    <row r="199" spans="1:5">
      <c r="A199">
        <f t="shared" si="9"/>
        <v>198</v>
      </c>
      <c r="B199" t="str" cm="1">
        <f t="array" ref="B199">INDEX('Enriched Data'!C:C,A199+1)</f>
        <v>Stonewood Properties FBO Cornell,</v>
      </c>
      <c r="C199" s="11" cm="1">
        <f t="array" ref="C199">INDEX('Enriched Data'!G:G,A199+1)</f>
        <v>639499.71</v>
      </c>
      <c r="D199" s="11">
        <f t="shared" si="10"/>
        <v>811830657.56999981</v>
      </c>
      <c r="E199" s="10">
        <f t="shared" si="11"/>
        <v>0.86774732850539393</v>
      </c>
    </row>
    <row r="200" spans="1:5">
      <c r="A200">
        <f t="shared" si="9"/>
        <v>199</v>
      </c>
      <c r="B200" t="str" cm="1">
        <f t="array" ref="B200">INDEX('Enriched Data'!C:C,A200+1)</f>
        <v>Cooper Dysert</v>
      </c>
      <c r="C200" s="11" cm="1">
        <f t="array" ref="C200">INDEX('Enriched Data'!G:G,A200+1)</f>
        <v>632311.02</v>
      </c>
      <c r="D200" s="11">
        <f t="shared" si="10"/>
        <v>812462968.58999979</v>
      </c>
      <c r="E200" s="10">
        <f t="shared" si="11"/>
        <v>0.86842319137565294</v>
      </c>
    </row>
    <row r="201" spans="1:5">
      <c r="A201">
        <f t="shared" si="9"/>
        <v>200</v>
      </c>
      <c r="B201" t="str" cm="1">
        <f t="array" ref="B201">INDEX('Enriched Data'!C:C,A201+1)</f>
        <v>MM&amp;A LLC</v>
      </c>
      <c r="C201" s="11" cm="1">
        <f t="array" ref="C201">INDEX('Enriched Data'!G:G,A201+1)</f>
        <v>630109.34</v>
      </c>
      <c r="D201" s="11">
        <f t="shared" si="10"/>
        <v>813093077.92999983</v>
      </c>
      <c r="E201" s="10">
        <f t="shared" si="11"/>
        <v>0.86909670092022706</v>
      </c>
    </row>
    <row r="202" spans="1:5">
      <c r="A202">
        <f t="shared" si="9"/>
        <v>201</v>
      </c>
      <c r="B202" t="str" cm="1">
        <f t="array" ref="B202">INDEX('Enriched Data'!C:C,A202+1)</f>
        <v>Trident Realty LLC</v>
      </c>
      <c r="C202" s="11" cm="1">
        <f t="array" ref="C202">INDEX('Enriched Data'!G:G,A202+1)</f>
        <v>624487.24</v>
      </c>
      <c r="D202" s="11">
        <f t="shared" si="10"/>
        <v>813717565.16999984</v>
      </c>
      <c r="E202" s="10">
        <f t="shared" si="11"/>
        <v>0.86976420112996011</v>
      </c>
    </row>
    <row r="203" spans="1:5">
      <c r="A203">
        <f t="shared" si="9"/>
        <v>202</v>
      </c>
      <c r="B203" t="str" cm="1">
        <f t="array" ref="B203">INDEX('Enriched Data'!C:C,A203+1)</f>
        <v>Chattanooga Industrial Two, LLC</v>
      </c>
      <c r="C203" s="11" cm="1">
        <f t="array" ref="C203">INDEX('Enriched Data'!G:G,A203+1)</f>
        <v>621731.71</v>
      </c>
      <c r="D203" s="11">
        <f t="shared" si="10"/>
        <v>814339296.87999988</v>
      </c>
      <c r="E203" s="10">
        <f t="shared" si="11"/>
        <v>0.87042875601633818</v>
      </c>
    </row>
    <row r="204" spans="1:5">
      <c r="A204">
        <f t="shared" si="9"/>
        <v>203</v>
      </c>
      <c r="B204" t="str" cm="1">
        <f t="array" ref="B204">INDEX('Enriched Data'!C:C,A204+1)</f>
        <v>Kforce Professional Staffing</v>
      </c>
      <c r="C204" s="11" cm="1">
        <f t="array" ref="C204">INDEX('Enriched Data'!G:G,A204+1)</f>
        <v>616815.79</v>
      </c>
      <c r="D204" s="11">
        <f t="shared" si="10"/>
        <v>814956112.66999984</v>
      </c>
      <c r="E204" s="10">
        <f t="shared" si="11"/>
        <v>0.87108805638761821</v>
      </c>
    </row>
    <row r="205" spans="1:5">
      <c r="A205">
        <f t="shared" si="9"/>
        <v>204</v>
      </c>
      <c r="B205" t="str" cm="1">
        <f t="array" ref="B205">INDEX('Enriched Data'!C:C,A205+1)</f>
        <v>DELOITTE &amp; TOUCHE LLP</v>
      </c>
      <c r="C205" s="11" cm="1">
        <f t="array" ref="C205">INDEX('Enriched Data'!G:G,A205+1)</f>
        <v>609481</v>
      </c>
      <c r="D205" s="11">
        <f t="shared" si="10"/>
        <v>815565593.66999984</v>
      </c>
      <c r="E205" s="10">
        <f t="shared" si="11"/>
        <v>0.87173951676866346</v>
      </c>
    </row>
    <row r="206" spans="1:5">
      <c r="A206">
        <f t="shared" si="9"/>
        <v>205</v>
      </c>
      <c r="B206" t="str" cm="1">
        <f t="array" ref="B206">INDEX('Enriched Data'!C:C,A206+1)</f>
        <v>BREIT Industrial</v>
      </c>
      <c r="C206" s="11" cm="1">
        <f t="array" ref="C206">INDEX('Enriched Data'!G:G,A206+1)</f>
        <v>607892.04</v>
      </c>
      <c r="D206" s="11">
        <f t="shared" si="10"/>
        <v>816173485.7099998</v>
      </c>
      <c r="E206" s="10">
        <f t="shared" si="11"/>
        <v>0.8723892787464983</v>
      </c>
    </row>
    <row r="207" spans="1:5">
      <c r="A207">
        <f t="shared" si="9"/>
        <v>206</v>
      </c>
      <c r="B207" t="str" cm="1">
        <f t="array" ref="B207">INDEX('Enriched Data'!C:C,A207+1)</f>
        <v>Rush Truck Centers of Florida, Inc</v>
      </c>
      <c r="C207" s="11" cm="1">
        <f t="array" ref="C207">INDEX('Enriched Data'!G:G,A207+1)</f>
        <v>607130.39</v>
      </c>
      <c r="D207" s="11">
        <f t="shared" si="10"/>
        <v>816780616.09999979</v>
      </c>
      <c r="E207" s="10">
        <f t="shared" si="11"/>
        <v>0.87303822661396846</v>
      </c>
    </row>
    <row r="208" spans="1:5">
      <c r="A208">
        <f t="shared" si="9"/>
        <v>207</v>
      </c>
      <c r="B208" t="str" cm="1">
        <f t="array" ref="B208">INDEX('Enriched Data'!C:C,A208+1)</f>
        <v>First Industrial LP-CO</v>
      </c>
      <c r="C208" s="11" cm="1">
        <f t="array" ref="C208">INDEX('Enriched Data'!G:G,A208+1)</f>
        <v>598721.84</v>
      </c>
      <c r="D208" s="11">
        <f t="shared" si="10"/>
        <v>817379337.93999982</v>
      </c>
      <c r="E208" s="10">
        <f t="shared" si="11"/>
        <v>0.87367818677355757</v>
      </c>
    </row>
    <row r="209" spans="1:5">
      <c r="A209">
        <f t="shared" si="9"/>
        <v>208</v>
      </c>
      <c r="B209" t="str" cm="1">
        <f t="array" ref="B209">INDEX('Enriched Data'!C:C,A209+1)</f>
        <v>Exeter Operating Partnership V, LP</v>
      </c>
      <c r="C209" s="11" cm="1">
        <f t="array" ref="C209">INDEX('Enriched Data'!G:G,A209+1)</f>
        <v>598091.56000000006</v>
      </c>
      <c r="D209" s="11">
        <f t="shared" si="10"/>
        <v>817977429.49999976</v>
      </c>
      <c r="E209" s="10">
        <f t="shared" si="11"/>
        <v>0.87431747324118747</v>
      </c>
    </row>
    <row r="210" spans="1:5">
      <c r="A210">
        <f t="shared" si="9"/>
        <v>209</v>
      </c>
      <c r="B210" t="str" cm="1">
        <f t="array" ref="B210">INDEX('Enriched Data'!C:C,A210+1)</f>
        <v>Cintas Corporation</v>
      </c>
      <c r="C210" s="11" cm="1">
        <f t="array" ref="C210">INDEX('Enriched Data'!G:G,A210+1)</f>
        <v>597061.19999999995</v>
      </c>
      <c r="D210" s="11">
        <f t="shared" si="10"/>
        <v>818574490.69999981</v>
      </c>
      <c r="E210" s="10">
        <f t="shared" si="11"/>
        <v>0.87495565838044431</v>
      </c>
    </row>
    <row r="211" spans="1:5">
      <c r="A211">
        <f t="shared" si="9"/>
        <v>210</v>
      </c>
      <c r="B211" t="str" cm="1">
        <f t="array" ref="B211">INDEX('Enriched Data'!C:C,A211+1)</f>
        <v>KRE AIP VI LLC- Do not use</v>
      </c>
      <c r="C211" s="11" cm="1">
        <f t="array" ref="C211">INDEX('Enriched Data'!G:G,A211+1)</f>
        <v>596362.13</v>
      </c>
      <c r="D211" s="11">
        <f t="shared" si="10"/>
        <v>819170852.8299998</v>
      </c>
      <c r="E211" s="10">
        <f t="shared" si="11"/>
        <v>0.8755930962996753</v>
      </c>
    </row>
    <row r="212" spans="1:5">
      <c r="A212">
        <f t="shared" si="9"/>
        <v>211</v>
      </c>
      <c r="B212" t="str" cm="1">
        <f t="array" ref="B212">INDEX('Enriched Data'!C:C,A212+1)</f>
        <v>Cranbrook Realty Investment Fund</v>
      </c>
      <c r="C212" s="11" cm="1">
        <f t="array" ref="C212">INDEX('Enriched Data'!G:G,A212+1)</f>
        <v>593251.54</v>
      </c>
      <c r="D212" s="11">
        <f t="shared" si="10"/>
        <v>819764104.36999977</v>
      </c>
      <c r="E212" s="10">
        <f t="shared" si="11"/>
        <v>0.87622720937999121</v>
      </c>
    </row>
    <row r="213" spans="1:5">
      <c r="A213">
        <f t="shared" si="9"/>
        <v>212</v>
      </c>
      <c r="B213" t="str" cm="1">
        <f t="array" ref="B213">INDEX('Enriched Data'!C:C,A213+1)</f>
        <v>Horizon Pacific Management Inc.</v>
      </c>
      <c r="C213" s="11" cm="1">
        <f t="array" ref="C213">INDEX('Enriched Data'!G:G,A213+1)</f>
        <v>590097.56000000006</v>
      </c>
      <c r="D213" s="11">
        <f t="shared" si="10"/>
        <v>820354201.92999971</v>
      </c>
      <c r="E213" s="10">
        <f t="shared" si="11"/>
        <v>0.87685795124280808</v>
      </c>
    </row>
    <row r="214" spans="1:5">
      <c r="A214">
        <f t="shared" si="9"/>
        <v>213</v>
      </c>
      <c r="B214" t="str" cm="1">
        <f t="array" ref="B214">INDEX('Enriched Data'!C:C,A214+1)</f>
        <v>Inland Plywood</v>
      </c>
      <c r="C214" s="11" cm="1">
        <f t="array" ref="C214">INDEX('Enriched Data'!G:G,A214+1)</f>
        <v>586447.5</v>
      </c>
      <c r="D214" s="11">
        <f t="shared" si="10"/>
        <v>820940649.42999971</v>
      </c>
      <c r="E214" s="10">
        <f t="shared" si="11"/>
        <v>0.87748479163949489</v>
      </c>
    </row>
    <row r="215" spans="1:5">
      <c r="A215">
        <f t="shared" si="9"/>
        <v>214</v>
      </c>
      <c r="B215" t="str" cm="1">
        <f t="array" ref="B215">INDEX('Enriched Data'!C:C,A215+1)</f>
        <v>Commerce Drive 6, LLC</v>
      </c>
      <c r="C215" s="11" cm="1">
        <f t="array" ref="C215">INDEX('Enriched Data'!G:G,A215+1)</f>
        <v>584177.31000000006</v>
      </c>
      <c r="D215" s="11">
        <f t="shared" si="10"/>
        <v>821524826.73999965</v>
      </c>
      <c r="E215" s="10">
        <f t="shared" si="11"/>
        <v>0.87810920548171567</v>
      </c>
    </row>
    <row r="216" spans="1:5">
      <c r="A216">
        <f t="shared" si="9"/>
        <v>215</v>
      </c>
      <c r="B216" t="str" cm="1">
        <f t="array" ref="B216">INDEX('Enriched Data'!C:C,A216+1)</f>
        <v>GPG Clearwater, LLC</v>
      </c>
      <c r="C216" s="11" cm="1">
        <f t="array" ref="C216">INDEX('Enriched Data'!G:G,A216+1)</f>
        <v>583246.1</v>
      </c>
      <c r="D216" s="11">
        <f t="shared" si="10"/>
        <v>822108072.83999968</v>
      </c>
      <c r="E216" s="10">
        <f t="shared" si="11"/>
        <v>0.87873262397474361</v>
      </c>
    </row>
    <row r="217" spans="1:5">
      <c r="A217">
        <f t="shared" si="9"/>
        <v>216</v>
      </c>
      <c r="B217" t="str" cm="1">
        <f t="array" ref="B217">INDEX('Enriched Data'!C:C,A217+1)</f>
        <v>Lennon Fleet Service Dr LLC</v>
      </c>
      <c r="C217" s="11" cm="1">
        <f t="array" ref="C217">INDEX('Enriched Data'!G:G,A217+1)</f>
        <v>581044.86</v>
      </c>
      <c r="D217" s="11">
        <f t="shared" si="10"/>
        <v>822689117.69999969</v>
      </c>
      <c r="E217" s="10">
        <f t="shared" si="11"/>
        <v>0.87935368961239269</v>
      </c>
    </row>
    <row r="218" spans="1:5">
      <c r="A218">
        <f t="shared" si="9"/>
        <v>217</v>
      </c>
      <c r="B218" t="str" cm="1">
        <f t="array" ref="B218">INDEX('Enriched Data'!C:C,A218+1)</f>
        <v>Rainbow Properties c/o Jones LaSalle Real Estate Services, Inc</v>
      </c>
      <c r="C218" s="11" cm="1">
        <f t="array" ref="C218">INDEX('Enriched Data'!G:G,A218+1)</f>
        <v>580412.65</v>
      </c>
      <c r="D218" s="11">
        <f t="shared" si="10"/>
        <v>823269530.34999967</v>
      </c>
      <c r="E218" s="10">
        <f t="shared" si="11"/>
        <v>0.8799740794951495</v>
      </c>
    </row>
    <row r="219" spans="1:5">
      <c r="A219">
        <f t="shared" si="9"/>
        <v>218</v>
      </c>
      <c r="B219" t="str" cm="1">
        <f t="array" ref="B219">INDEX('Enriched Data'!C:C,A219+1)</f>
        <v>Lowen Corporation</v>
      </c>
      <c r="C219" s="11" cm="1">
        <f t="array" ref="C219">INDEX('Enriched Data'!G:G,A219+1)</f>
        <v>577682.57999999996</v>
      </c>
      <c r="D219" s="11">
        <f t="shared" si="10"/>
        <v>823847212.92999971</v>
      </c>
      <c r="E219" s="10">
        <f t="shared" si="11"/>
        <v>0.88059155126816635</v>
      </c>
    </row>
    <row r="220" spans="1:5">
      <c r="A220">
        <f t="shared" si="9"/>
        <v>219</v>
      </c>
      <c r="B220" t="str" cm="1">
        <f t="array" ref="B220">INDEX('Enriched Data'!C:C,A220+1)</f>
        <v>SAF Hart Distributors, LLC</v>
      </c>
      <c r="C220" s="11" cm="1">
        <f t="array" ref="C220">INDEX('Enriched Data'!G:G,A220+1)</f>
        <v>572492.19999999995</v>
      </c>
      <c r="D220" s="11">
        <f t="shared" si="10"/>
        <v>824419705.12999976</v>
      </c>
      <c r="E220" s="10">
        <f t="shared" si="11"/>
        <v>0.88120347516203257</v>
      </c>
    </row>
    <row r="221" spans="1:5">
      <c r="A221">
        <f t="shared" si="9"/>
        <v>220</v>
      </c>
      <c r="B221" t="str" cm="1">
        <f t="array" ref="B221">INDEX('Enriched Data'!C:C,A221+1)</f>
        <v>Stag Industrial Holdings LLC</v>
      </c>
      <c r="C221" s="11" cm="1">
        <f t="array" ref="C221">INDEX('Enriched Data'!G:G,A221+1)</f>
        <v>571900.02</v>
      </c>
      <c r="D221" s="11">
        <f t="shared" si="10"/>
        <v>824991605.14999974</v>
      </c>
      <c r="E221" s="10">
        <f t="shared" si="11"/>
        <v>0.88181476608816312</v>
      </c>
    </row>
    <row r="222" spans="1:5">
      <c r="A222">
        <f t="shared" si="9"/>
        <v>221</v>
      </c>
      <c r="B222" t="str" cm="1">
        <f t="array" ref="B222">INDEX('Enriched Data'!C:C,A222+1)</f>
        <v>Argano, LLC</v>
      </c>
      <c r="C222" s="11" cm="1">
        <f t="array" ref="C222">INDEX('Enriched Data'!G:G,A222+1)</f>
        <v>569801.57999999996</v>
      </c>
      <c r="D222" s="11">
        <f t="shared" si="10"/>
        <v>825561406.72999978</v>
      </c>
      <c r="E222" s="10">
        <f t="shared" si="11"/>
        <v>0.88242381403949721</v>
      </c>
    </row>
    <row r="223" spans="1:5">
      <c r="A223">
        <f t="shared" si="9"/>
        <v>222</v>
      </c>
      <c r="B223" t="str" cm="1">
        <f t="array" ref="B223">INDEX('Enriched Data'!C:C,A223+1)</f>
        <v>Exeter Industrial Core IV</v>
      </c>
      <c r="C223" s="11" cm="1">
        <f t="array" ref="C223">INDEX('Enriched Data'!G:G,A223+1)</f>
        <v>567767.15</v>
      </c>
      <c r="D223" s="11">
        <f t="shared" si="10"/>
        <v>826129173.87999976</v>
      </c>
      <c r="E223" s="10">
        <f t="shared" si="11"/>
        <v>0.88303068743486801</v>
      </c>
    </row>
    <row r="224" spans="1:5">
      <c r="A224">
        <f t="shared" si="9"/>
        <v>223</v>
      </c>
      <c r="B224" t="str" cm="1">
        <f t="array" ref="B224">INDEX('Enriched Data'!C:C,A224+1)</f>
        <v>AUG Commerce Distributors, LLC</v>
      </c>
      <c r="C224" s="11" cm="1">
        <f t="array" ref="C224">INDEX('Enriched Data'!G:G,A224+1)</f>
        <v>567541.64</v>
      </c>
      <c r="D224" s="11">
        <f t="shared" si="10"/>
        <v>826696715.51999974</v>
      </c>
      <c r="E224" s="10">
        <f t="shared" si="11"/>
        <v>0.88363731978772797</v>
      </c>
    </row>
    <row r="225" spans="1:5">
      <c r="A225">
        <f t="shared" si="9"/>
        <v>224</v>
      </c>
      <c r="B225" t="str" cm="1">
        <f t="array" ref="B225">INDEX('Enriched Data'!C:C,A225+1)</f>
        <v>HS Chicago Portfolio Investors LLC</v>
      </c>
      <c r="C225" s="11" cm="1">
        <f t="array" ref="C225">INDEX('Enriched Data'!G:G,A225+1)</f>
        <v>566740.88</v>
      </c>
      <c r="D225" s="11">
        <f t="shared" si="10"/>
        <v>827263456.39999974</v>
      </c>
      <c r="E225" s="10">
        <f t="shared" si="11"/>
        <v>0.8842430962264336</v>
      </c>
    </row>
    <row r="226" spans="1:5">
      <c r="A226">
        <f t="shared" si="9"/>
        <v>225</v>
      </c>
      <c r="B226" t="str" cm="1">
        <f t="array" ref="B226">INDEX('Enriched Data'!C:C,A226+1)</f>
        <v>ONX1-400 LLC - DO NOT USE</v>
      </c>
      <c r="C226" s="11" cm="1">
        <f t="array" ref="C226">INDEX('Enriched Data'!G:G,A226+1)</f>
        <v>565071.27</v>
      </c>
      <c r="D226" s="11">
        <f t="shared" si="10"/>
        <v>827828527.66999972</v>
      </c>
      <c r="E226" s="10">
        <f t="shared" si="11"/>
        <v>0.88484708805697776</v>
      </c>
    </row>
    <row r="227" spans="1:5">
      <c r="A227">
        <f t="shared" si="9"/>
        <v>226</v>
      </c>
      <c r="B227" t="str" cm="1">
        <f t="array" ref="B227">INDEX('Enriched Data'!C:C,A227+1)</f>
        <v>Samsara Networks Inc.</v>
      </c>
      <c r="C227" s="11" cm="1">
        <f t="array" ref="C227">INDEX('Enriched Data'!G:G,A227+1)</f>
        <v>558300.12</v>
      </c>
      <c r="D227" s="11">
        <f t="shared" si="10"/>
        <v>828386827.78999972</v>
      </c>
      <c r="E227" s="10">
        <f t="shared" si="11"/>
        <v>0.88544384235926588</v>
      </c>
    </row>
    <row r="228" spans="1:5">
      <c r="A228">
        <f t="shared" si="9"/>
        <v>227</v>
      </c>
      <c r="B228" t="str" cm="1">
        <f t="array" ref="B228">INDEX('Enriched Data'!C:C,A228+1)</f>
        <v>Flexential</v>
      </c>
      <c r="C228" s="11" cm="1">
        <f t="array" ref="C228">INDEX('Enriched Data'!G:G,A228+1)</f>
        <v>557073.41</v>
      </c>
      <c r="D228" s="11">
        <f t="shared" si="10"/>
        <v>828943901.19999969</v>
      </c>
      <c r="E228" s="10">
        <f t="shared" si="11"/>
        <v>0.8860392854591308</v>
      </c>
    </row>
    <row r="229" spans="1:5">
      <c r="A229">
        <f t="shared" si="9"/>
        <v>228</v>
      </c>
      <c r="B229" t="str" cm="1">
        <f t="array" ref="B229">INDEX('Enriched Data'!C:C,A229+1)</f>
        <v>Minkles Broadpointe II LLC</v>
      </c>
      <c r="C229" s="11" cm="1">
        <f t="array" ref="C229">INDEX('Enriched Data'!G:G,A229+1)</f>
        <v>548854.16</v>
      </c>
      <c r="D229" s="11">
        <f t="shared" si="10"/>
        <v>829492755.35999966</v>
      </c>
      <c r="E229" s="10">
        <f t="shared" si="11"/>
        <v>0.88662594318957988</v>
      </c>
    </row>
    <row r="230" spans="1:5">
      <c r="A230">
        <f t="shared" si="9"/>
        <v>229</v>
      </c>
      <c r="B230" t="str" cm="1">
        <f t="array" ref="B230">INDEX('Enriched Data'!C:C,A230+1)</f>
        <v>Plymouth Industrial OP, LP</v>
      </c>
      <c r="C230" s="11" cm="1">
        <f t="array" ref="C230">INDEX('Enriched Data'!G:G,A230+1)</f>
        <v>544161.49</v>
      </c>
      <c r="D230" s="11">
        <f t="shared" si="10"/>
        <v>830036916.84999967</v>
      </c>
      <c r="E230" s="10">
        <f t="shared" si="11"/>
        <v>0.88720758503177943</v>
      </c>
    </row>
    <row r="231" spans="1:5">
      <c r="A231">
        <f t="shared" si="9"/>
        <v>230</v>
      </c>
      <c r="B231" t="str" cm="1">
        <f t="array" ref="B231">INDEX('Enriched Data'!C:C,A231+1)</f>
        <v>Cabot Industrial Value Fund VI</v>
      </c>
      <c r="C231" s="11" cm="1">
        <f t="array" ref="C231">INDEX('Enriched Data'!G:G,A231+1)</f>
        <v>542881.68000000005</v>
      </c>
      <c r="D231" s="11">
        <f t="shared" si="10"/>
        <v>830579798.52999961</v>
      </c>
      <c r="E231" s="10">
        <f t="shared" si="11"/>
        <v>0.88778785891417322</v>
      </c>
    </row>
    <row r="232" spans="1:5">
      <c r="A232">
        <f t="shared" si="9"/>
        <v>231</v>
      </c>
      <c r="B232" t="str" cm="1">
        <f t="array" ref="B232">INDEX('Enriched Data'!C:C,A232+1)</f>
        <v>Setzer Properties BCWLXK, LLC</v>
      </c>
      <c r="C232" s="11" cm="1">
        <f t="array" ref="C232">INDEX('Enriched Data'!G:G,A232+1)</f>
        <v>542137.14</v>
      </c>
      <c r="D232" s="11">
        <f t="shared" si="10"/>
        <v>831121935.6699996</v>
      </c>
      <c r="E232" s="10">
        <f t="shared" si="11"/>
        <v>0.88836733697469228</v>
      </c>
    </row>
    <row r="233" spans="1:5">
      <c r="A233">
        <f t="shared" si="9"/>
        <v>232</v>
      </c>
      <c r="B233" t="str" cm="1">
        <f t="array" ref="B233">INDEX('Enriched Data'!C:C,A233+1)</f>
        <v>South Air Depot Industrial LLC</v>
      </c>
      <c r="C233" s="11" cm="1">
        <f t="array" ref="C233">INDEX('Enriched Data'!G:G,A233+1)</f>
        <v>537068.30000000005</v>
      </c>
      <c r="D233" s="11">
        <f t="shared" si="10"/>
        <v>831659003.96999955</v>
      </c>
      <c r="E233" s="10">
        <f t="shared" si="11"/>
        <v>0.88894139706740272</v>
      </c>
    </row>
    <row r="234" spans="1:5">
      <c r="A234">
        <f t="shared" si="9"/>
        <v>233</v>
      </c>
      <c r="B234" t="str" cm="1">
        <f t="array" ref="B234">INDEX('Enriched Data'!C:C,A234+1)</f>
        <v>Goodyear Tire &amp; Rubber Co</v>
      </c>
      <c r="C234" s="11" cm="1">
        <f t="array" ref="C234">INDEX('Enriched Data'!G:G,A234+1)</f>
        <v>535235.07999999996</v>
      </c>
      <c r="D234" s="11">
        <f t="shared" si="10"/>
        <v>832194239.04999959</v>
      </c>
      <c r="E234" s="10">
        <f t="shared" si="11"/>
        <v>0.88951349767294363</v>
      </c>
    </row>
    <row r="235" spans="1:5">
      <c r="A235">
        <f t="shared" si="9"/>
        <v>234</v>
      </c>
      <c r="B235" t="str" cm="1">
        <f t="array" ref="B235">INDEX('Enriched Data'!C:C,A235+1)</f>
        <v>ZionsCo, LLC</v>
      </c>
      <c r="C235" s="11" cm="1">
        <f t="array" ref="C235">INDEX('Enriched Data'!G:G,A235+1)</f>
        <v>532798.1</v>
      </c>
      <c r="D235" s="11">
        <f t="shared" si="10"/>
        <v>832727037.14999962</v>
      </c>
      <c r="E235" s="10">
        <f t="shared" si="11"/>
        <v>0.89008299344598041</v>
      </c>
    </row>
    <row r="236" spans="1:5">
      <c r="A236">
        <f t="shared" si="9"/>
        <v>235</v>
      </c>
      <c r="B236" t="str" cm="1">
        <f t="array" ref="B236">INDEX('Enriched Data'!C:C,A236+1)</f>
        <v>Synoptek</v>
      </c>
      <c r="C236" s="11" cm="1">
        <f t="array" ref="C236">INDEX('Enriched Data'!G:G,A236+1)</f>
        <v>532705</v>
      </c>
      <c r="D236" s="11">
        <f t="shared" si="10"/>
        <v>833259742.14999962</v>
      </c>
      <c r="E236" s="10">
        <f t="shared" si="11"/>
        <v>0.89065238970654426</v>
      </c>
    </row>
    <row r="237" spans="1:5">
      <c r="A237">
        <f t="shared" si="9"/>
        <v>236</v>
      </c>
      <c r="B237" t="str" cm="1">
        <f t="array" ref="B237">INDEX('Enriched Data'!C:C,A237+1)</f>
        <v>Ohana Housing &amp; Development, Inc.</v>
      </c>
      <c r="C237" s="11" cm="1">
        <f t="array" ref="C237">INDEX('Enriched Data'!G:G,A237+1)</f>
        <v>532681.80000000005</v>
      </c>
      <c r="D237" s="11">
        <f t="shared" si="10"/>
        <v>833792423.94999957</v>
      </c>
      <c r="E237" s="10">
        <f t="shared" si="11"/>
        <v>0.89122176116915564</v>
      </c>
    </row>
    <row r="238" spans="1:5">
      <c r="A238">
        <f t="shared" si="9"/>
        <v>237</v>
      </c>
      <c r="B238" t="str" cm="1">
        <f t="array" ref="B238">INDEX('Enriched Data'!C:C,A238+1)</f>
        <v>HTO E Hampton Distr LLC</v>
      </c>
      <c r="C238" s="11" cm="1">
        <f t="array" ref="C238">INDEX('Enriched Data'!G:G,A238+1)</f>
        <v>531167.38</v>
      </c>
      <c r="D238" s="11">
        <f t="shared" si="10"/>
        <v>834323591.32999957</v>
      </c>
      <c r="E238" s="10">
        <f t="shared" si="11"/>
        <v>0.89178951390266759</v>
      </c>
    </row>
    <row r="239" spans="1:5">
      <c r="A239">
        <f t="shared" si="9"/>
        <v>238</v>
      </c>
      <c r="B239" t="str" cm="1">
        <f t="array" ref="B239">INDEX('Enriched Data'!C:C,A239+1)</f>
        <v>Dickinson Fleet Services</v>
      </c>
      <c r="C239" s="11" cm="1">
        <f t="array" ref="C239">INDEX('Enriched Data'!G:G,A239+1)</f>
        <v>527081.49</v>
      </c>
      <c r="D239" s="11">
        <f t="shared" si="10"/>
        <v>834850672.81999958</v>
      </c>
      <c r="E239" s="10">
        <f t="shared" si="11"/>
        <v>0.89235289932127349</v>
      </c>
    </row>
    <row r="240" spans="1:5">
      <c r="A240">
        <f t="shared" si="9"/>
        <v>239</v>
      </c>
      <c r="B240" t="str" cm="1">
        <f t="array" ref="B240">INDEX('Enriched Data'!C:C,A240+1)</f>
        <v>I-10/Gulf Coast Logistics Ctr II</v>
      </c>
      <c r="C240" s="11" cm="1">
        <f t="array" ref="C240">INDEX('Enriched Data'!G:G,A240+1)</f>
        <v>520860.55</v>
      </c>
      <c r="D240" s="11">
        <f t="shared" si="10"/>
        <v>835371533.36999953</v>
      </c>
      <c r="E240" s="10">
        <f t="shared" si="11"/>
        <v>0.89290963531858014</v>
      </c>
    </row>
    <row r="241" spans="1:5">
      <c r="A241">
        <f t="shared" si="9"/>
        <v>240</v>
      </c>
      <c r="B241" t="str" cm="1">
        <f t="array" ref="B241">INDEX('Enriched Data'!C:C,A241+1)</f>
        <v>Merritt Properties, LLC-White Marsh</v>
      </c>
      <c r="C241" s="11" cm="1">
        <f t="array" ref="C241">INDEX('Enriched Data'!G:G,A241+1)</f>
        <v>515841.74</v>
      </c>
      <c r="D241" s="11">
        <f t="shared" si="10"/>
        <v>835887375.10999954</v>
      </c>
      <c r="E241" s="10">
        <f t="shared" si="11"/>
        <v>0.89346100682400764</v>
      </c>
    </row>
    <row r="242" spans="1:5">
      <c r="A242">
        <f t="shared" si="9"/>
        <v>241</v>
      </c>
      <c r="B242" t="str" cm="1">
        <f t="array" ref="B242">INDEX('Enriched Data'!C:C,A242+1)</f>
        <v>Richcraft Properties</v>
      </c>
      <c r="C242" s="11" cm="1">
        <f t="array" ref="C242">INDEX('Enriched Data'!G:G,A242+1)</f>
        <v>515424.73</v>
      </c>
      <c r="D242" s="11">
        <f t="shared" si="10"/>
        <v>836402799.83999956</v>
      </c>
      <c r="E242" s="10">
        <f t="shared" si="11"/>
        <v>0.89401193259692913</v>
      </c>
    </row>
    <row r="243" spans="1:5">
      <c r="A243">
        <f t="shared" si="9"/>
        <v>242</v>
      </c>
      <c r="B243" t="str" cm="1">
        <f t="array" ref="B243">INDEX('Enriched Data'!C:C,A243+1)</f>
        <v>KWT Global</v>
      </c>
      <c r="C243" s="11" cm="1">
        <f t="array" ref="C243">INDEX('Enriched Data'!G:G,A243+1)</f>
        <v>514929.35</v>
      </c>
      <c r="D243" s="11">
        <f t="shared" si="10"/>
        <v>836917729.18999958</v>
      </c>
      <c r="E243" s="10">
        <f t="shared" si="11"/>
        <v>0.89456232886943376</v>
      </c>
    </row>
    <row r="244" spans="1:5">
      <c r="A244">
        <f t="shared" si="9"/>
        <v>243</v>
      </c>
      <c r="B244" t="str" cm="1">
        <f t="array" ref="B244">INDEX('Enriched Data'!C:C,A244+1)</f>
        <v>Valpak Franchise Operations, LLC</v>
      </c>
      <c r="C244" s="11" cm="1">
        <f t="array" ref="C244">INDEX('Enriched Data'!G:G,A244+1)</f>
        <v>511998.88</v>
      </c>
      <c r="D244" s="11">
        <f t="shared" si="10"/>
        <v>837429728.06999958</v>
      </c>
      <c r="E244" s="10">
        <f t="shared" si="11"/>
        <v>0.89510959282919556</v>
      </c>
    </row>
    <row r="245" spans="1:5">
      <c r="A245">
        <f t="shared" si="9"/>
        <v>244</v>
      </c>
      <c r="B245" t="str" cm="1">
        <f t="array" ref="B245">INDEX('Enriched Data'!C:C,A245+1)</f>
        <v>Beemac Trucking LLC - DO NOT USE</v>
      </c>
      <c r="C245" s="11" cm="1">
        <f t="array" ref="C245">INDEX('Enriched Data'!G:G,A245+1)</f>
        <v>511423</v>
      </c>
      <c r="D245" s="11">
        <f t="shared" si="10"/>
        <v>837941151.06999958</v>
      </c>
      <c r="E245" s="10">
        <f t="shared" si="11"/>
        <v>0.89565624124392107</v>
      </c>
    </row>
    <row r="246" spans="1:5">
      <c r="A246">
        <f t="shared" si="9"/>
        <v>245</v>
      </c>
      <c r="B246" t="str" cm="1">
        <f t="array" ref="B246">INDEX('Enriched Data'!C:C,A246+1)</f>
        <v>Nuveen Global Cities Reit Inc.</v>
      </c>
      <c r="C246" s="11" cm="1">
        <f t="array" ref="C246">INDEX('Enriched Data'!G:G,A246+1)</f>
        <v>511165.43</v>
      </c>
      <c r="D246" s="11">
        <f t="shared" si="10"/>
        <v>838452316.49999952</v>
      </c>
      <c r="E246" s="10">
        <f t="shared" si="11"/>
        <v>0.8962026143479308</v>
      </c>
    </row>
    <row r="247" spans="1:5">
      <c r="A247">
        <f t="shared" si="9"/>
        <v>246</v>
      </c>
      <c r="B247" t="str" cm="1">
        <f t="array" ref="B247">INDEX('Enriched Data'!C:C,A247+1)</f>
        <v>International Motors, LLC dba Fleet Charge dba Navistar</v>
      </c>
      <c r="C247" s="11" cm="1">
        <f t="array" ref="C247">INDEX('Enriched Data'!G:G,A247+1)</f>
        <v>508946.57</v>
      </c>
      <c r="D247" s="11">
        <f t="shared" si="10"/>
        <v>838961263.06999958</v>
      </c>
      <c r="E247" s="10">
        <f t="shared" si="11"/>
        <v>0.89674661576294445</v>
      </c>
    </row>
    <row r="248" spans="1:5">
      <c r="A248">
        <f t="shared" si="9"/>
        <v>247</v>
      </c>
      <c r="B248" t="str" cm="1">
        <f t="array" ref="B248">INDEX('Enriched Data'!C:C,A248+1)</f>
        <v>BCP Tremont, LLC</v>
      </c>
      <c r="C248" s="11" cm="1">
        <f t="array" ref="C248">INDEX('Enriched Data'!G:G,A248+1)</f>
        <v>507395.02</v>
      </c>
      <c r="D248" s="11">
        <f t="shared" si="10"/>
        <v>839468658.08999956</v>
      </c>
      <c r="E248" s="10">
        <f t="shared" si="11"/>
        <v>0.89728895876144588</v>
      </c>
    </row>
    <row r="249" spans="1:5">
      <c r="A249">
        <f t="shared" si="9"/>
        <v>248</v>
      </c>
      <c r="B249" t="str" cm="1">
        <f t="array" ref="B249">INDEX('Enriched Data'!C:C,A249+1)</f>
        <v>BDPF Eastgate 375-385 Spectrum LP</v>
      </c>
      <c r="C249" s="11" cm="1">
        <f t="array" ref="C249">INDEX('Enriched Data'!G:G,A249+1)</f>
        <v>506109.41</v>
      </c>
      <c r="D249" s="11">
        <f t="shared" si="10"/>
        <v>839974767.49999952</v>
      </c>
      <c r="E249" s="10">
        <f t="shared" si="11"/>
        <v>0.89782992760065361</v>
      </c>
    </row>
    <row r="250" spans="1:5">
      <c r="A250">
        <f t="shared" si="9"/>
        <v>249</v>
      </c>
      <c r="B250" t="str" cm="1">
        <f t="array" ref="B250">INDEX('Enriched Data'!C:C,A250+1)</f>
        <v>PNS Briese Distr., LLC</v>
      </c>
      <c r="C250" s="11" cm="1">
        <f t="array" ref="C250">INDEX('Enriched Data'!G:G,A250+1)</f>
        <v>505210.74</v>
      </c>
      <c r="D250" s="11">
        <f t="shared" si="10"/>
        <v>840479978.23999953</v>
      </c>
      <c r="E250" s="10">
        <f t="shared" si="11"/>
        <v>0.89836993587193459</v>
      </c>
    </row>
    <row r="251" spans="1:5">
      <c r="A251">
        <f t="shared" si="9"/>
        <v>250</v>
      </c>
      <c r="B251" t="str" cm="1">
        <f t="array" ref="B251">INDEX('Enriched Data'!C:C,A251+1)</f>
        <v>Kaizen Analytix LLC</v>
      </c>
      <c r="C251" s="11" cm="1">
        <f t="array" ref="C251">INDEX('Enriched Data'!G:G,A251+1)</f>
        <v>501247.98</v>
      </c>
      <c r="D251" s="11">
        <f t="shared" si="10"/>
        <v>840981226.21999955</v>
      </c>
      <c r="E251" s="10">
        <f t="shared" si="11"/>
        <v>0.89890570843916628</v>
      </c>
    </row>
    <row r="252" spans="1:5">
      <c r="A252">
        <f t="shared" si="9"/>
        <v>251</v>
      </c>
      <c r="B252" t="str" cm="1">
        <f t="array" ref="B252">INDEX('Enriched Data'!C:C,A252+1)</f>
        <v>Shop Grove Holdings, LLC</v>
      </c>
      <c r="C252" s="11" cm="1">
        <f t="array" ref="C252">INDEX('Enriched Data'!G:G,A252+1)</f>
        <v>499786.01</v>
      </c>
      <c r="D252" s="11">
        <f t="shared" si="10"/>
        <v>841481012.22999954</v>
      </c>
      <c r="E252" s="10">
        <f t="shared" si="11"/>
        <v>0.89943991833991088</v>
      </c>
    </row>
    <row r="253" spans="1:5">
      <c r="A253">
        <f t="shared" si="9"/>
        <v>252</v>
      </c>
      <c r="B253" t="str" cm="1">
        <f t="array" ref="B253">INDEX('Enriched Data'!C:C,A253+1)</f>
        <v>BREIT Industrial Holdings</v>
      </c>
      <c r="C253" s="11" cm="1">
        <f t="array" ref="C253">INDEX('Enriched Data'!G:G,A253+1)</f>
        <v>498853.18</v>
      </c>
      <c r="D253" s="11">
        <f t="shared" si="10"/>
        <v>841979865.40999949</v>
      </c>
      <c r="E253" s="10">
        <f t="shared" si="11"/>
        <v>0.89997313115988131</v>
      </c>
    </row>
    <row r="254" spans="1:5">
      <c r="A254">
        <f t="shared" si="9"/>
        <v>253</v>
      </c>
      <c r="B254" t="str" cm="1">
        <f t="array" ref="B254">INDEX('Enriched Data'!C:C,A254+1)</f>
        <v>SSI Inc. (USA)</v>
      </c>
      <c r="C254" s="11" cm="1">
        <f t="array" ref="C254">INDEX('Enriched Data'!G:G,A254+1)</f>
        <v>498009.9</v>
      </c>
      <c r="D254" s="11">
        <f t="shared" si="10"/>
        <v>842477875.30999947</v>
      </c>
      <c r="E254" s="10">
        <f t="shared" si="11"/>
        <v>0.90050544261703636</v>
      </c>
    </row>
    <row r="255" spans="1:5">
      <c r="A255">
        <f t="shared" si="9"/>
        <v>254</v>
      </c>
      <c r="B255" t="str" cm="1">
        <f t="array" ref="B255">INDEX('Enriched Data'!C:C,A255+1)</f>
        <v>MHT Winston Distr LLC</v>
      </c>
      <c r="C255" s="11" cm="1">
        <f t="array" ref="C255">INDEX('Enriched Data'!G:G,A255+1)</f>
        <v>497994.67</v>
      </c>
      <c r="D255" s="11">
        <f t="shared" si="10"/>
        <v>842975869.97999942</v>
      </c>
      <c r="E255" s="10">
        <f t="shared" si="11"/>
        <v>0.9010377377951907</v>
      </c>
    </row>
    <row r="256" spans="1:5">
      <c r="A256">
        <f t="shared" si="9"/>
        <v>255</v>
      </c>
      <c r="B256" t="str" cm="1">
        <f t="array" ref="B256">INDEX('Enriched Data'!C:C,A256+1)</f>
        <v>3 Rivers Logistics, Inc</v>
      </c>
      <c r="C256" s="11" cm="1">
        <f t="array" ref="C256">INDEX('Enriched Data'!G:G,A256+1)</f>
        <v>493462</v>
      </c>
      <c r="D256" s="11">
        <f t="shared" si="10"/>
        <v>843469331.97999942</v>
      </c>
      <c r="E256" s="10">
        <f t="shared" si="11"/>
        <v>0.90156518810545694</v>
      </c>
    </row>
    <row r="257" spans="1:5">
      <c r="A257">
        <f t="shared" si="9"/>
        <v>256</v>
      </c>
      <c r="B257" t="str" cm="1">
        <f t="array" ref="B257">INDEX('Enriched Data'!C:C,A257+1)</f>
        <v>PDCUSIF South Meadows Land LLC</v>
      </c>
      <c r="C257" s="11" cm="1">
        <f t="array" ref="C257">INDEX('Enriched Data'!G:G,A257+1)</f>
        <v>485218.73</v>
      </c>
      <c r="D257" s="11">
        <f t="shared" si="10"/>
        <v>843954550.70999944</v>
      </c>
      <c r="E257" s="10">
        <f t="shared" si="11"/>
        <v>0.90208382737187565</v>
      </c>
    </row>
    <row r="258" spans="1:5">
      <c r="A258">
        <f t="shared" si="9"/>
        <v>257</v>
      </c>
      <c r="B258" t="str" cm="1">
        <f t="array" ref="B258">INDEX('Enriched Data'!C:C,A258+1)</f>
        <v>CapTech Ventures, Inc.</v>
      </c>
      <c r="C258" s="11" cm="1">
        <f t="array" ref="C258">INDEX('Enriched Data'!G:G,A258+1)</f>
        <v>484726.45</v>
      </c>
      <c r="D258" s="11">
        <f t="shared" si="10"/>
        <v>844439277.15999949</v>
      </c>
      <c r="E258" s="10">
        <f t="shared" si="11"/>
        <v>0.90260194045139697</v>
      </c>
    </row>
    <row r="259" spans="1:5">
      <c r="A259">
        <f t="shared" si="9"/>
        <v>258</v>
      </c>
      <c r="B259" t="str" cm="1">
        <f t="array" ref="B259">INDEX('Enriched Data'!C:C,A259+1)</f>
        <v>MLM Trucking</v>
      </c>
      <c r="C259" s="11" cm="1">
        <f t="array" ref="C259">INDEX('Enriched Data'!G:G,A259+1)</f>
        <v>483822</v>
      </c>
      <c r="D259" s="11">
        <f t="shared" si="10"/>
        <v>844923099.15999949</v>
      </c>
      <c r="E259" s="10">
        <f t="shared" si="11"/>
        <v>0.90311908678488084</v>
      </c>
    </row>
    <row r="260" spans="1:5">
      <c r="A260">
        <f t="shared" ref="A260:A323" si="12">A259+1</f>
        <v>259</v>
      </c>
      <c r="B260" t="str" cm="1">
        <f t="array" ref="B260">INDEX('Enriched Data'!C:C,A260+1)</f>
        <v>NJ Exit 5 Industrial Berry OwnerLLC</v>
      </c>
      <c r="C260" s="11" cm="1">
        <f t="array" ref="C260">INDEX('Enriched Data'!G:G,A260+1)</f>
        <v>482901.05</v>
      </c>
      <c r="D260" s="11">
        <f t="shared" ref="D260:D323" si="13">D259+C260</f>
        <v>845406000.20999944</v>
      </c>
      <c r="E260" s="10">
        <f t="shared" ref="E260:E323" si="14">D260/$F$2</f>
        <v>0.90363524873585255</v>
      </c>
    </row>
    <row r="261" spans="1:5">
      <c r="A261">
        <f t="shared" si="12"/>
        <v>260</v>
      </c>
      <c r="B261" t="str" cm="1">
        <f t="array" ref="B261">INDEX('Enriched Data'!C:C,A261+1)</f>
        <v>UFP Thornton, LLC</v>
      </c>
      <c r="C261" s="11" cm="1">
        <f t="array" ref="C261">INDEX('Enriched Data'!G:G,A261+1)</f>
        <v>480430.78</v>
      </c>
      <c r="D261" s="11">
        <f t="shared" si="13"/>
        <v>845886430.98999941</v>
      </c>
      <c r="E261" s="10">
        <f t="shared" si="14"/>
        <v>0.90414877027139617</v>
      </c>
    </row>
    <row r="262" spans="1:5">
      <c r="A262">
        <f t="shared" si="12"/>
        <v>261</v>
      </c>
      <c r="B262" t="str" cm="1">
        <f t="array" ref="B262">INDEX('Enriched Data'!C:C,A262+1)</f>
        <v>Giuffre Property Management, Inc.</v>
      </c>
      <c r="C262" s="11" cm="1">
        <f t="array" ref="C262">INDEX('Enriched Data'!G:G,A262+1)</f>
        <v>477641.17</v>
      </c>
      <c r="D262" s="11">
        <f t="shared" si="13"/>
        <v>846364072.15999937</v>
      </c>
      <c r="E262" s="10">
        <f t="shared" si="14"/>
        <v>0.90465931005624767</v>
      </c>
    </row>
    <row r="263" spans="1:5">
      <c r="A263">
        <f t="shared" si="12"/>
        <v>262</v>
      </c>
      <c r="B263" t="str" cm="1">
        <f t="array" ref="B263">INDEX('Enriched Data'!C:C,A263+1)</f>
        <v>SeaWorld Parks &amp; Entertainment</v>
      </c>
      <c r="C263" s="11" cm="1">
        <f t="array" ref="C263">INDEX('Enriched Data'!G:G,A263+1)</f>
        <v>477443.69</v>
      </c>
      <c r="D263" s="11">
        <f t="shared" si="13"/>
        <v>846841515.84999943</v>
      </c>
      <c r="E263" s="10">
        <f t="shared" si="14"/>
        <v>0.90516963875921808</v>
      </c>
    </row>
    <row r="264" spans="1:5">
      <c r="A264">
        <f t="shared" si="12"/>
        <v>263</v>
      </c>
      <c r="B264" t="str" cm="1">
        <f t="array" ref="B264">INDEX('Enriched Data'!C:C,A264+1)</f>
        <v>J&amp;B Holdings LLC</v>
      </c>
      <c r="C264" s="11" cm="1">
        <f t="array" ref="C264">INDEX('Enriched Data'!G:G,A264+1)</f>
        <v>476735.71</v>
      </c>
      <c r="D264" s="11">
        <f t="shared" si="13"/>
        <v>847318251.55999947</v>
      </c>
      <c r="E264" s="10">
        <f t="shared" si="14"/>
        <v>0.90567921071846624</v>
      </c>
    </row>
    <row r="265" spans="1:5">
      <c r="A265">
        <f t="shared" si="12"/>
        <v>264</v>
      </c>
      <c r="B265" t="str" cm="1">
        <f t="array" ref="B265">INDEX('Enriched Data'!C:C,A265+1)</f>
        <v>Infios US, Inc.</v>
      </c>
      <c r="C265" s="11" cm="1">
        <f t="array" ref="C265">INDEX('Enriched Data'!G:G,A265+1)</f>
        <v>474889.5</v>
      </c>
      <c r="D265" s="11">
        <f t="shared" si="13"/>
        <v>847793141.05999947</v>
      </c>
      <c r="E265" s="10">
        <f t="shared" si="14"/>
        <v>0.90618680930582896</v>
      </c>
    </row>
    <row r="266" spans="1:5">
      <c r="A266">
        <f t="shared" si="12"/>
        <v>265</v>
      </c>
      <c r="B266" t="str" cm="1">
        <f t="array" ref="B266">INDEX('Enriched Data'!C:C,A266+1)</f>
        <v>Poplar Logistics Center LLC</v>
      </c>
      <c r="C266" s="11" cm="1">
        <f t="array" ref="C266">INDEX('Enriched Data'!G:G,A266+1)</f>
        <v>473300.64</v>
      </c>
      <c r="D266" s="11">
        <f t="shared" si="13"/>
        <v>848266441.69999945</v>
      </c>
      <c r="E266" s="10">
        <f t="shared" si="14"/>
        <v>0.90669270959686898</v>
      </c>
    </row>
    <row r="267" spans="1:5">
      <c r="A267">
        <f t="shared" si="12"/>
        <v>266</v>
      </c>
      <c r="B267" t="str" cm="1">
        <f t="array" ref="B267">INDEX('Enriched Data'!C:C,A267+1)</f>
        <v>Midwest Diversified LLC</v>
      </c>
      <c r="C267" s="11" cm="1">
        <f t="array" ref="C267">INDEX('Enriched Data'!G:G,A267+1)</f>
        <v>469726.87</v>
      </c>
      <c r="D267" s="11">
        <f t="shared" si="13"/>
        <v>848736168.56999946</v>
      </c>
      <c r="E267" s="10">
        <f t="shared" si="14"/>
        <v>0.907194789966425</v>
      </c>
    </row>
    <row r="268" spans="1:5">
      <c r="A268">
        <f t="shared" si="12"/>
        <v>267</v>
      </c>
      <c r="B268" t="str" cm="1">
        <f t="array" ref="B268">INDEX('Enriched Data'!C:C,A268+1)</f>
        <v>NSA OP, LP</v>
      </c>
      <c r="C268" s="11" cm="1">
        <f t="array" ref="C268">INDEX('Enriched Data'!G:G,A268+1)</f>
        <v>469496.03</v>
      </c>
      <c r="D268" s="11">
        <f t="shared" si="13"/>
        <v>849205664.59999943</v>
      </c>
      <c r="E268" s="10">
        <f t="shared" si="14"/>
        <v>0.9076966235963545</v>
      </c>
    </row>
    <row r="269" spans="1:5">
      <c r="A269">
        <f t="shared" si="12"/>
        <v>268</v>
      </c>
      <c r="B269" t="str" cm="1">
        <f t="array" ref="B269">INDEX('Enriched Data'!C:C,A269+1)</f>
        <v>Sussex Land LLC</v>
      </c>
      <c r="C269" s="11" cm="1">
        <f t="array" ref="C269">INDEX('Enriched Data'!G:G,A269+1)</f>
        <v>467468.41</v>
      </c>
      <c r="D269" s="11">
        <f t="shared" si="13"/>
        <v>849673133.00999939</v>
      </c>
      <c r="E269" s="10">
        <f t="shared" si="14"/>
        <v>0.90819628994937485</v>
      </c>
    </row>
    <row r="270" spans="1:5">
      <c r="A270">
        <f t="shared" si="12"/>
        <v>269</v>
      </c>
      <c r="B270" t="str" cm="1">
        <f t="array" ref="B270">INDEX('Enriched Data'!C:C,A270+1)</f>
        <v>Trinity Commercial Prop</v>
      </c>
      <c r="C270" s="11" cm="1">
        <f t="array" ref="C270">INDEX('Enriched Data'!G:G,A270+1)</f>
        <v>462752</v>
      </c>
      <c r="D270" s="11">
        <f t="shared" si="13"/>
        <v>850135885.00999939</v>
      </c>
      <c r="E270" s="10">
        <f t="shared" si="14"/>
        <v>0.90869091503899946</v>
      </c>
    </row>
    <row r="271" spans="1:5">
      <c r="A271">
        <f t="shared" si="12"/>
        <v>270</v>
      </c>
      <c r="B271" t="str" cm="1">
        <f t="array" ref="B271">INDEX('Enriched Data'!C:C,A271+1)</f>
        <v>Mullins Properties, LLC</v>
      </c>
      <c r="C271" s="11" cm="1">
        <f t="array" ref="C271">INDEX('Enriched Data'!G:G,A271+1)</f>
        <v>453764.07</v>
      </c>
      <c r="D271" s="11">
        <f t="shared" si="13"/>
        <v>850589649.07999945</v>
      </c>
      <c r="E271" s="10">
        <f t="shared" si="14"/>
        <v>0.90917593313463629</v>
      </c>
    </row>
    <row r="272" spans="1:5">
      <c r="A272">
        <f t="shared" si="12"/>
        <v>271</v>
      </c>
      <c r="B272" t="str" cm="1">
        <f t="array" ref="B272">INDEX('Enriched Data'!C:C,A272+1)</f>
        <v>Principal U.S. Property Portfolio</v>
      </c>
      <c r="C272" s="11" cm="1">
        <f t="array" ref="C272">INDEX('Enriched Data'!G:G,A272+1)</f>
        <v>452453.07</v>
      </c>
      <c r="D272" s="11">
        <f t="shared" si="13"/>
        <v>851042102.1499995</v>
      </c>
      <c r="E272" s="10">
        <f t="shared" si="14"/>
        <v>0.90965954993218601</v>
      </c>
    </row>
    <row r="273" spans="1:5">
      <c r="A273">
        <f t="shared" si="12"/>
        <v>272</v>
      </c>
      <c r="B273" t="str" cm="1">
        <f t="array" ref="B273">INDEX('Enriched Data'!C:C,A273+1)</f>
        <v>Cass Information Systems, Inc</v>
      </c>
      <c r="C273" s="11" cm="1">
        <f t="array" ref="C273">INDEX('Enriched Data'!G:G,A273+1)</f>
        <v>451888.84</v>
      </c>
      <c r="D273" s="11">
        <f t="shared" si="13"/>
        <v>851493990.98999953</v>
      </c>
      <c r="E273" s="10">
        <f t="shared" si="14"/>
        <v>0.91014256363711943</v>
      </c>
    </row>
    <row r="274" spans="1:5">
      <c r="A274">
        <f t="shared" si="12"/>
        <v>273</v>
      </c>
      <c r="B274" t="str" cm="1">
        <f t="array" ref="B274">INDEX('Enriched Data'!C:C,A274+1)</f>
        <v>Insight Direct USA, Inc.</v>
      </c>
      <c r="C274" s="11" cm="1">
        <f t="array" ref="C274">INDEX('Enriched Data'!G:G,A274+1)</f>
        <v>451705.93</v>
      </c>
      <c r="D274" s="11">
        <f t="shared" si="13"/>
        <v>851945696.91999948</v>
      </c>
      <c r="E274" s="10">
        <f t="shared" si="14"/>
        <v>0.91062538183371322</v>
      </c>
    </row>
    <row r="275" spans="1:5">
      <c r="A275">
        <f t="shared" si="12"/>
        <v>274</v>
      </c>
      <c r="B275" t="str" cm="1">
        <f t="array" ref="B275">INDEX('Enriched Data'!C:C,A275+1)</f>
        <v>INDUS Realty</v>
      </c>
      <c r="C275" s="11" cm="1">
        <f t="array" ref="C275">INDEX('Enriched Data'!G:G,A275+1)</f>
        <v>443883.71</v>
      </c>
      <c r="D275" s="11">
        <f t="shared" si="13"/>
        <v>852389580.62999952</v>
      </c>
      <c r="E275" s="10">
        <f t="shared" si="14"/>
        <v>0.91109983903722969</v>
      </c>
    </row>
    <row r="276" spans="1:5">
      <c r="A276">
        <f t="shared" si="12"/>
        <v>275</v>
      </c>
      <c r="B276" t="str" cm="1">
        <f t="array" ref="B276">INDEX('Enriched Data'!C:C,A276+1)</f>
        <v>Quality Logistics LLC</v>
      </c>
      <c r="C276" s="11" cm="1">
        <f t="array" ref="C276">INDEX('Enriched Data'!G:G,A276+1)</f>
        <v>439867</v>
      </c>
      <c r="D276" s="11">
        <f t="shared" si="13"/>
        <v>852829447.62999952</v>
      </c>
      <c r="E276" s="10">
        <f t="shared" si="14"/>
        <v>0.91157000287076873</v>
      </c>
    </row>
    <row r="277" spans="1:5">
      <c r="A277">
        <f t="shared" si="12"/>
        <v>276</v>
      </c>
      <c r="B277" t="str" cm="1">
        <f t="array" ref="B277">INDEX('Enriched Data'!C:C,A277+1)</f>
        <v>Xn Financial Service Inc-can</v>
      </c>
      <c r="C277" s="11" cm="1">
        <f t="array" ref="C277">INDEX('Enriched Data'!G:G,A277+1)</f>
        <v>436656.2</v>
      </c>
      <c r="D277" s="11">
        <f t="shared" si="13"/>
        <v>853266103.82999957</v>
      </c>
      <c r="E277" s="10">
        <f t="shared" si="14"/>
        <v>0.9120367347532029</v>
      </c>
    </row>
    <row r="278" spans="1:5">
      <c r="A278">
        <f t="shared" si="12"/>
        <v>277</v>
      </c>
      <c r="B278" t="str" cm="1">
        <f t="array" ref="B278">INDEX('Enriched Data'!C:C,A278+1)</f>
        <v>Sam Logistics, LLC</v>
      </c>
      <c r="C278" s="11" cm="1">
        <f t="array" ref="C278">INDEX('Enriched Data'!G:G,A278+1)</f>
        <v>435366.01</v>
      </c>
      <c r="D278" s="11">
        <f t="shared" si="13"/>
        <v>853701469.83999956</v>
      </c>
      <c r="E278" s="10">
        <f t="shared" si="14"/>
        <v>0.91250208758088536</v>
      </c>
    </row>
    <row r="279" spans="1:5">
      <c r="A279">
        <f t="shared" si="12"/>
        <v>278</v>
      </c>
      <c r="B279" t="str" cm="1">
        <f t="array" ref="B279">INDEX('Enriched Data'!C:C,A279+1)</f>
        <v>Gordon Food Services Inc.</v>
      </c>
      <c r="C279" s="11" cm="1">
        <f t="array" ref="C279">INDEX('Enriched Data'!G:G,A279+1)</f>
        <v>433151.98</v>
      </c>
      <c r="D279" s="11">
        <f t="shared" si="13"/>
        <v>854134621.81999958</v>
      </c>
      <c r="E279" s="10">
        <f t="shared" si="14"/>
        <v>0.9129650738822489</v>
      </c>
    </row>
    <row r="280" spans="1:5">
      <c r="A280">
        <f t="shared" si="12"/>
        <v>279</v>
      </c>
      <c r="B280" t="str" cm="1">
        <f t="array" ref="B280">INDEX('Enriched Data'!C:C,A280+1)</f>
        <v>North Kingstown Warehouse LLC</v>
      </c>
      <c r="C280" s="11" cm="1">
        <f t="array" ref="C280">INDEX('Enriched Data'!G:G,A280+1)</f>
        <v>433032.69</v>
      </c>
      <c r="D280" s="11">
        <f t="shared" si="13"/>
        <v>854567654.50999963</v>
      </c>
      <c r="E280" s="10">
        <f t="shared" si="14"/>
        <v>0.91342793267724409</v>
      </c>
    </row>
    <row r="281" spans="1:5">
      <c r="A281">
        <f t="shared" si="12"/>
        <v>280</v>
      </c>
      <c r="B281" t="str" cm="1">
        <f t="array" ref="B281">INDEX('Enriched Data'!C:C,A281+1)</f>
        <v>Premier/SOM Airport Park, LLC</v>
      </c>
      <c r="C281" s="11" cm="1">
        <f t="array" ref="C281">INDEX('Enriched Data'!G:G,A281+1)</f>
        <v>430119.03</v>
      </c>
      <c r="D281" s="11">
        <f t="shared" si="13"/>
        <v>854997773.5399996</v>
      </c>
      <c r="E281" s="10">
        <f t="shared" si="14"/>
        <v>0.91388767712732311</v>
      </c>
    </row>
    <row r="282" spans="1:5">
      <c r="A282">
        <f t="shared" si="12"/>
        <v>281</v>
      </c>
      <c r="B282" t="str" cm="1">
        <f t="array" ref="B282">INDEX('Enriched Data'!C:C,A282+1)</f>
        <v>Harrisburg PA Warehouse LLC</v>
      </c>
      <c r="C282" s="11" cm="1">
        <f t="array" ref="C282">INDEX('Enriched Data'!G:G,A282+1)</f>
        <v>429862.79</v>
      </c>
      <c r="D282" s="11">
        <f t="shared" si="13"/>
        <v>855427636.32999957</v>
      </c>
      <c r="E282" s="10">
        <f t="shared" si="14"/>
        <v>0.91434714768829317</v>
      </c>
    </row>
    <row r="283" spans="1:5">
      <c r="A283">
        <f t="shared" si="12"/>
        <v>282</v>
      </c>
      <c r="B283" t="str" cm="1">
        <f t="array" ref="B283">INDEX('Enriched Data'!C:C,A283+1)</f>
        <v>CDW LLC</v>
      </c>
      <c r="C283" s="11" cm="1">
        <f t="array" ref="C283">INDEX('Enriched Data'!G:G,A283+1)</f>
        <v>423833.33</v>
      </c>
      <c r="D283" s="11">
        <f t="shared" si="13"/>
        <v>855851469.65999961</v>
      </c>
      <c r="E283" s="10">
        <f t="shared" si="14"/>
        <v>0.91480017349658171</v>
      </c>
    </row>
    <row r="284" spans="1:5">
      <c r="A284">
        <f t="shared" si="12"/>
        <v>283</v>
      </c>
      <c r="B284" t="str" cm="1">
        <f t="array" ref="B284">INDEX('Enriched Data'!C:C,A284+1)</f>
        <v>370 Allied Drive, LLC</v>
      </c>
      <c r="C284" s="11" cm="1">
        <f t="array" ref="C284">INDEX('Enriched Data'!G:G,A284+1)</f>
        <v>421644.05</v>
      </c>
      <c r="D284" s="11">
        <f t="shared" si="13"/>
        <v>856273113.70999956</v>
      </c>
      <c r="E284" s="10">
        <f t="shared" si="14"/>
        <v>0.91525085923326333</v>
      </c>
    </row>
    <row r="285" spans="1:5">
      <c r="A285">
        <f t="shared" si="12"/>
        <v>284</v>
      </c>
      <c r="B285" t="str" cm="1">
        <f t="array" ref="B285">INDEX('Enriched Data'!C:C,A285+1)</f>
        <v>TMW Systems</v>
      </c>
      <c r="C285" s="11" cm="1">
        <f t="array" ref="C285">INDEX('Enriched Data'!G:G,A285+1)</f>
        <v>418632.96000000002</v>
      </c>
      <c r="D285" s="11">
        <f t="shared" si="13"/>
        <v>856691746.6699996</v>
      </c>
      <c r="E285" s="10">
        <f t="shared" si="14"/>
        <v>0.91569832648431748</v>
      </c>
    </row>
    <row r="286" spans="1:5">
      <c r="A286">
        <f t="shared" si="12"/>
        <v>285</v>
      </c>
      <c r="B286" t="str" cm="1">
        <f t="array" ref="B286">INDEX('Enriched Data'!C:C,A286+1)</f>
        <v>Cintas Corporation No. 2 Chicago IL</v>
      </c>
      <c r="C286" s="11" cm="1">
        <f t="array" ref="C286">INDEX('Enriched Data'!G:G,A286+1)</f>
        <v>417239.07</v>
      </c>
      <c r="D286" s="11">
        <f t="shared" si="13"/>
        <v>857108985.73999965</v>
      </c>
      <c r="E286" s="10">
        <f t="shared" si="14"/>
        <v>0.91614430383804835</v>
      </c>
    </row>
    <row r="287" spans="1:5">
      <c r="A287">
        <f t="shared" si="12"/>
        <v>286</v>
      </c>
      <c r="B287" t="str" cm="1">
        <f t="array" ref="B287">INDEX('Enriched Data'!C:C,A287+1)</f>
        <v>WPT Reeves Place, LP-DO NOT USE. USE 152248</v>
      </c>
      <c r="C287" s="11" cm="1">
        <f t="array" ref="C287">INDEX('Enriched Data'!G:G,A287+1)</f>
        <v>416678.07</v>
      </c>
      <c r="D287" s="11">
        <f t="shared" si="13"/>
        <v>857525663.8099997</v>
      </c>
      <c r="E287" s="10">
        <f t="shared" si="14"/>
        <v>0.91658968155163645</v>
      </c>
    </row>
    <row r="288" spans="1:5">
      <c r="A288">
        <f t="shared" si="12"/>
        <v>287</v>
      </c>
      <c r="B288" t="str" cm="1">
        <f t="array" ref="B288">INDEX('Enriched Data'!C:C,A288+1)</f>
        <v>CBRE, Inc.</v>
      </c>
      <c r="C288" s="11" cm="1">
        <f t="array" ref="C288">INDEX('Enriched Data'!G:G,A288+1)</f>
        <v>412527.38</v>
      </c>
      <c r="D288" s="11">
        <f t="shared" si="13"/>
        <v>857938191.1899997</v>
      </c>
      <c r="E288" s="10">
        <f t="shared" si="14"/>
        <v>0.91703062268707203</v>
      </c>
    </row>
    <row r="289" spans="1:5">
      <c r="A289">
        <f t="shared" si="12"/>
        <v>288</v>
      </c>
      <c r="B289" t="str" cm="1">
        <f t="array" ref="B289">INDEX('Enriched Data'!C:C,A289+1)</f>
        <v>Waste Dynamics, LLC</v>
      </c>
      <c r="C289" s="11" cm="1">
        <f t="array" ref="C289">INDEX('Enriched Data'!G:G,A289+1)</f>
        <v>410454.67</v>
      </c>
      <c r="D289" s="11">
        <f t="shared" si="13"/>
        <v>858348645.85999966</v>
      </c>
      <c r="E289" s="10">
        <f t="shared" si="14"/>
        <v>0.91746934834992289</v>
      </c>
    </row>
    <row r="290" spans="1:5">
      <c r="A290">
        <f t="shared" si="12"/>
        <v>289</v>
      </c>
      <c r="B290" t="str" cm="1">
        <f t="array" ref="B290">INDEX('Enriched Data'!C:C,A290+1)</f>
        <v>Snowflake, Inc.</v>
      </c>
      <c r="C290" s="11" cm="1">
        <f t="array" ref="C290">INDEX('Enriched Data'!G:G,A290+1)</f>
        <v>400000</v>
      </c>
      <c r="D290" s="11">
        <f t="shared" si="13"/>
        <v>858748645.85999966</v>
      </c>
      <c r="E290" s="10">
        <f t="shared" si="14"/>
        <v>0.91789689925375439</v>
      </c>
    </row>
    <row r="291" spans="1:5">
      <c r="A291">
        <f t="shared" si="12"/>
        <v>290</v>
      </c>
      <c r="B291" t="str" cm="1">
        <f t="array" ref="B291">INDEX('Enriched Data'!C:C,A291+1)</f>
        <v>Plymouth STL Commerce Center MO LLC</v>
      </c>
      <c r="C291" s="11" cm="1">
        <f t="array" ref="C291">INDEX('Enriched Data'!G:G,A291+1)</f>
        <v>398183.91</v>
      </c>
      <c r="D291" s="11">
        <f t="shared" si="13"/>
        <v>859146829.76999962</v>
      </c>
      <c r="E291" s="10">
        <f t="shared" si="14"/>
        <v>0.91832250898028345</v>
      </c>
    </row>
    <row r="292" spans="1:5">
      <c r="A292">
        <f t="shared" si="12"/>
        <v>291</v>
      </c>
      <c r="B292" t="str" cm="1">
        <f t="array" ref="B292">INDEX('Enriched Data'!C:C,A292+1)</f>
        <v>Vaccinated LP</v>
      </c>
      <c r="C292" s="11" cm="1">
        <f t="array" ref="C292">INDEX('Enriched Data'!G:G,A292+1)</f>
        <v>392374.81</v>
      </c>
      <c r="D292" s="11">
        <f t="shared" si="13"/>
        <v>859539204.57999957</v>
      </c>
      <c r="E292" s="10">
        <f t="shared" si="14"/>
        <v>0.91874190949192391</v>
      </c>
    </row>
    <row r="293" spans="1:5">
      <c r="A293">
        <f t="shared" si="12"/>
        <v>292</v>
      </c>
      <c r="B293" t="str" cm="1">
        <f t="array" ref="B293">INDEX('Enriched Data'!C:C,A293+1)</f>
        <v>ES REIT I, LLC</v>
      </c>
      <c r="C293" s="11" cm="1">
        <f t="array" ref="C293">INDEX('Enriched Data'!G:G,A293+1)</f>
        <v>391596.95</v>
      </c>
      <c r="D293" s="11">
        <f t="shared" si="13"/>
        <v>859930801.52999961</v>
      </c>
      <c r="E293" s="10">
        <f t="shared" si="14"/>
        <v>0.91916047856669936</v>
      </c>
    </row>
    <row r="294" spans="1:5">
      <c r="A294">
        <f t="shared" si="12"/>
        <v>293</v>
      </c>
      <c r="B294" t="str" cm="1">
        <f t="array" ref="B294">INDEX('Enriched Data'!C:C,A294+1)</f>
        <v>McNeary, Inc.</v>
      </c>
      <c r="C294" s="11" cm="1">
        <f t="array" ref="C294">INDEX('Enriched Data'!G:G,A294+1)</f>
        <v>383388.17</v>
      </c>
      <c r="D294" s="11">
        <f t="shared" si="13"/>
        <v>860314189.69999957</v>
      </c>
      <c r="E294" s="10">
        <f t="shared" si="14"/>
        <v>0.91957027346320386</v>
      </c>
    </row>
    <row r="295" spans="1:5">
      <c r="A295">
        <f t="shared" si="12"/>
        <v>294</v>
      </c>
      <c r="B295" t="str" cm="1">
        <f t="array" ref="B295">INDEX('Enriched Data'!C:C,A295+1)</f>
        <v>Trinity Commerical Property GP</v>
      </c>
      <c r="C295" s="11" cm="1">
        <f t="array" ref="C295">INDEX('Enriched Data'!G:G,A295+1)</f>
        <v>382186.47</v>
      </c>
      <c r="D295" s="11">
        <f t="shared" si="13"/>
        <v>860696376.1699996</v>
      </c>
      <c r="E295" s="10">
        <f t="shared" si="14"/>
        <v>0.9199787838899055</v>
      </c>
    </row>
    <row r="296" spans="1:5">
      <c r="A296">
        <f t="shared" si="12"/>
        <v>295</v>
      </c>
      <c r="B296" t="str" cm="1">
        <f t="array" ref="B296">INDEX('Enriched Data'!C:C,A296+1)</f>
        <v>Fedex Freight</v>
      </c>
      <c r="C296" s="11" cm="1">
        <f t="array" ref="C296">INDEX('Enriched Data'!G:G,A296+1)</f>
        <v>381673.19</v>
      </c>
      <c r="D296" s="11">
        <f t="shared" si="13"/>
        <v>861078049.35999966</v>
      </c>
      <c r="E296" s="10">
        <f t="shared" si="14"/>
        <v>0.92038674568328738</v>
      </c>
    </row>
    <row r="297" spans="1:5">
      <c r="A297">
        <f t="shared" si="12"/>
        <v>296</v>
      </c>
      <c r="B297" t="str" cm="1">
        <f t="array" ref="B297">INDEX('Enriched Data'!C:C,A297+1)</f>
        <v>Taylor Drive Associates, LLC</v>
      </c>
      <c r="C297" s="11" cm="1">
        <f t="array" ref="C297">INDEX('Enriched Data'!G:G,A297+1)</f>
        <v>378897.66</v>
      </c>
      <c r="D297" s="11">
        <f t="shared" si="13"/>
        <v>861456947.01999962</v>
      </c>
      <c r="E297" s="10">
        <f t="shared" si="14"/>
        <v>0.92079174077576897</v>
      </c>
    </row>
    <row r="298" spans="1:5">
      <c r="A298">
        <f t="shared" si="12"/>
        <v>297</v>
      </c>
      <c r="B298" t="str" cm="1">
        <f t="array" ref="B298">INDEX('Enriched Data'!C:C,A298+1)</f>
        <v>Fuego UX LLC</v>
      </c>
      <c r="C298" s="11" cm="1">
        <f t="array" ref="C298">INDEX('Enriched Data'!G:G,A298+1)</f>
        <v>378880</v>
      </c>
      <c r="D298" s="11">
        <f t="shared" si="13"/>
        <v>861835827.01999962</v>
      </c>
      <c r="E298" s="10">
        <f t="shared" si="14"/>
        <v>0.92119671699187811</v>
      </c>
    </row>
    <row r="299" spans="1:5">
      <c r="A299">
        <f t="shared" si="12"/>
        <v>298</v>
      </c>
      <c r="B299" t="str" cm="1">
        <f t="array" ref="B299">INDEX('Enriched Data'!C:C,A299+1)</f>
        <v>Carney Family Trust 2019</v>
      </c>
      <c r="C299" s="11" cm="1">
        <f t="array" ref="C299">INDEX('Enriched Data'!G:G,A299+1)</f>
        <v>376321.18</v>
      </c>
      <c r="D299" s="11">
        <f t="shared" si="13"/>
        <v>862212148.19999957</v>
      </c>
      <c r="E299" s="10">
        <f t="shared" si="14"/>
        <v>0.92159895814347792</v>
      </c>
    </row>
    <row r="300" spans="1:5">
      <c r="A300">
        <f t="shared" si="12"/>
        <v>299</v>
      </c>
      <c r="B300" t="str" cm="1">
        <f t="array" ref="B300">INDEX('Enriched Data'!C:C,A300+1)</f>
        <v>Scicom Infrastructure Servs</v>
      </c>
      <c r="C300" s="11" cm="1">
        <f t="array" ref="C300">INDEX('Enriched Data'!G:G,A300+1)</f>
        <v>375698.35</v>
      </c>
      <c r="D300" s="11">
        <f t="shared" si="13"/>
        <v>862587846.54999959</v>
      </c>
      <c r="E300" s="10">
        <f t="shared" si="14"/>
        <v>0.92200053356625422</v>
      </c>
    </row>
    <row r="301" spans="1:5">
      <c r="A301">
        <f t="shared" si="12"/>
        <v>300</v>
      </c>
      <c r="B301" t="str" cm="1">
        <f t="array" ref="B301">INDEX('Enriched Data'!C:C,A301+1)</f>
        <v>Ring Power Corp.</v>
      </c>
      <c r="C301" s="11" cm="1">
        <f t="array" ref="C301">INDEX('Enriched Data'!G:G,A301+1)</f>
        <v>375420.71</v>
      </c>
      <c r="D301" s="11">
        <f t="shared" si="13"/>
        <v>862963267.25999963</v>
      </c>
      <c r="E301" s="10">
        <f t="shared" si="14"/>
        <v>0.92240181222594808</v>
      </c>
    </row>
    <row r="302" spans="1:5">
      <c r="A302">
        <f t="shared" si="12"/>
        <v>301</v>
      </c>
      <c r="B302" t="str" cm="1">
        <f t="array" ref="B302">INDEX('Enriched Data'!C:C,A302+1)</f>
        <v>TBD Bo Caldwell ID, LLP</v>
      </c>
      <c r="C302" s="11" cm="1">
        <f t="array" ref="C302">INDEX('Enriched Data'!G:G,A302+1)</f>
        <v>374805.45</v>
      </c>
      <c r="D302" s="11">
        <f t="shared" si="13"/>
        <v>863338072.70999968</v>
      </c>
      <c r="E302" s="10">
        <f t="shared" si="14"/>
        <v>0.92280243324821931</v>
      </c>
    </row>
    <row r="303" spans="1:5">
      <c r="A303">
        <f t="shared" si="12"/>
        <v>302</v>
      </c>
      <c r="B303" t="str" cm="1">
        <f t="array" ref="B303">INDEX('Enriched Data'!C:C,A303+1)</f>
        <v>Palm Bay One Properties LLC</v>
      </c>
      <c r="C303" s="11" cm="1">
        <f t="array" ref="C303">INDEX('Enriched Data'!G:G,A303+1)</f>
        <v>374250</v>
      </c>
      <c r="D303" s="11">
        <f t="shared" si="13"/>
        <v>863712322.70999968</v>
      </c>
      <c r="E303" s="10">
        <f t="shared" si="14"/>
        <v>0.92320246056261668</v>
      </c>
    </row>
    <row r="304" spans="1:5">
      <c r="A304">
        <f t="shared" si="12"/>
        <v>303</v>
      </c>
      <c r="B304" t="str" cm="1">
        <f t="array" ref="B304">INDEX('Enriched Data'!C:C,A304+1)</f>
        <v>BBIC Investors SPE, LLC</v>
      </c>
      <c r="C304" s="11" cm="1">
        <f t="array" ref="C304">INDEX('Enriched Data'!G:G,A304+1)</f>
        <v>369187.58</v>
      </c>
      <c r="D304" s="11">
        <f t="shared" si="13"/>
        <v>864081510.28999972</v>
      </c>
      <c r="E304" s="10">
        <f t="shared" si="14"/>
        <v>0.92359707677139757</v>
      </c>
    </row>
    <row r="305" spans="1:5">
      <c r="A305">
        <f t="shared" si="12"/>
        <v>304</v>
      </c>
      <c r="B305" t="str" cm="1">
        <f t="array" ref="B305">INDEX('Enriched Data'!C:C,A305+1)</f>
        <v>100 Readington Road LLC</v>
      </c>
      <c r="C305" s="11" cm="1">
        <f t="array" ref="C305">INDEX('Enriched Data'!G:G,A305+1)</f>
        <v>367980.18</v>
      </c>
      <c r="D305" s="11">
        <f t="shared" si="13"/>
        <v>864449490.46999967</v>
      </c>
      <c r="E305" s="10">
        <f t="shared" si="14"/>
        <v>0.92399040241777519</v>
      </c>
    </row>
    <row r="306" spans="1:5">
      <c r="A306">
        <f t="shared" si="12"/>
        <v>305</v>
      </c>
      <c r="B306" t="str" cm="1">
        <f t="array" ref="B306">INDEX('Enriched Data'!C:C,A306+1)</f>
        <v>Continental Tire the Americas, LLC</v>
      </c>
      <c r="C306" s="11" cm="1">
        <f t="array" ref="C306">INDEX('Enriched Data'!G:G,A306+1)</f>
        <v>366048.67</v>
      </c>
      <c r="D306" s="11">
        <f t="shared" si="13"/>
        <v>864815539.13999963</v>
      </c>
      <c r="E306" s="10">
        <f t="shared" si="14"/>
        <v>0.92438166351703721</v>
      </c>
    </row>
    <row r="307" spans="1:5">
      <c r="A307">
        <f t="shared" si="12"/>
        <v>306</v>
      </c>
      <c r="B307" t="str" cm="1">
        <f t="array" ref="B307">INDEX('Enriched Data'!C:C,A307+1)</f>
        <v>Penny L Clouser dba Country Auto</v>
      </c>
      <c r="C307" s="11" cm="1">
        <f t="array" ref="C307">INDEX('Enriched Data'!G:G,A307+1)</f>
        <v>365991.95</v>
      </c>
      <c r="D307" s="11">
        <f t="shared" si="13"/>
        <v>865181531.08999968</v>
      </c>
      <c r="E307" s="10">
        <f t="shared" si="14"/>
        <v>0.92477286398958114</v>
      </c>
    </row>
    <row r="308" spans="1:5">
      <c r="A308">
        <f t="shared" si="12"/>
        <v>307</v>
      </c>
      <c r="B308" t="str" cm="1">
        <f t="array" ref="B308">INDEX('Enriched Data'!C:C,A308+1)</f>
        <v>Nexcom</v>
      </c>
      <c r="C308" s="11" cm="1">
        <f t="array" ref="C308">INDEX('Enriched Data'!G:G,A308+1)</f>
        <v>365194.23999999999</v>
      </c>
      <c r="D308" s="11">
        <f t="shared" si="13"/>
        <v>865546725.32999969</v>
      </c>
      <c r="E308" s="10">
        <f t="shared" si="14"/>
        <v>0.92516321180804617</v>
      </c>
    </row>
    <row r="309" spans="1:5">
      <c r="A309">
        <f t="shared" si="12"/>
        <v>308</v>
      </c>
      <c r="B309" t="str" cm="1">
        <f t="array" ref="B309">INDEX('Enriched Data'!C:C,A309+1)</f>
        <v>Cape Fare Holding LLC</v>
      </c>
      <c r="C309" s="11" cm="1">
        <f t="array" ref="C309">INDEX('Enriched Data'!G:G,A309+1)</f>
        <v>365107.16</v>
      </c>
      <c r="D309" s="11">
        <f t="shared" si="13"/>
        <v>865911832.48999965</v>
      </c>
      <c r="E309" s="10">
        <f t="shared" si="14"/>
        <v>0.92555346654867954</v>
      </c>
    </row>
    <row r="310" spans="1:5">
      <c r="A310">
        <f t="shared" si="12"/>
        <v>309</v>
      </c>
      <c r="B310" t="str" cm="1">
        <f t="array" ref="B310">INDEX('Enriched Data'!C:C,A310+1)</f>
        <v>Exxpand Export Management Corp</v>
      </c>
      <c r="C310" s="11" cm="1">
        <f t="array" ref="C310">INDEX('Enriched Data'!G:G,A310+1)</f>
        <v>357348.99</v>
      </c>
      <c r="D310" s="11">
        <f t="shared" si="13"/>
        <v>866269181.47999966</v>
      </c>
      <c r="E310" s="10">
        <f t="shared" si="14"/>
        <v>0.92593542875782398</v>
      </c>
    </row>
    <row r="311" spans="1:5">
      <c r="A311">
        <f t="shared" si="12"/>
        <v>310</v>
      </c>
      <c r="B311" t="str" cm="1">
        <f t="array" ref="B311">INDEX('Enriched Data'!C:C,A311+1)</f>
        <v>Motive Technologies, Inc.</v>
      </c>
      <c r="C311" s="11" cm="1">
        <f t="array" ref="C311">INDEX('Enriched Data'!G:G,A311+1)</f>
        <v>355819.54</v>
      </c>
      <c r="D311" s="11">
        <f t="shared" si="13"/>
        <v>866625001.01999962</v>
      </c>
      <c r="E311" s="10">
        <f t="shared" si="14"/>
        <v>0.92631575617264372</v>
      </c>
    </row>
    <row r="312" spans="1:5">
      <c r="A312">
        <f t="shared" si="12"/>
        <v>311</v>
      </c>
      <c r="B312" t="str" cm="1">
        <f t="array" ref="B312">INDEX('Enriched Data'!C:C,A312+1)</f>
        <v>Atlantic Solution Group</v>
      </c>
      <c r="C312" s="11" cm="1">
        <f t="array" ref="C312">INDEX('Enriched Data'!G:G,A312+1)</f>
        <v>355383.2</v>
      </c>
      <c r="D312" s="11">
        <f t="shared" si="13"/>
        <v>866980384.21999967</v>
      </c>
      <c r="E312" s="10">
        <f t="shared" si="14"/>
        <v>0.92669561719356008</v>
      </c>
    </row>
    <row r="313" spans="1:5">
      <c r="A313">
        <f t="shared" si="12"/>
        <v>312</v>
      </c>
      <c r="B313" t="str" cm="1">
        <f t="array" ref="B313">INDEX('Enriched Data'!C:C,A313+1)</f>
        <v>D &amp; PR</v>
      </c>
      <c r="C313" s="11" cm="1">
        <f t="array" ref="C313">INDEX('Enriched Data'!G:G,A313+1)</f>
        <v>350241.08</v>
      </c>
      <c r="D313" s="11">
        <f t="shared" si="13"/>
        <v>867330625.29999971</v>
      </c>
      <c r="E313" s="10">
        <f t="shared" si="14"/>
        <v>0.92706998191934242</v>
      </c>
    </row>
    <row r="314" spans="1:5">
      <c r="A314">
        <f t="shared" si="12"/>
        <v>313</v>
      </c>
      <c r="B314" t="str" cm="1">
        <f t="array" ref="B314">INDEX('Enriched Data'!C:C,A314+1)</f>
        <v>Phelps Dunbar LLP</v>
      </c>
      <c r="C314" s="11" cm="1">
        <f t="array" ref="C314">INDEX('Enriched Data'!G:G,A314+1)</f>
        <v>348862.61</v>
      </c>
      <c r="D314" s="11">
        <f t="shared" si="13"/>
        <v>867679487.90999973</v>
      </c>
      <c r="E314" s="10">
        <f t="shared" si="14"/>
        <v>0.92744287322988872</v>
      </c>
    </row>
    <row r="315" spans="1:5">
      <c r="A315">
        <f t="shared" si="12"/>
        <v>314</v>
      </c>
      <c r="B315" t="str" cm="1">
        <f t="array" ref="B315">INDEX('Enriched Data'!C:C,A315+1)</f>
        <v>First Onsite Property Restoration</v>
      </c>
      <c r="C315" s="11" cm="1">
        <f t="array" ref="C315">INDEX('Enriched Data'!G:G,A315+1)</f>
        <v>348797.68</v>
      </c>
      <c r="D315" s="11">
        <f t="shared" si="13"/>
        <v>868028285.58999968</v>
      </c>
      <c r="E315" s="10">
        <f t="shared" si="14"/>
        <v>0.92781569513823436</v>
      </c>
    </row>
    <row r="316" spans="1:5">
      <c r="A316">
        <f t="shared" si="12"/>
        <v>315</v>
      </c>
      <c r="B316" t="str" cm="1">
        <f t="array" ref="B316">INDEX('Enriched Data'!C:C,A316+1)</f>
        <v>The Pasha Group</v>
      </c>
      <c r="C316" s="11" cm="1">
        <f t="array" ref="C316">INDEX('Enriched Data'!G:G,A316+1)</f>
        <v>348434.89</v>
      </c>
      <c r="D316" s="11">
        <f t="shared" si="13"/>
        <v>868376720.47999966</v>
      </c>
      <c r="E316" s="10">
        <f t="shared" si="14"/>
        <v>0.92818812926859917</v>
      </c>
    </row>
    <row r="317" spans="1:5">
      <c r="A317">
        <f t="shared" si="12"/>
        <v>316</v>
      </c>
      <c r="B317" t="str" cm="1">
        <f t="array" ref="B317">INDEX('Enriched Data'!C:C,A317+1)</f>
        <v>K &amp; M Transport, LLC</v>
      </c>
      <c r="C317" s="11" cm="1">
        <f t="array" ref="C317">INDEX('Enriched Data'!G:G,A317+1)</f>
        <v>347825</v>
      </c>
      <c r="D317" s="11">
        <f t="shared" si="13"/>
        <v>868724545.47999966</v>
      </c>
      <c r="E317" s="10">
        <f t="shared" si="14"/>
        <v>0.92855991150141215</v>
      </c>
    </row>
    <row r="318" spans="1:5">
      <c r="A318">
        <f t="shared" si="12"/>
        <v>317</v>
      </c>
      <c r="B318" t="str" cm="1">
        <f t="array" ref="B318">INDEX('Enriched Data'!C:C,A318+1)</f>
        <v>Compuquip Security</v>
      </c>
      <c r="C318" s="11" cm="1">
        <f t="array" ref="C318">INDEX('Enriched Data'!G:G,A318+1)</f>
        <v>340660.12</v>
      </c>
      <c r="D318" s="11">
        <f t="shared" si="13"/>
        <v>869065205.59999967</v>
      </c>
      <c r="E318" s="10">
        <f t="shared" si="14"/>
        <v>0.92892403535692547</v>
      </c>
    </row>
    <row r="319" spans="1:5">
      <c r="A319">
        <f t="shared" si="12"/>
        <v>318</v>
      </c>
      <c r="B319" t="str" cm="1">
        <f t="array" ref="B319">INDEX('Enriched Data'!C:C,A319+1)</f>
        <v>ADT Commerical LLC</v>
      </c>
      <c r="C319" s="11" cm="1">
        <f t="array" ref="C319">INDEX('Enriched Data'!G:G,A319+1)</f>
        <v>339258.98</v>
      </c>
      <c r="D319" s="11">
        <f t="shared" si="13"/>
        <v>869404464.57999969</v>
      </c>
      <c r="E319" s="10">
        <f t="shared" si="14"/>
        <v>0.92928666156575546</v>
      </c>
    </row>
    <row r="320" spans="1:5">
      <c r="A320">
        <f t="shared" si="12"/>
        <v>319</v>
      </c>
      <c r="B320" t="str" cm="1">
        <f t="array" ref="B320">INDEX('Enriched Data'!C:C,A320+1)</f>
        <v>New Heights Industrial Park, LLC</v>
      </c>
      <c r="C320" s="11" cm="1">
        <f t="array" ref="C320">INDEX('Enriched Data'!G:G,A320+1)</f>
        <v>335410.81</v>
      </c>
      <c r="D320" s="11">
        <f t="shared" si="13"/>
        <v>869739875.38999963</v>
      </c>
      <c r="E320" s="10">
        <f t="shared" si="14"/>
        <v>0.92964517455318119</v>
      </c>
    </row>
    <row r="321" spans="1:5">
      <c r="A321">
        <f t="shared" si="12"/>
        <v>320</v>
      </c>
      <c r="B321" t="str" cm="1">
        <f t="array" ref="B321">INDEX('Enriched Data'!C:C,A321+1)</f>
        <v>VPF Properties LLC</v>
      </c>
      <c r="C321" s="11" cm="1">
        <f t="array" ref="C321">INDEX('Enriched Data'!G:G,A321+1)</f>
        <v>330900</v>
      </c>
      <c r="D321" s="11">
        <f t="shared" si="13"/>
        <v>870070775.38999963</v>
      </c>
      <c r="E321" s="10">
        <f t="shared" si="14"/>
        <v>0.92999886603837578</v>
      </c>
    </row>
    <row r="322" spans="1:5">
      <c r="A322">
        <f t="shared" si="12"/>
        <v>321</v>
      </c>
      <c r="B322" t="str" cm="1">
        <f t="array" ref="B322">INDEX('Enriched Data'!C:C,A322+1)</f>
        <v>Mustard Street Complex LLC</v>
      </c>
      <c r="C322" s="11" cm="1">
        <f t="array" ref="C322">INDEX('Enriched Data'!G:G,A322+1)</f>
        <v>329607.24</v>
      </c>
      <c r="D322" s="11">
        <f t="shared" si="13"/>
        <v>870400382.62999964</v>
      </c>
      <c r="E322" s="10">
        <f t="shared" si="14"/>
        <v>0.93035117572180437</v>
      </c>
    </row>
    <row r="323" spans="1:5">
      <c r="A323">
        <f t="shared" si="12"/>
        <v>322</v>
      </c>
      <c r="B323" t="str" cm="1">
        <f t="array" ref="B323">INDEX('Enriched Data'!C:C,A323+1)</f>
        <v>Leetsdale II</v>
      </c>
      <c r="C323" s="11" cm="1">
        <f t="array" ref="C323">INDEX('Enriched Data'!G:G,A323+1)</f>
        <v>329572.71000000002</v>
      </c>
      <c r="D323" s="11">
        <f t="shared" si="13"/>
        <v>870729955.33999968</v>
      </c>
      <c r="E323" s="10">
        <f t="shared" si="14"/>
        <v>0.93070344849690112</v>
      </c>
    </row>
    <row r="324" spans="1:5">
      <c r="A324">
        <f t="shared" ref="A324:A387" si="15">A323+1</f>
        <v>323</v>
      </c>
      <c r="B324" t="str" cm="1">
        <f t="array" ref="B324">INDEX('Enriched Data'!C:C,A324+1)</f>
        <v>Donald C.Boatman</v>
      </c>
      <c r="C324" s="11" cm="1">
        <f t="array" ref="C324">INDEX('Enriched Data'!G:G,A324+1)</f>
        <v>327252.96000000002</v>
      </c>
      <c r="D324" s="11">
        <f t="shared" ref="D324:D387" si="16">D323+C324</f>
        <v>871057208.29999971</v>
      </c>
      <c r="E324" s="10">
        <f t="shared" ref="E324:E387" si="17">D324/$F$2</f>
        <v>0.93105324174397497</v>
      </c>
    </row>
    <row r="325" spans="1:5">
      <c r="A325">
        <f t="shared" si="15"/>
        <v>324</v>
      </c>
      <c r="B325" t="str" cm="1">
        <f t="array" ref="B325">INDEX('Enriched Data'!C:C,A325+1)</f>
        <v>Alpaca Investments</v>
      </c>
      <c r="C325" s="11" cm="1">
        <f t="array" ref="C325">INDEX('Enriched Data'!G:G,A325+1)</f>
        <v>325902.68</v>
      </c>
      <c r="D325" s="11">
        <f t="shared" si="16"/>
        <v>871383110.97999966</v>
      </c>
      <c r="E325" s="10">
        <f t="shared" si="17"/>
        <v>0.93140159170746262</v>
      </c>
    </row>
    <row r="326" spans="1:5">
      <c r="A326">
        <f t="shared" si="15"/>
        <v>325</v>
      </c>
      <c r="B326" t="str" cm="1">
        <f t="array" ref="B326">INDEX('Enriched Data'!C:C,A326+1)</f>
        <v>Randstad North America, Inc.</v>
      </c>
      <c r="C326" s="11" cm="1">
        <f t="array" ref="C326">INDEX('Enriched Data'!G:G,A326+1)</f>
        <v>324823.78999999998</v>
      </c>
      <c r="D326" s="11">
        <f t="shared" si="16"/>
        <v>871707934.76999962</v>
      </c>
      <c r="E326" s="10">
        <f t="shared" si="17"/>
        <v>0.93174878846996378</v>
      </c>
    </row>
    <row r="327" spans="1:5">
      <c r="A327">
        <f t="shared" si="15"/>
        <v>326</v>
      </c>
      <c r="B327" t="str" cm="1">
        <f t="array" ref="B327">INDEX('Enriched Data'!C:C,A327+1)</f>
        <v>Sea Box Inc.</v>
      </c>
      <c r="C327" s="11" cm="1">
        <f t="array" ref="C327">INDEX('Enriched Data'!G:G,A327+1)</f>
        <v>322859.52000000002</v>
      </c>
      <c r="D327" s="11">
        <f t="shared" si="16"/>
        <v>872030794.2899996</v>
      </c>
      <c r="E327" s="10">
        <f t="shared" si="17"/>
        <v>0.93209388566893026</v>
      </c>
    </row>
    <row r="328" spans="1:5">
      <c r="A328">
        <f t="shared" si="15"/>
        <v>327</v>
      </c>
      <c r="B328" t="str" cm="1">
        <f t="array" ref="B328">INDEX('Enriched Data'!C:C,A328+1)</f>
        <v>C H Robinson Worldwide Inc</v>
      </c>
      <c r="C328" s="11" cm="1">
        <f t="array" ref="C328">INDEX('Enriched Data'!G:G,A328+1)</f>
        <v>319820</v>
      </c>
      <c r="D328" s="11">
        <f t="shared" si="16"/>
        <v>872350614.2899996</v>
      </c>
      <c r="E328" s="10">
        <f t="shared" si="17"/>
        <v>0.93243573399408874</v>
      </c>
    </row>
    <row r="329" spans="1:5">
      <c r="A329">
        <f t="shared" si="15"/>
        <v>328</v>
      </c>
      <c r="B329" t="str" cm="1">
        <f t="array" ref="B329">INDEX('Enriched Data'!C:C,A329+1)</f>
        <v>Heller Industrial Parks</v>
      </c>
      <c r="C329" s="11" cm="1">
        <f t="array" ref="C329">INDEX('Enriched Data'!G:G,A329+1)</f>
        <v>318070.56</v>
      </c>
      <c r="D329" s="11">
        <f t="shared" si="16"/>
        <v>872668684.84999955</v>
      </c>
      <c r="E329" s="10">
        <f t="shared" si="17"/>
        <v>0.93277571238261414</v>
      </c>
    </row>
    <row r="330" spans="1:5">
      <c r="A330">
        <f t="shared" si="15"/>
        <v>329</v>
      </c>
      <c r="B330" t="str" cm="1">
        <f t="array" ref="B330">INDEX('Enriched Data'!C:C,A330+1)</f>
        <v>Clara Ridgely Properties LLC</v>
      </c>
      <c r="C330" s="11" cm="1">
        <f t="array" ref="C330">INDEX('Enriched Data'!G:G,A330+1)</f>
        <v>316579.84000000003</v>
      </c>
      <c r="D330" s="11">
        <f t="shared" si="16"/>
        <v>872985264.68999958</v>
      </c>
      <c r="E330" s="10">
        <f t="shared" si="17"/>
        <v>0.93311409737443118</v>
      </c>
    </row>
    <row r="331" spans="1:5">
      <c r="A331">
        <f t="shared" si="15"/>
        <v>330</v>
      </c>
      <c r="B331" t="str" cm="1">
        <f t="array" ref="B331">INDEX('Enriched Data'!C:C,A331+1)</f>
        <v>H3Four General Contractors</v>
      </c>
      <c r="C331" s="11" cm="1">
        <f t="array" ref="C331">INDEX('Enriched Data'!G:G,A331+1)</f>
        <v>314685</v>
      </c>
      <c r="D331" s="11">
        <f t="shared" si="16"/>
        <v>873299949.68999958</v>
      </c>
      <c r="E331" s="10">
        <f t="shared" si="17"/>
        <v>0.93345045701486173</v>
      </c>
    </row>
    <row r="332" spans="1:5">
      <c r="A332">
        <f t="shared" si="15"/>
        <v>331</v>
      </c>
      <c r="B332" t="str" cm="1">
        <f t="array" ref="B332">INDEX('Enriched Data'!C:C,A332+1)</f>
        <v>MEGHA HOLDINGS INC.</v>
      </c>
      <c r="C332" s="11" cm="1">
        <f t="array" ref="C332">INDEX('Enriched Data'!G:G,A332+1)</f>
        <v>313604.33</v>
      </c>
      <c r="D332" s="11">
        <f t="shared" si="16"/>
        <v>873613554.01999962</v>
      </c>
      <c r="E332" s="10">
        <f t="shared" si="17"/>
        <v>0.93378566155170417</v>
      </c>
    </row>
    <row r="333" spans="1:5">
      <c r="A333">
        <f t="shared" si="15"/>
        <v>332</v>
      </c>
      <c r="B333" t="str" cm="1">
        <f t="array" ref="B333">INDEX('Enriched Data'!C:C,A333+1)</f>
        <v>Sitecore USA, Inc.</v>
      </c>
      <c r="C333" s="11" cm="1">
        <f t="array" ref="C333">INDEX('Enriched Data'!G:G,A333+1)</f>
        <v>313586</v>
      </c>
      <c r="D333" s="11">
        <f t="shared" si="16"/>
        <v>873927140.01999962</v>
      </c>
      <c r="E333" s="10">
        <f t="shared" si="17"/>
        <v>0.93412084649602645</v>
      </c>
    </row>
    <row r="334" spans="1:5">
      <c r="A334">
        <f t="shared" si="15"/>
        <v>333</v>
      </c>
      <c r="B334" t="str" cm="1">
        <f t="array" ref="B334">INDEX('Enriched Data'!C:C,A334+1)</f>
        <v>Kemper Warehousing &amp; Distribution</v>
      </c>
      <c r="C334" s="11" cm="1">
        <f t="array" ref="C334">INDEX('Enriched Data'!G:G,A334+1)</f>
        <v>312576.34999999998</v>
      </c>
      <c r="D334" s="11">
        <f t="shared" si="16"/>
        <v>874239716.36999965</v>
      </c>
      <c r="E334" s="10">
        <f t="shared" si="17"/>
        <v>0.93445495224842356</v>
      </c>
    </row>
    <row r="335" spans="1:5">
      <c r="A335">
        <f t="shared" si="15"/>
        <v>334</v>
      </c>
      <c r="B335" t="str" cm="1">
        <f t="array" ref="B335">INDEX('Enriched Data'!C:C,A335+1)</f>
        <v>Datavail Corporation</v>
      </c>
      <c r="C335" s="11" cm="1">
        <f t="array" ref="C335">INDEX('Enriched Data'!G:G,A335+1)</f>
        <v>312009</v>
      </c>
      <c r="D335" s="11">
        <f t="shared" si="16"/>
        <v>874551725.36999965</v>
      </c>
      <c r="E335" s="10">
        <f t="shared" si="17"/>
        <v>0.93478845157330748</v>
      </c>
    </row>
    <row r="336" spans="1:5">
      <c r="A336">
        <f t="shared" si="15"/>
        <v>335</v>
      </c>
      <c r="B336" t="str" cm="1">
        <f t="array" ref="B336">INDEX('Enriched Data'!C:C,A336+1)</f>
        <v>Generations Enterprises, Inc.</v>
      </c>
      <c r="C336" s="11" cm="1">
        <f t="array" ref="C336">INDEX('Enriched Data'!G:G,A336+1)</f>
        <v>310648.40999999997</v>
      </c>
      <c r="D336" s="11">
        <f t="shared" si="16"/>
        <v>874862373.77999961</v>
      </c>
      <c r="E336" s="10">
        <f t="shared" si="17"/>
        <v>0.93512049659448071</v>
      </c>
    </row>
    <row r="337" spans="1:5">
      <c r="A337">
        <f t="shared" si="15"/>
        <v>336</v>
      </c>
      <c r="B337" t="str" cm="1">
        <f t="array" ref="B337">INDEX('Enriched Data'!C:C,A337+1)</f>
        <v>Francine Hanin Family Trust</v>
      </c>
      <c r="C337" s="11" cm="1">
        <f t="array" ref="C337">INDEX('Enriched Data'!G:G,A337+1)</f>
        <v>310271.68</v>
      </c>
      <c r="D337" s="11">
        <f t="shared" si="16"/>
        <v>875172645.45999956</v>
      </c>
      <c r="E337" s="10">
        <f t="shared" si="17"/>
        <v>0.93545213893752388</v>
      </c>
    </row>
    <row r="338" spans="1:5">
      <c r="A338">
        <f t="shared" si="15"/>
        <v>337</v>
      </c>
      <c r="B338" t="str" cm="1">
        <f t="array" ref="B338">INDEX('Enriched Data'!C:C,A338+1)</f>
        <v>Service Now, Inc</v>
      </c>
      <c r="C338" s="11" cm="1">
        <f t="array" ref="C338">INDEX('Enriched Data'!G:G,A338+1)</f>
        <v>306284.52</v>
      </c>
      <c r="D338" s="11">
        <f t="shared" si="16"/>
        <v>875478929.97999954</v>
      </c>
      <c r="E338" s="10">
        <f t="shared" si="17"/>
        <v>0.93577951949591287</v>
      </c>
    </row>
    <row r="339" spans="1:5">
      <c r="A339">
        <f t="shared" si="15"/>
        <v>338</v>
      </c>
      <c r="B339" t="str" cm="1">
        <f t="array" ref="B339">INDEX('Enriched Data'!C:C,A339+1)</f>
        <v>Solnsoft LLC</v>
      </c>
      <c r="C339" s="11" cm="1">
        <f t="array" ref="C339">INDEX('Enriched Data'!G:G,A339+1)</f>
        <v>305997.5</v>
      </c>
      <c r="D339" s="11">
        <f t="shared" si="16"/>
        <v>875784927.47999954</v>
      </c>
      <c r="E339" s="10">
        <f t="shared" si="17"/>
        <v>0.93610659326515078</v>
      </c>
    </row>
    <row r="340" spans="1:5">
      <c r="A340">
        <f t="shared" si="15"/>
        <v>339</v>
      </c>
      <c r="B340" t="str" cm="1">
        <f t="array" ref="B340">INDEX('Enriched Data'!C:C,A340+1)</f>
        <v>Advantage Technical Resourcing Inc</v>
      </c>
      <c r="C340" s="11" cm="1">
        <f t="array" ref="C340">INDEX('Enriched Data'!G:G,A340+1)</f>
        <v>304997.5</v>
      </c>
      <c r="D340" s="11">
        <f t="shared" si="16"/>
        <v>876089924.97999954</v>
      </c>
      <c r="E340" s="10">
        <f t="shared" si="17"/>
        <v>0.9364325981571292</v>
      </c>
    </row>
    <row r="341" spans="1:5">
      <c r="A341">
        <f t="shared" si="15"/>
        <v>340</v>
      </c>
      <c r="B341" t="str" cm="1">
        <f t="array" ref="B341">INDEX('Enriched Data'!C:C,A341+1)</f>
        <v>Boyer Holbrook Industrial, LC</v>
      </c>
      <c r="C341" s="11" cm="1">
        <f t="array" ref="C341">INDEX('Enriched Data'!G:G,A341+1)</f>
        <v>302858.03999999998</v>
      </c>
      <c r="D341" s="11">
        <f t="shared" si="16"/>
        <v>876392783.0199995</v>
      </c>
      <c r="E341" s="10">
        <f t="shared" si="17"/>
        <v>0.93675631622896571</v>
      </c>
    </row>
    <row r="342" spans="1:5">
      <c r="A342">
        <f t="shared" si="15"/>
        <v>341</v>
      </c>
      <c r="B342" t="str" cm="1">
        <f t="array" ref="B342">INDEX('Enriched Data'!C:C,A342+1)</f>
        <v>Paul Hastings LLP</v>
      </c>
      <c r="C342" s="11" cm="1">
        <f t="array" ref="C342">INDEX('Enriched Data'!G:G,A342+1)</f>
        <v>299264.5</v>
      </c>
      <c r="D342" s="11">
        <f t="shared" si="16"/>
        <v>876692047.5199995</v>
      </c>
      <c r="E342" s="10">
        <f t="shared" si="17"/>
        <v>0.93707619324761493</v>
      </c>
    </row>
    <row r="343" spans="1:5">
      <c r="A343">
        <f t="shared" si="15"/>
        <v>342</v>
      </c>
      <c r="B343" t="str" cm="1">
        <f t="array" ref="B343">INDEX('Enriched Data'!C:C,A343+1)</f>
        <v>Trucking Edge LLC</v>
      </c>
      <c r="C343" s="11" cm="1">
        <f t="array" ref="C343">INDEX('Enriched Data'!G:G,A343+1)</f>
        <v>298239.86</v>
      </c>
      <c r="D343" s="11">
        <f t="shared" si="16"/>
        <v>876990287.37999952</v>
      </c>
      <c r="E343" s="10">
        <f t="shared" si="17"/>
        <v>0.93739497505186886</v>
      </c>
    </row>
    <row r="344" spans="1:5">
      <c r="A344">
        <f t="shared" si="15"/>
        <v>343</v>
      </c>
      <c r="B344" t="str" cm="1">
        <f t="array" ref="B344">INDEX('Enriched Data'!C:C,A344+1)</f>
        <v>Blackstone Technology Group, Inc</v>
      </c>
      <c r="C344" s="11" cm="1">
        <f t="array" ref="C344">INDEX('Enriched Data'!G:G,A344+1)</f>
        <v>298044.77</v>
      </c>
      <c r="D344" s="11">
        <f t="shared" si="16"/>
        <v>877288332.1499995</v>
      </c>
      <c r="E344" s="10">
        <f t="shared" si="17"/>
        <v>0.93771354832885823</v>
      </c>
    </row>
    <row r="345" spans="1:5">
      <c r="A345">
        <f t="shared" si="15"/>
        <v>344</v>
      </c>
      <c r="B345" t="str" cm="1">
        <f t="array" ref="B345">INDEX('Enriched Data'!C:C,A345+1)</f>
        <v>Ontario Teachers Pension Plan</v>
      </c>
      <c r="C345" s="11" cm="1">
        <f t="array" ref="C345">INDEX('Enriched Data'!G:G,A345+1)</f>
        <v>296114.34999999998</v>
      </c>
      <c r="D345" s="11">
        <f t="shared" si="16"/>
        <v>877584446.49999952</v>
      </c>
      <c r="E345" s="10">
        <f t="shared" si="17"/>
        <v>0.93803005822380814</v>
      </c>
    </row>
    <row r="346" spans="1:5">
      <c r="A346">
        <f t="shared" si="15"/>
        <v>345</v>
      </c>
      <c r="B346" t="str" cm="1">
        <f t="array" ref="B346">INDEX('Enriched Data'!C:C,A346+1)</f>
        <v>Pasco Industrial Group, LLC</v>
      </c>
      <c r="C346" s="11" cm="1">
        <f t="array" ref="C346">INDEX('Enriched Data'!G:G,A346+1)</f>
        <v>295881.03999999998</v>
      </c>
      <c r="D346" s="11">
        <f t="shared" si="16"/>
        <v>877880327.53999949</v>
      </c>
      <c r="E346" s="10">
        <f t="shared" si="17"/>
        <v>0.93834631873900454</v>
      </c>
    </row>
    <row r="347" spans="1:5">
      <c r="A347">
        <f t="shared" si="15"/>
        <v>346</v>
      </c>
      <c r="B347" t="str" cm="1">
        <f t="array" ref="B347">INDEX('Enriched Data'!C:C,A347+1)</f>
        <v>G&amp;W Equipment Inc.</v>
      </c>
      <c r="C347" s="11" cm="1">
        <f t="array" ref="C347">INDEX('Enriched Data'!G:G,A347+1)</f>
        <v>294807.03999999998</v>
      </c>
      <c r="D347" s="11">
        <f t="shared" si="16"/>
        <v>878175134.57999945</v>
      </c>
      <c r="E347" s="10">
        <f t="shared" si="17"/>
        <v>0.93866143128002422</v>
      </c>
    </row>
    <row r="348" spans="1:5">
      <c r="A348">
        <f t="shared" si="15"/>
        <v>347</v>
      </c>
      <c r="B348" t="str" cm="1">
        <f t="array" ref="B348">INDEX('Enriched Data'!C:C,A348+1)</f>
        <v>DataDog, Inc.</v>
      </c>
      <c r="C348" s="11" cm="1">
        <f t="array" ref="C348">INDEX('Enriched Data'!G:G,A348+1)</f>
        <v>294232.78000000003</v>
      </c>
      <c r="D348" s="11">
        <f t="shared" si="16"/>
        <v>878469367.35999942</v>
      </c>
      <c r="E348" s="10">
        <f t="shared" si="17"/>
        <v>0.93897593000758883</v>
      </c>
    </row>
    <row r="349" spans="1:5">
      <c r="A349">
        <f t="shared" si="15"/>
        <v>348</v>
      </c>
      <c r="B349" t="str" cm="1">
        <f t="array" ref="B349">INDEX('Enriched Data'!C:C,A349+1)</f>
        <v>Alvarez &amp; Marsal Holdings, LLC</v>
      </c>
      <c r="C349" s="11" cm="1">
        <f t="array" ref="C349">INDEX('Enriched Data'!G:G,A349+1)</f>
        <v>289229</v>
      </c>
      <c r="D349" s="11">
        <f t="shared" si="16"/>
        <v>878758596.35999942</v>
      </c>
      <c r="E349" s="10">
        <f t="shared" si="17"/>
        <v>0.93928508030849955</v>
      </c>
    </row>
    <row r="350" spans="1:5">
      <c r="A350">
        <f t="shared" si="15"/>
        <v>349</v>
      </c>
      <c r="B350" t="str" cm="1">
        <f t="array" ref="B350">INDEX('Enriched Data'!C:C,A350+1)</f>
        <v>Albany, NY Warehouse LLC</v>
      </c>
      <c r="C350" s="11" cm="1">
        <f t="array" ref="C350">INDEX('Enriched Data'!G:G,A350+1)</f>
        <v>288296.86</v>
      </c>
      <c r="D350" s="11">
        <f t="shared" si="16"/>
        <v>879046893.21999943</v>
      </c>
      <c r="E350" s="10">
        <f t="shared" si="17"/>
        <v>0.93959323426616148</v>
      </c>
    </row>
    <row r="351" spans="1:5">
      <c r="A351">
        <f t="shared" si="15"/>
        <v>350</v>
      </c>
      <c r="B351" t="str" cm="1">
        <f t="array" ref="B351">INDEX('Enriched Data'!C:C,A351+1)</f>
        <v>Weston Property Investment I LLC</v>
      </c>
      <c r="C351" s="11" cm="1">
        <f t="array" ref="C351">INDEX('Enriched Data'!G:G,A351+1)</f>
        <v>287196.02</v>
      </c>
      <c r="D351" s="11">
        <f t="shared" si="16"/>
        <v>879334089.23999941</v>
      </c>
      <c r="E351" s="10">
        <f t="shared" si="17"/>
        <v>0.93990021156098102</v>
      </c>
    </row>
    <row r="352" spans="1:5">
      <c r="A352">
        <f t="shared" si="15"/>
        <v>351</v>
      </c>
      <c r="B352" t="str" cm="1">
        <f t="array" ref="B352">INDEX('Enriched Data'!C:C,A352+1)</f>
        <v>Costco Wholesale Corporation</v>
      </c>
      <c r="C352" s="11" cm="1">
        <f t="array" ref="C352">INDEX('Enriched Data'!G:G,A352+1)</f>
        <v>285225.25</v>
      </c>
      <c r="D352" s="11">
        <f t="shared" si="16"/>
        <v>879619314.48999941</v>
      </c>
      <c r="E352" s="10">
        <f t="shared" si="17"/>
        <v>0.94020508234456368</v>
      </c>
    </row>
    <row r="353" spans="1:5">
      <c r="A353">
        <f t="shared" si="15"/>
        <v>352</v>
      </c>
      <c r="B353" t="str" cm="1">
        <f t="array" ref="B353">INDEX('Enriched Data'!C:C,A353+1)</f>
        <v>USAA Alliances Services Co.</v>
      </c>
      <c r="C353" s="11" cm="1">
        <f t="array" ref="C353">INDEX('Enriched Data'!G:G,A353+1)</f>
        <v>284125.19</v>
      </c>
      <c r="D353" s="11">
        <f t="shared" si="16"/>
        <v>879903439.67999947</v>
      </c>
      <c r="E353" s="10">
        <f t="shared" si="17"/>
        <v>0.94050877729902815</v>
      </c>
    </row>
    <row r="354" spans="1:5">
      <c r="A354">
        <f t="shared" si="15"/>
        <v>353</v>
      </c>
      <c r="B354" t="str" cm="1">
        <f t="array" ref="B354">INDEX('Enriched Data'!C:C,A354+1)</f>
        <v>XPO Logistics Freight Inc.</v>
      </c>
      <c r="C354" s="11" cm="1">
        <f t="array" ref="C354">INDEX('Enriched Data'!G:G,A354+1)</f>
        <v>283500</v>
      </c>
      <c r="D354" s="11">
        <f t="shared" si="16"/>
        <v>880186939.67999947</v>
      </c>
      <c r="E354" s="10">
        <f t="shared" si="17"/>
        <v>0.94081180400211872</v>
      </c>
    </row>
    <row r="355" spans="1:5">
      <c r="A355">
        <f t="shared" si="15"/>
        <v>354</v>
      </c>
      <c r="B355" t="str" cm="1">
        <f t="array" ref="B355">INDEX('Enriched Data'!C:C,A355+1)</f>
        <v>Daniel B. Light</v>
      </c>
      <c r="C355" s="11" cm="1">
        <f t="array" ref="C355">INDEX('Enriched Data'!G:G,A355+1)</f>
        <v>282735.82</v>
      </c>
      <c r="D355" s="11">
        <f t="shared" si="16"/>
        <v>880469675.49999952</v>
      </c>
      <c r="E355" s="10">
        <f t="shared" si="17"/>
        <v>0.94111401389058513</v>
      </c>
    </row>
    <row r="356" spans="1:5">
      <c r="A356">
        <f t="shared" si="15"/>
        <v>355</v>
      </c>
      <c r="B356" t="str" cm="1">
        <f t="array" ref="B356">INDEX('Enriched Data'!C:C,A356+1)</f>
        <v>Terminix International Co Ltd Partn</v>
      </c>
      <c r="C356" s="11" cm="1">
        <f t="array" ref="C356">INDEX('Enriched Data'!G:G,A356+1)</f>
        <v>281720.28000000003</v>
      </c>
      <c r="D356" s="11">
        <f t="shared" si="16"/>
        <v>880751395.77999949</v>
      </c>
      <c r="E356" s="10">
        <f t="shared" si="17"/>
        <v>0.94141513829143919</v>
      </c>
    </row>
    <row r="357" spans="1:5">
      <c r="A357">
        <f t="shared" si="15"/>
        <v>356</v>
      </c>
      <c r="B357" t="str" cm="1">
        <f t="array" ref="B357">INDEX('Enriched Data'!C:C,A357+1)</f>
        <v>Moxie Equities 22 Gateway LLC</v>
      </c>
      <c r="C357" s="11" cm="1">
        <f t="array" ref="C357">INDEX('Enriched Data'!G:G,A357+1)</f>
        <v>278362.33</v>
      </c>
      <c r="D357" s="11">
        <f t="shared" si="16"/>
        <v>881029758.10999954</v>
      </c>
      <c r="E357" s="10">
        <f t="shared" si="17"/>
        <v>0.9417126734558996</v>
      </c>
    </row>
    <row r="358" spans="1:5">
      <c r="A358">
        <f t="shared" si="15"/>
        <v>357</v>
      </c>
      <c r="B358" t="str" cm="1">
        <f t="array" ref="B358">INDEX('Enriched Data'!C:C,A358+1)</f>
        <v>Staples Advantage</v>
      </c>
      <c r="C358" s="11" cm="1">
        <f t="array" ref="C358">INDEX('Enriched Data'!G:G,A358+1)</f>
        <v>276857.21000000002</v>
      </c>
      <c r="D358" s="11">
        <f t="shared" si="16"/>
        <v>881306615.31999958</v>
      </c>
      <c r="E358" s="10">
        <f t="shared" si="17"/>
        <v>0.94200859983181906</v>
      </c>
    </row>
    <row r="359" spans="1:5">
      <c r="A359">
        <f t="shared" si="15"/>
        <v>358</v>
      </c>
      <c r="B359" t="str" cm="1">
        <f t="array" ref="B359">INDEX('Enriched Data'!C:C,A359+1)</f>
        <v>Fedex</v>
      </c>
      <c r="C359" s="11" cm="1">
        <f t="array" ref="C359">INDEX('Enriched Data'!G:G,A359+1)</f>
        <v>276215.46000000002</v>
      </c>
      <c r="D359" s="11">
        <f t="shared" si="16"/>
        <v>881582830.77999961</v>
      </c>
      <c r="E359" s="10">
        <f t="shared" si="17"/>
        <v>0.9423038402557572</v>
      </c>
    </row>
    <row r="360" spans="1:5">
      <c r="A360">
        <f t="shared" si="15"/>
        <v>359</v>
      </c>
      <c r="B360" t="str" cm="1">
        <f t="array" ref="B360">INDEX('Enriched Data'!C:C,A360+1)</f>
        <v>Meridian Street Warehouse LLC</v>
      </c>
      <c r="C360" s="11" cm="1">
        <f t="array" ref="C360">INDEX('Enriched Data'!G:G,A360+1)</f>
        <v>275530.36</v>
      </c>
      <c r="D360" s="11">
        <f t="shared" si="16"/>
        <v>881858361.13999963</v>
      </c>
      <c r="E360" s="10">
        <f t="shared" si="17"/>
        <v>0.94259834839188472</v>
      </c>
    </row>
    <row r="361" spans="1:5">
      <c r="A361">
        <f t="shared" si="15"/>
        <v>360</v>
      </c>
      <c r="B361" t="str" cm="1">
        <f t="array" ref="B361">INDEX('Enriched Data'!C:C,A361+1)</f>
        <v>Gartner Inc.</v>
      </c>
      <c r="C361" s="11" cm="1">
        <f t="array" ref="C361">INDEX('Enriched Data'!G:G,A361+1)</f>
        <v>273700</v>
      </c>
      <c r="D361" s="11">
        <f t="shared" si="16"/>
        <v>882132061.13999963</v>
      </c>
      <c r="E361" s="10">
        <f t="shared" si="17"/>
        <v>0.94289090009783139</v>
      </c>
    </row>
    <row r="362" spans="1:5">
      <c r="A362">
        <f t="shared" si="15"/>
        <v>361</v>
      </c>
      <c r="B362" t="str" cm="1">
        <f t="array" ref="B362">INDEX('Enriched Data'!C:C,A362+1)</f>
        <v>Telephony Partners LLC</v>
      </c>
      <c r="C362" s="11" cm="1">
        <f t="array" ref="C362">INDEX('Enriched Data'!G:G,A362+1)</f>
        <v>272170.07</v>
      </c>
      <c r="D362" s="11">
        <f t="shared" si="16"/>
        <v>882404231.20999968</v>
      </c>
      <c r="E362" s="10">
        <f t="shared" si="17"/>
        <v>0.94318181649639243</v>
      </c>
    </row>
    <row r="363" spans="1:5">
      <c r="A363">
        <f t="shared" si="15"/>
        <v>362</v>
      </c>
      <c r="B363" t="str" cm="1">
        <f t="array" ref="B363">INDEX('Enriched Data'!C:C,A363+1)</f>
        <v>The Martino Group/The Martino Group</v>
      </c>
      <c r="C363" s="11" cm="1">
        <f t="array" ref="C363">INDEX('Enriched Data'!G:G,A363+1)</f>
        <v>271847.67999999999</v>
      </c>
      <c r="D363" s="11">
        <f t="shared" si="16"/>
        <v>882676078.88999963</v>
      </c>
      <c r="E363" s="10">
        <f t="shared" si="17"/>
        <v>0.94347238829961355</v>
      </c>
    </row>
    <row r="364" spans="1:5">
      <c r="A364">
        <f t="shared" si="15"/>
        <v>363</v>
      </c>
      <c r="B364" t="str" cm="1">
        <f t="array" ref="B364">INDEX('Enriched Data'!C:C,A364+1)</f>
        <v>PFL dba Printing for Less</v>
      </c>
      <c r="C364" s="11" cm="1">
        <f t="array" ref="C364">INDEX('Enriched Data'!G:G,A364+1)</f>
        <v>270219.95</v>
      </c>
      <c r="D364" s="11">
        <f t="shared" si="16"/>
        <v>882946298.83999968</v>
      </c>
      <c r="E364" s="10">
        <f t="shared" si="17"/>
        <v>0.94376122025925313</v>
      </c>
    </row>
    <row r="365" spans="1:5">
      <c r="A365">
        <f t="shared" si="15"/>
        <v>364</v>
      </c>
      <c r="B365" t="str" cm="1">
        <f t="array" ref="B365">INDEX('Enriched Data'!C:C,A365+1)</f>
        <v>Group 14 Company</v>
      </c>
      <c r="C365" s="11" cm="1">
        <f t="array" ref="C365">INDEX('Enriched Data'!G:G,A365+1)</f>
        <v>267891.38</v>
      </c>
      <c r="D365" s="11">
        <f t="shared" si="16"/>
        <v>883214190.21999967</v>
      </c>
      <c r="E365" s="10">
        <f t="shared" si="17"/>
        <v>0.94404756326337225</v>
      </c>
    </row>
    <row r="366" spans="1:5">
      <c r="A366">
        <f t="shared" si="15"/>
        <v>365</v>
      </c>
      <c r="B366" t="str" cm="1">
        <f t="array" ref="B366">INDEX('Enriched Data'!C:C,A366+1)</f>
        <v>Express Employment Professionals</v>
      </c>
      <c r="C366" s="11" cm="1">
        <f t="array" ref="C366">INDEX('Enriched Data'!G:G,A366+1)</f>
        <v>267707.19</v>
      </c>
      <c r="D366" s="11">
        <f t="shared" si="16"/>
        <v>883481897.40999973</v>
      </c>
      <c r="E366" s="10">
        <f t="shared" si="17"/>
        <v>0.94433370939098904</v>
      </c>
    </row>
    <row r="367" spans="1:5">
      <c r="A367">
        <f t="shared" si="15"/>
        <v>366</v>
      </c>
      <c r="B367" t="str" cm="1">
        <f t="array" ref="B367">INDEX('Enriched Data'!C:C,A367+1)</f>
        <v>Rosette Media Group</v>
      </c>
      <c r="C367" s="11" cm="1">
        <f t="array" ref="C367">INDEX('Enriched Data'!G:G,A367+1)</f>
        <v>265972.5</v>
      </c>
      <c r="D367" s="11">
        <f t="shared" si="16"/>
        <v>883747869.90999973</v>
      </c>
      <c r="E367" s="10">
        <f t="shared" si="17"/>
        <v>0.94461800134791229</v>
      </c>
    </row>
    <row r="368" spans="1:5">
      <c r="A368">
        <f t="shared" si="15"/>
        <v>367</v>
      </c>
      <c r="B368" t="str" cm="1">
        <f t="array" ref="B368">INDEX('Enriched Data'!C:C,A368+1)</f>
        <v>1300 Edwards, LLC</v>
      </c>
      <c r="C368" s="11" cm="1">
        <f t="array" ref="C368">INDEX('Enriched Data'!G:G,A368+1)</f>
        <v>264190.5</v>
      </c>
      <c r="D368" s="11">
        <f t="shared" si="16"/>
        <v>884012060.40999973</v>
      </c>
      <c r="E368" s="10">
        <f t="shared" si="17"/>
        <v>0.94490038856555902</v>
      </c>
    </row>
    <row r="369" spans="1:5">
      <c r="A369">
        <f t="shared" si="15"/>
        <v>368</v>
      </c>
      <c r="B369" t="str" cm="1">
        <f t="array" ref="B369">INDEX('Enriched Data'!C:C,A369+1)</f>
        <v>Discovery Benefits- ACH</v>
      </c>
      <c r="C369" s="11" cm="1">
        <f t="array" ref="C369">INDEX('Enriched Data'!G:G,A369+1)</f>
        <v>263867.09000000003</v>
      </c>
      <c r="D369" s="11">
        <f t="shared" si="16"/>
        <v>884275927.49999976</v>
      </c>
      <c r="E369" s="10">
        <f t="shared" si="17"/>
        <v>0.94518243009761127</v>
      </c>
    </row>
    <row r="370" spans="1:5">
      <c r="A370">
        <f t="shared" si="15"/>
        <v>369</v>
      </c>
      <c r="B370" t="str" cm="1">
        <f t="array" ref="B370">INDEX('Enriched Data'!C:C,A370+1)</f>
        <v>Dell Marketing Lp</v>
      </c>
      <c r="C370" s="11" cm="1">
        <f t="array" ref="C370">INDEX('Enriched Data'!G:G,A370+1)</f>
        <v>263043.46000000002</v>
      </c>
      <c r="D370" s="11">
        <f t="shared" si="16"/>
        <v>884538970.9599998</v>
      </c>
      <c r="E370" s="10">
        <f t="shared" si="17"/>
        <v>0.94546359127028623</v>
      </c>
    </row>
    <row r="371" spans="1:5">
      <c r="A371">
        <f t="shared" si="15"/>
        <v>370</v>
      </c>
      <c r="B371" t="str" cm="1">
        <f t="array" ref="B371">INDEX('Enriched Data'!C:C,A371+1)</f>
        <v>ePlus Technology</v>
      </c>
      <c r="C371" s="11" cm="1">
        <f t="array" ref="C371">INDEX('Enriched Data'!G:G,A371+1)</f>
        <v>262250</v>
      </c>
      <c r="D371" s="11">
        <f t="shared" si="16"/>
        <v>884801220.9599998</v>
      </c>
      <c r="E371" s="10">
        <f t="shared" si="17"/>
        <v>0.94574390433161082</v>
      </c>
    </row>
    <row r="372" spans="1:5">
      <c r="A372">
        <f t="shared" si="15"/>
        <v>371</v>
      </c>
      <c r="B372" t="str" cm="1">
        <f t="array" ref="B372">INDEX('Enriched Data'!C:C,A372+1)</f>
        <v>Z-Land, LLC</v>
      </c>
      <c r="C372" s="11" cm="1">
        <f t="array" ref="C372">INDEX('Enriched Data'!G:G,A372+1)</f>
        <v>260727.16</v>
      </c>
      <c r="D372" s="11">
        <f t="shared" si="16"/>
        <v>885061948.11999977</v>
      </c>
      <c r="E372" s="10">
        <f t="shared" si="17"/>
        <v>0.9460225896638893</v>
      </c>
    </row>
    <row r="373" spans="1:5">
      <c r="A373">
        <f t="shared" si="15"/>
        <v>372</v>
      </c>
      <c r="B373" t="str" cm="1">
        <f t="array" ref="B373">INDEX('Enriched Data'!C:C,A373+1)</f>
        <v>85 South LLC</v>
      </c>
      <c r="C373" s="11" cm="1">
        <f t="array" ref="C373">INDEX('Enriched Data'!G:G,A373+1)</f>
        <v>259992.4</v>
      </c>
      <c r="D373" s="11">
        <f t="shared" si="16"/>
        <v>885321940.51999974</v>
      </c>
      <c r="E373" s="10">
        <f t="shared" si="17"/>
        <v>0.94630048962791258</v>
      </c>
    </row>
    <row r="374" spans="1:5">
      <c r="A374">
        <f t="shared" si="15"/>
        <v>373</v>
      </c>
      <c r="B374" t="str" cm="1">
        <f t="array" ref="B374">INDEX('Enriched Data'!C:C,A374+1)</f>
        <v>Super Grip Corporation</v>
      </c>
      <c r="C374" s="11" cm="1">
        <f t="array" ref="C374">INDEX('Enriched Data'!G:G,A374+1)</f>
        <v>256213.39</v>
      </c>
      <c r="D374" s="11">
        <f t="shared" si="16"/>
        <v>885578153.90999973</v>
      </c>
      <c r="E374" s="10">
        <f t="shared" si="17"/>
        <v>0.9465743502940831</v>
      </c>
    </row>
    <row r="375" spans="1:5">
      <c r="A375">
        <f t="shared" si="15"/>
        <v>374</v>
      </c>
      <c r="B375" t="str" cm="1">
        <f t="array" ref="B375">INDEX('Enriched Data'!C:C,A375+1)</f>
        <v>Teknia Networks &amp; Logistics, Inc.</v>
      </c>
      <c r="C375" s="11" cm="1">
        <f t="array" ref="C375">INDEX('Enriched Data'!G:G,A375+1)</f>
        <v>255310.06</v>
      </c>
      <c r="D375" s="11">
        <f t="shared" si="16"/>
        <v>885833463.96999967</v>
      </c>
      <c r="E375" s="10">
        <f t="shared" si="17"/>
        <v>0.94684724541135867</v>
      </c>
    </row>
    <row r="376" spans="1:5">
      <c r="A376">
        <f t="shared" si="15"/>
        <v>375</v>
      </c>
      <c r="B376" t="str" cm="1">
        <f t="array" ref="B376">INDEX('Enriched Data'!C:C,A376+1)</f>
        <v>Commercenter #24, LLC</v>
      </c>
      <c r="C376" s="11" cm="1">
        <f t="array" ref="C376">INDEX('Enriched Data'!G:G,A376+1)</f>
        <v>255299.03</v>
      </c>
      <c r="D376" s="11">
        <f t="shared" si="16"/>
        <v>886088762.99999964</v>
      </c>
      <c r="E376" s="10">
        <f t="shared" si="17"/>
        <v>0.94712012873891815</v>
      </c>
    </row>
    <row r="377" spans="1:5">
      <c r="A377">
        <f t="shared" si="15"/>
        <v>376</v>
      </c>
      <c r="B377" t="str" cm="1">
        <f t="array" ref="B377">INDEX('Enriched Data'!C:C,A377+1)</f>
        <v>I-380 Flex Space LLC</v>
      </c>
      <c r="C377" s="11" cm="1">
        <f t="array" ref="C377">INDEX('Enriched Data'!G:G,A377+1)</f>
        <v>253049.16</v>
      </c>
      <c r="D377" s="11">
        <f t="shared" si="16"/>
        <v>886341812.15999961</v>
      </c>
      <c r="E377" s="10">
        <f t="shared" si="17"/>
        <v>0.94739060723159763</v>
      </c>
    </row>
    <row r="378" spans="1:5">
      <c r="A378">
        <f t="shared" si="15"/>
        <v>377</v>
      </c>
      <c r="B378" t="str" cm="1">
        <f t="array" ref="B378">INDEX('Enriched Data'!C:C,A378+1)</f>
        <v>People Ready</v>
      </c>
      <c r="C378" s="11" cm="1">
        <f t="array" ref="C378">INDEX('Enriched Data'!G:G,A378+1)</f>
        <v>251991.67</v>
      </c>
      <c r="D378" s="11">
        <f t="shared" si="16"/>
        <v>886593803.82999957</v>
      </c>
      <c r="E378" s="10">
        <f t="shared" si="17"/>
        <v>0.94765995539726389</v>
      </c>
    </row>
    <row r="379" spans="1:5">
      <c r="A379">
        <f t="shared" si="15"/>
        <v>378</v>
      </c>
      <c r="B379" t="str" cm="1">
        <f t="array" ref="B379">INDEX('Enriched Data'!C:C,A379+1)</f>
        <v>Prime Logistic Solutions Inc</v>
      </c>
      <c r="C379" s="11" cm="1">
        <f t="array" ref="C379">INDEX('Enriched Data'!G:G,A379+1)</f>
        <v>250390</v>
      </c>
      <c r="D379" s="11">
        <f t="shared" si="16"/>
        <v>886844193.82999957</v>
      </c>
      <c r="E379" s="10">
        <f t="shared" si="17"/>
        <v>0.94792759157428974</v>
      </c>
    </row>
    <row r="380" spans="1:5">
      <c r="A380">
        <f t="shared" si="15"/>
        <v>379</v>
      </c>
      <c r="B380" t="str" cm="1">
        <f t="array" ref="B380">INDEX('Enriched Data'!C:C,A380+1)</f>
        <v>Commercial Rentals Mgmt Inc</v>
      </c>
      <c r="C380" s="11" cm="1">
        <f t="array" ref="C380">INDEX('Enriched Data'!G:G,A380+1)</f>
        <v>248382.12</v>
      </c>
      <c r="D380" s="11">
        <f t="shared" si="16"/>
        <v>887092575.94999957</v>
      </c>
      <c r="E380" s="10">
        <f t="shared" si="17"/>
        <v>0.94819308157404369</v>
      </c>
    </row>
    <row r="381" spans="1:5">
      <c r="A381">
        <f t="shared" si="15"/>
        <v>380</v>
      </c>
      <c r="B381" t="str" cm="1">
        <f t="array" ref="B381">INDEX('Enriched Data'!C:C,A381+1)</f>
        <v>Diesel Direct</v>
      </c>
      <c r="C381" s="11" cm="1">
        <f t="array" ref="C381">INDEX('Enriched Data'!G:G,A381+1)</f>
        <v>245584.13</v>
      </c>
      <c r="D381" s="11">
        <f t="shared" si="16"/>
        <v>887338160.07999957</v>
      </c>
      <c r="E381" s="10">
        <f t="shared" si="17"/>
        <v>0.94845558086591408</v>
      </c>
    </row>
    <row r="382" spans="1:5">
      <c r="A382">
        <f t="shared" si="15"/>
        <v>381</v>
      </c>
      <c r="B382" t="str" cm="1">
        <f t="array" ref="B382">INDEX('Enriched Data'!C:C,A382+1)</f>
        <v>Salem Leasing Corporation</v>
      </c>
      <c r="C382" s="11" cm="1">
        <f t="array" ref="C382">INDEX('Enriched Data'!G:G,A382+1)</f>
        <v>244169.73</v>
      </c>
      <c r="D382" s="11">
        <f t="shared" si="16"/>
        <v>887582329.80999959</v>
      </c>
      <c r="E382" s="10">
        <f t="shared" si="17"/>
        <v>0.94871656833778861</v>
      </c>
    </row>
    <row r="383" spans="1:5">
      <c r="A383">
        <f t="shared" si="15"/>
        <v>382</v>
      </c>
      <c r="B383" t="str" cm="1">
        <f t="array" ref="B383">INDEX('Enriched Data'!C:C,A383+1)</f>
        <v>2Y, LLC</v>
      </c>
      <c r="C383" s="11" cm="1">
        <f t="array" ref="C383">INDEX('Enriched Data'!G:G,A383+1)</f>
        <v>242645.92</v>
      </c>
      <c r="D383" s="11">
        <f t="shared" si="16"/>
        <v>887824975.72999954</v>
      </c>
      <c r="E383" s="10">
        <f t="shared" si="17"/>
        <v>0.94897592704380607</v>
      </c>
    </row>
    <row r="384" spans="1:5">
      <c r="A384">
        <f t="shared" si="15"/>
        <v>383</v>
      </c>
      <c r="B384" t="str" cm="1">
        <f t="array" ref="B384">INDEX('Enriched Data'!C:C,A384+1)</f>
        <v>Endpoint Associates, LLC</v>
      </c>
      <c r="C384" s="11" cm="1">
        <f t="array" ref="C384">INDEX('Enriched Data'!G:G,A384+1)</f>
        <v>242330.9</v>
      </c>
      <c r="D384" s="11">
        <f t="shared" si="16"/>
        <v>888067306.62999952</v>
      </c>
      <c r="E384" s="10">
        <f t="shared" si="17"/>
        <v>0.94923494903210937</v>
      </c>
    </row>
    <row r="385" spans="1:5">
      <c r="A385">
        <f t="shared" si="15"/>
        <v>384</v>
      </c>
      <c r="B385" t="str" cm="1">
        <f t="array" ref="B385">INDEX('Enriched Data'!C:C,A385+1)</f>
        <v>Liberty Commercial LLC</v>
      </c>
      <c r="C385" s="11" cm="1">
        <f t="array" ref="C385">INDEX('Enriched Data'!G:G,A385+1)</f>
        <v>241317.99</v>
      </c>
      <c r="D385" s="11">
        <f t="shared" si="16"/>
        <v>888308624.61999953</v>
      </c>
      <c r="E385" s="10">
        <f t="shared" si="17"/>
        <v>0.94949288834394763</v>
      </c>
    </row>
    <row r="386" spans="1:5">
      <c r="A386">
        <f t="shared" si="15"/>
        <v>385</v>
      </c>
      <c r="B386" t="str" cm="1">
        <f t="array" ref="B386">INDEX('Enriched Data'!C:C,A386+1)</f>
        <v>Tape Specialists Of Fl Inc</v>
      </c>
      <c r="C386" s="11" cm="1">
        <f t="array" ref="C386">INDEX('Enriched Data'!G:G,A386+1)</f>
        <v>240714.19</v>
      </c>
      <c r="D386" s="11">
        <f t="shared" si="16"/>
        <v>888549338.80999959</v>
      </c>
      <c r="E386" s="10">
        <f t="shared" si="17"/>
        <v>0.94975018226769659</v>
      </c>
    </row>
    <row r="387" spans="1:5">
      <c r="A387">
        <f t="shared" si="15"/>
        <v>386</v>
      </c>
      <c r="B387" t="str" cm="1">
        <f t="array" ref="B387">INDEX('Enriched Data'!C:C,A387+1)</f>
        <v>AJ Properties CIP 4, LLC</v>
      </c>
      <c r="C387" s="11" cm="1">
        <f t="array" ref="C387">INDEX('Enriched Data'!G:G,A387+1)</f>
        <v>240000</v>
      </c>
      <c r="D387" s="11">
        <f t="shared" si="16"/>
        <v>888789338.80999959</v>
      </c>
      <c r="E387" s="10">
        <f t="shared" si="17"/>
        <v>0.95000671280999538</v>
      </c>
    </row>
    <row r="388" spans="1:5">
      <c r="A388">
        <f t="shared" ref="A388:A451" si="18">A387+1</f>
        <v>387</v>
      </c>
      <c r="B388" t="str" cm="1">
        <f t="array" ref="B388">INDEX('Enriched Data'!C:C,A388+1)</f>
        <v>Traffic Tech, Inc.</v>
      </c>
      <c r="C388" s="11" cm="1">
        <f t="array" ref="C388">INDEX('Enriched Data'!G:G,A388+1)</f>
        <v>236934.52</v>
      </c>
      <c r="D388" s="11">
        <f t="shared" ref="D388:D451" si="19">D387+C388</f>
        <v>889026273.32999957</v>
      </c>
      <c r="E388" s="10">
        <f t="shared" ref="E388:E451" si="20">D388/$F$2</f>
        <v>0.95025996673043256</v>
      </c>
    </row>
    <row r="389" spans="1:5">
      <c r="A389">
        <f t="shared" si="18"/>
        <v>388</v>
      </c>
      <c r="B389" t="str" cm="1">
        <f t="array" ref="B389">INDEX('Enriched Data'!C:C,A389+1)</f>
        <v>Star Three Long Beach, LLC Do not use- Use 153288</v>
      </c>
      <c r="C389" s="11" cm="1">
        <f t="array" ref="C389">INDEX('Enriched Data'!G:G,A389+1)</f>
        <v>236700</v>
      </c>
      <c r="D389" s="11">
        <f t="shared" si="19"/>
        <v>889262973.32999957</v>
      </c>
      <c r="E389" s="10">
        <f t="shared" si="20"/>
        <v>0.9505129699777749</v>
      </c>
    </row>
    <row r="390" spans="1:5">
      <c r="A390">
        <f t="shared" si="18"/>
        <v>389</v>
      </c>
      <c r="B390" t="str" cm="1">
        <f t="array" ref="B390">INDEX('Enriched Data'!C:C,A390+1)</f>
        <v>Officeworx Source Inc.</v>
      </c>
      <c r="C390" s="11" cm="1">
        <f t="array" ref="C390">INDEX('Enriched Data'!G:G,A390+1)</f>
        <v>235651.98</v>
      </c>
      <c r="D390" s="11">
        <f t="shared" si="19"/>
        <v>889498625.30999959</v>
      </c>
      <c r="E390" s="10">
        <f t="shared" si="20"/>
        <v>0.95076485302037161</v>
      </c>
    </row>
    <row r="391" spans="1:5">
      <c r="A391">
        <f t="shared" si="18"/>
        <v>390</v>
      </c>
      <c r="B391" t="str" cm="1">
        <f t="array" ref="B391">INDEX('Enriched Data'!C:C,A391+1)</f>
        <v>BXM Saco Distr LLC</v>
      </c>
      <c r="C391" s="11" cm="1">
        <f t="array" ref="C391">INDEX('Enriched Data'!G:G,A391+1)</f>
        <v>234484.38</v>
      </c>
      <c r="D391" s="11">
        <f t="shared" si="19"/>
        <v>889733109.68999958</v>
      </c>
      <c r="E391" s="10">
        <f t="shared" si="20"/>
        <v>0.95101548804187996</v>
      </c>
    </row>
    <row r="392" spans="1:5">
      <c r="A392">
        <f t="shared" si="18"/>
        <v>391</v>
      </c>
      <c r="B392" t="str" cm="1">
        <f t="array" ref="B392">INDEX('Enriched Data'!C:C,A392+1)</f>
        <v>TeamQuest Staffing Services Inc</v>
      </c>
      <c r="C392" s="11" cm="1">
        <f t="array" ref="C392">INDEX('Enriched Data'!G:G,A392+1)</f>
        <v>234391.13</v>
      </c>
      <c r="D392" s="11">
        <f t="shared" si="19"/>
        <v>889967500.81999958</v>
      </c>
      <c r="E392" s="10">
        <f t="shared" si="20"/>
        <v>0.95126602339058397</v>
      </c>
    </row>
    <row r="393" spans="1:5">
      <c r="A393">
        <f t="shared" si="18"/>
        <v>392</v>
      </c>
      <c r="B393" t="str" cm="1">
        <f t="array" ref="B393">INDEX('Enriched Data'!C:C,A393+1)</f>
        <v>James Family Trust</v>
      </c>
      <c r="C393" s="11" cm="1">
        <f t="array" ref="C393">INDEX('Enriched Data'!G:G,A393+1)</f>
        <v>232646.64</v>
      </c>
      <c r="D393" s="11">
        <f t="shared" si="19"/>
        <v>890200147.45999956</v>
      </c>
      <c r="E393" s="10">
        <f t="shared" si="20"/>
        <v>0.95151469409359735</v>
      </c>
    </row>
    <row r="394" spans="1:5">
      <c r="A394">
        <f t="shared" si="18"/>
        <v>393</v>
      </c>
      <c r="B394" t="str" cm="1">
        <f t="array" ref="B394">INDEX('Enriched Data'!C:C,A394+1)</f>
        <v>Google, Inc.</v>
      </c>
      <c r="C394" s="11" cm="1">
        <f t="array" ref="C394">INDEX('Enriched Data'!G:G,A394+1)</f>
        <v>232346.58</v>
      </c>
      <c r="D394" s="11">
        <f t="shared" si="19"/>
        <v>890432494.0399996</v>
      </c>
      <c r="E394" s="10">
        <f t="shared" si="20"/>
        <v>0.95176304406930023</v>
      </c>
    </row>
    <row r="395" spans="1:5">
      <c r="A395">
        <f t="shared" si="18"/>
        <v>394</v>
      </c>
      <c r="B395" t="str" cm="1">
        <f t="array" ref="B395">INDEX('Enriched Data'!C:C,A395+1)</f>
        <v>Keystone Automotive Industries Inc.</v>
      </c>
      <c r="C395" s="11" cm="1">
        <f t="array" ref="C395">INDEX('Enriched Data'!G:G,A395+1)</f>
        <v>232071.58</v>
      </c>
      <c r="D395" s="11">
        <f t="shared" si="19"/>
        <v>890664565.61999965</v>
      </c>
      <c r="E395" s="10">
        <f t="shared" si="20"/>
        <v>0.95201110010375678</v>
      </c>
    </row>
    <row r="396" spans="1:5">
      <c r="A396">
        <f t="shared" si="18"/>
        <v>395</v>
      </c>
      <c r="B396" t="str" cm="1">
        <f t="array" ref="B396">INDEX('Enriched Data'!C:C,A396+1)</f>
        <v>Applocations LLC</v>
      </c>
      <c r="C396" s="11" cm="1">
        <f t="array" ref="C396">INDEX('Enriched Data'!G:G,A396+1)</f>
        <v>231968.34</v>
      </c>
      <c r="D396" s="11">
        <f t="shared" si="19"/>
        <v>890896533.95999968</v>
      </c>
      <c r="E396" s="10">
        <f t="shared" si="20"/>
        <v>0.95225904578732501</v>
      </c>
    </row>
    <row r="397" spans="1:5">
      <c r="A397">
        <f t="shared" si="18"/>
        <v>396</v>
      </c>
      <c r="B397" t="str" cm="1">
        <f t="array" ref="B397">INDEX('Enriched Data'!C:C,A397+1)</f>
        <v>Carusa Company, LLC</v>
      </c>
      <c r="C397" s="11" cm="1">
        <f t="array" ref="C397">INDEX('Enriched Data'!G:G,A397+1)</f>
        <v>231117.95</v>
      </c>
      <c r="D397" s="11">
        <f t="shared" si="19"/>
        <v>891127651.90999973</v>
      </c>
      <c r="E397" s="10">
        <f t="shared" si="20"/>
        <v>0.95250608250836055</v>
      </c>
    </row>
    <row r="398" spans="1:5">
      <c r="A398">
        <f t="shared" si="18"/>
        <v>397</v>
      </c>
      <c r="B398" t="str" cm="1">
        <f t="array" ref="B398">INDEX('Enriched Data'!C:C,A398+1)</f>
        <v>JML Consulting, LLC</v>
      </c>
      <c r="C398" s="11" cm="1">
        <f t="array" ref="C398">INDEX('Enriched Data'!G:G,A398+1)</f>
        <v>231055</v>
      </c>
      <c r="D398" s="11">
        <f t="shared" si="19"/>
        <v>891358706.90999973</v>
      </c>
      <c r="E398" s="10">
        <f t="shared" si="20"/>
        <v>0.95275305194357252</v>
      </c>
    </row>
    <row r="399" spans="1:5">
      <c r="A399">
        <f t="shared" si="18"/>
        <v>398</v>
      </c>
      <c r="B399" t="str" cm="1">
        <f t="array" ref="B399">INDEX('Enriched Data'!C:C,A399+1)</f>
        <v>ZoomInfo</v>
      </c>
      <c r="C399" s="11" cm="1">
        <f t="array" ref="C399">INDEX('Enriched Data'!G:G,A399+1)</f>
        <v>231050</v>
      </c>
      <c r="D399" s="11">
        <f t="shared" si="19"/>
        <v>891589756.90999973</v>
      </c>
      <c r="E399" s="10">
        <f t="shared" si="20"/>
        <v>0.95300001603439821</v>
      </c>
    </row>
    <row r="400" spans="1:5">
      <c r="A400">
        <f t="shared" si="18"/>
        <v>399</v>
      </c>
      <c r="B400" t="str" cm="1">
        <f t="array" ref="B400">INDEX('Enriched Data'!C:C,A400+1)</f>
        <v>Old Dominion Freight Line Inc.</v>
      </c>
      <c r="C400" s="11" cm="1">
        <f t="array" ref="C400">INDEX('Enriched Data'!G:G,A400+1)</f>
        <v>231018.43</v>
      </c>
      <c r="D400" s="11">
        <f t="shared" si="19"/>
        <v>891820775.33999968</v>
      </c>
      <c r="E400" s="10">
        <f t="shared" si="20"/>
        <v>0.95324694638076868</v>
      </c>
    </row>
    <row r="401" spans="1:5">
      <c r="A401">
        <f t="shared" si="18"/>
        <v>400</v>
      </c>
      <c r="B401" t="str" cm="1">
        <f t="array" ref="B401">INDEX('Enriched Data'!C:C,A401+1)</f>
        <v>CFGI Eagle Parent, LLC</v>
      </c>
      <c r="C401" s="11" cm="1">
        <f t="array" ref="C401">INDEX('Enriched Data'!G:G,A401+1)</f>
        <v>231001.87</v>
      </c>
      <c r="D401" s="11">
        <f t="shared" si="19"/>
        <v>892051777.20999968</v>
      </c>
      <c r="E401" s="10">
        <f t="shared" si="20"/>
        <v>0.95349385902653183</v>
      </c>
    </row>
    <row r="402" spans="1:5">
      <c r="A402">
        <f t="shared" si="18"/>
        <v>401</v>
      </c>
      <c r="B402" t="str" cm="1">
        <f t="array" ref="B402">INDEX('Enriched Data'!C:C,A402+1)</f>
        <v>Ludlow Warehouse LLC</v>
      </c>
      <c r="C402" s="11" cm="1">
        <f t="array" ref="C402">INDEX('Enriched Data'!G:G,A402+1)</f>
        <v>228332.28</v>
      </c>
      <c r="D402" s="11">
        <f t="shared" si="19"/>
        <v>892280109.48999965</v>
      </c>
      <c r="E402" s="10">
        <f t="shared" si="20"/>
        <v>0.9537379182082516</v>
      </c>
    </row>
    <row r="403" spans="1:5">
      <c r="A403">
        <f t="shared" si="18"/>
        <v>402</v>
      </c>
      <c r="B403" t="str" cm="1">
        <f t="array" ref="B403">INDEX('Enriched Data'!C:C,A403+1)</f>
        <v>PW Fund B LP</v>
      </c>
      <c r="C403" s="11" cm="1">
        <f t="array" ref="C403">INDEX('Enriched Data'!G:G,A403+1)</f>
        <v>225206.56</v>
      </c>
      <c r="D403" s="11">
        <f t="shared" si="19"/>
        <v>892505316.04999959</v>
      </c>
      <c r="E403" s="10">
        <f t="shared" si="20"/>
        <v>0.95397863637894342</v>
      </c>
    </row>
    <row r="404" spans="1:5">
      <c r="A404">
        <f t="shared" si="18"/>
        <v>403</v>
      </c>
      <c r="B404" t="str" cm="1">
        <f t="array" ref="B404">INDEX('Enriched Data'!C:C,A404+1)</f>
        <v>Flournoy &amp; Calhoun</v>
      </c>
      <c r="C404" s="11" cm="1">
        <f t="array" ref="C404">INDEX('Enriched Data'!G:G,A404+1)</f>
        <v>225000</v>
      </c>
      <c r="D404" s="11">
        <f t="shared" si="19"/>
        <v>892730316.04999959</v>
      </c>
      <c r="E404" s="10">
        <f t="shared" si="20"/>
        <v>0.95421913376234868</v>
      </c>
    </row>
    <row r="405" spans="1:5">
      <c r="A405">
        <f t="shared" si="18"/>
        <v>404</v>
      </c>
      <c r="B405" t="str" cm="1">
        <f t="array" ref="B405">INDEX('Enriched Data'!C:C,A405+1)</f>
        <v>CCH Incorporated</v>
      </c>
      <c r="C405" s="11" cm="1">
        <f t="array" ref="C405">INDEX('Enriched Data'!G:G,A405+1)</f>
        <v>221841.01</v>
      </c>
      <c r="D405" s="11">
        <f t="shared" si="19"/>
        <v>892952157.05999959</v>
      </c>
      <c r="E405" s="10">
        <f t="shared" si="20"/>
        <v>0.95445625457317962</v>
      </c>
    </row>
    <row r="406" spans="1:5">
      <c r="A406">
        <f t="shared" si="18"/>
        <v>405</v>
      </c>
      <c r="B406" t="str" cm="1">
        <f t="array" ref="B406">INDEX('Enriched Data'!C:C,A406+1)</f>
        <v>Aston Carter Inc.</v>
      </c>
      <c r="C406" s="11" cm="1">
        <f t="array" ref="C406">INDEX('Enriched Data'!G:G,A406+1)</f>
        <v>221836.29</v>
      </c>
      <c r="D406" s="11">
        <f t="shared" si="19"/>
        <v>893173993.34999955</v>
      </c>
      <c r="E406" s="10">
        <f t="shared" si="20"/>
        <v>0.95469337033890989</v>
      </c>
    </row>
    <row r="407" spans="1:5">
      <c r="A407">
        <f t="shared" si="18"/>
        <v>406</v>
      </c>
      <c r="B407" t="str" cm="1">
        <f t="array" ref="B407">INDEX('Enriched Data'!C:C,A407+1)</f>
        <v>Aerotek ULC</v>
      </c>
      <c r="C407" s="11" cm="1">
        <f t="array" ref="C407">INDEX('Enriched Data'!G:G,A407+1)</f>
        <v>220522.54</v>
      </c>
      <c r="D407" s="11">
        <f t="shared" si="19"/>
        <v>893394515.88999951</v>
      </c>
      <c r="E407" s="10">
        <f t="shared" si="20"/>
        <v>0.95492908186714043</v>
      </c>
    </row>
    <row r="408" spans="1:5">
      <c r="A408">
        <f t="shared" si="18"/>
        <v>407</v>
      </c>
      <c r="B408" t="str" cm="1">
        <f t="array" ref="B408">INDEX('Enriched Data'!C:C,A408+1)</f>
        <v>Stonecap, LLC</v>
      </c>
      <c r="C408" s="11" cm="1">
        <f t="array" ref="C408">INDEX('Enriched Data'!G:G,A408+1)</f>
        <v>218086.14</v>
      </c>
      <c r="D408" s="11">
        <f t="shared" si="19"/>
        <v>893612602.02999949</v>
      </c>
      <c r="E408" s="10">
        <f t="shared" si="20"/>
        <v>0.9551621891828157</v>
      </c>
    </row>
    <row r="409" spans="1:5">
      <c r="A409">
        <f t="shared" si="18"/>
        <v>408</v>
      </c>
      <c r="B409" t="str" cm="1">
        <f t="array" ref="B409">INDEX('Enriched Data'!C:C,A409+1)</f>
        <v>BAPS Properties, LLC</v>
      </c>
      <c r="C409" s="11" cm="1">
        <f t="array" ref="C409">INDEX('Enriched Data'!G:G,A409+1)</f>
        <v>213579.2</v>
      </c>
      <c r="D409" s="11">
        <f t="shared" si="19"/>
        <v>893826181.22999954</v>
      </c>
      <c r="E409" s="10">
        <f t="shared" si="20"/>
        <v>0.95539047913281472</v>
      </c>
    </row>
    <row r="410" spans="1:5">
      <c r="A410">
        <f t="shared" si="18"/>
        <v>409</v>
      </c>
      <c r="B410" t="str" cm="1">
        <f t="array" ref="B410">INDEX('Enriched Data'!C:C,A410+1)</f>
        <v>9333762 Canada Inc.</v>
      </c>
      <c r="C410" s="11" cm="1">
        <f t="array" ref="C410">INDEX('Enriched Data'!G:G,A410+1)</f>
        <v>212075.27</v>
      </c>
      <c r="D410" s="11">
        <f t="shared" si="19"/>
        <v>894038256.49999952</v>
      </c>
      <c r="E410" s="10">
        <f t="shared" si="20"/>
        <v>0.95561716156623666</v>
      </c>
    </row>
    <row r="411" spans="1:5">
      <c r="A411">
        <f t="shared" si="18"/>
        <v>410</v>
      </c>
      <c r="B411" t="str" cm="1">
        <f t="array" ref="B411">INDEX('Enriched Data'!C:C,A411+1)</f>
        <v>Grant Thornton Advisors LLC</v>
      </c>
      <c r="C411" s="11" cm="1">
        <f t="array" ref="C411">INDEX('Enriched Data'!G:G,A411+1)</f>
        <v>208295</v>
      </c>
      <c r="D411" s="11">
        <f t="shared" si="19"/>
        <v>894246551.49999952</v>
      </c>
      <c r="E411" s="10">
        <f t="shared" si="20"/>
        <v>0.95583980335502061</v>
      </c>
    </row>
    <row r="412" spans="1:5">
      <c r="A412">
        <f t="shared" si="18"/>
        <v>411</v>
      </c>
      <c r="B412" t="str" cm="1">
        <f t="array" ref="B412">INDEX('Enriched Data'!C:C,A412+1)</f>
        <v>PSL Mercantile A3 LLC</v>
      </c>
      <c r="C412" s="11" cm="1">
        <f t="array" ref="C412">INDEX('Enriched Data'!G:G,A412+1)</f>
        <v>208230</v>
      </c>
      <c r="D412" s="11">
        <f t="shared" si="19"/>
        <v>894454781.49999952</v>
      </c>
      <c r="E412" s="10">
        <f t="shared" si="20"/>
        <v>0.95606237566678276</v>
      </c>
    </row>
    <row r="413" spans="1:5">
      <c r="A413">
        <f t="shared" si="18"/>
        <v>412</v>
      </c>
      <c r="B413" t="str" cm="1">
        <f t="array" ref="B413">INDEX('Enriched Data'!C:C,A413+1)</f>
        <v>RHM, LLC</v>
      </c>
      <c r="C413" s="11" cm="1">
        <f t="array" ref="C413">INDEX('Enriched Data'!G:G,A413+1)</f>
        <v>208228.88</v>
      </c>
      <c r="D413" s="11">
        <f t="shared" si="19"/>
        <v>894663010.37999952</v>
      </c>
      <c r="E413" s="10">
        <f t="shared" si="20"/>
        <v>0.9562849467814023</v>
      </c>
    </row>
    <row r="414" spans="1:5">
      <c r="A414">
        <f t="shared" si="18"/>
        <v>413</v>
      </c>
      <c r="B414" t="str" cm="1">
        <f t="array" ref="B414">INDEX('Enriched Data'!C:C,A414+1)</f>
        <v>Uline</v>
      </c>
      <c r="C414" s="11" cm="1">
        <f t="array" ref="C414">INDEX('Enriched Data'!G:G,A414+1)</f>
        <v>207892.87</v>
      </c>
      <c r="D414" s="11">
        <f t="shared" si="19"/>
        <v>894870903.24999952</v>
      </c>
      <c r="E414" s="10">
        <f t="shared" si="20"/>
        <v>0.95650715874257386</v>
      </c>
    </row>
    <row r="415" spans="1:5">
      <c r="A415">
        <f t="shared" si="18"/>
        <v>414</v>
      </c>
      <c r="B415" t="str" cm="1">
        <f t="array" ref="B415">INDEX('Enriched Data'!C:C,A415+1)</f>
        <v>Young Brothers</v>
      </c>
      <c r="C415" s="11" cm="1">
        <f t="array" ref="C415">INDEX('Enriched Data'!G:G,A415+1)</f>
        <v>206280.11</v>
      </c>
      <c r="D415" s="11">
        <f t="shared" si="19"/>
        <v>895077183.35999954</v>
      </c>
      <c r="E415" s="10">
        <f t="shared" si="20"/>
        <v>0.95672764686125622</v>
      </c>
    </row>
    <row r="416" spans="1:5">
      <c r="A416">
        <f t="shared" si="18"/>
        <v>415</v>
      </c>
      <c r="B416" t="str" cm="1">
        <f t="array" ref="B416">INDEX('Enriched Data'!C:C,A416+1)</f>
        <v>Mini Mall Storage Properties</v>
      </c>
      <c r="C416" s="11" cm="1">
        <f t="array" ref="C416">INDEX('Enriched Data'!G:G,A416+1)</f>
        <v>205974.45</v>
      </c>
      <c r="D416" s="11">
        <f t="shared" si="19"/>
        <v>895283157.80999959</v>
      </c>
      <c r="E416" s="10">
        <f t="shared" si="20"/>
        <v>0.9569478082669155</v>
      </c>
    </row>
    <row r="417" spans="1:5">
      <c r="A417">
        <f t="shared" si="18"/>
        <v>416</v>
      </c>
      <c r="B417" t="str" cm="1">
        <f t="array" ref="B417">INDEX('Enriched Data'!C:C,A417+1)</f>
        <v>Cintas Fire Protection</v>
      </c>
      <c r="C417" s="11" cm="1">
        <f t="array" ref="C417">INDEX('Enriched Data'!G:G,A417+1)</f>
        <v>203439.68</v>
      </c>
      <c r="D417" s="11">
        <f t="shared" si="19"/>
        <v>895486597.48999953</v>
      </c>
      <c r="E417" s="10">
        <f t="shared" si="20"/>
        <v>0.95716526031456339</v>
      </c>
    </row>
    <row r="418" spans="1:5">
      <c r="A418">
        <f t="shared" si="18"/>
        <v>417</v>
      </c>
      <c r="B418" t="str" cm="1">
        <f t="array" ref="B418">INDEX('Enriched Data'!C:C,A418+1)</f>
        <v>Misource Staffing, LLC</v>
      </c>
      <c r="C418" s="11" cm="1">
        <f t="array" ref="C418">INDEX('Enriched Data'!G:G,A418+1)</f>
        <v>202596.75</v>
      </c>
      <c r="D418" s="11">
        <f t="shared" si="19"/>
        <v>895689194.23999953</v>
      </c>
      <c r="E418" s="10">
        <f t="shared" si="20"/>
        <v>0.95738181137350298</v>
      </c>
    </row>
    <row r="419" spans="1:5">
      <c r="A419">
        <f t="shared" si="18"/>
        <v>418</v>
      </c>
      <c r="B419" t="str" cm="1">
        <f t="array" ref="B419">INDEX('Enriched Data'!C:C,A419+1)</f>
        <v>480 E Dixie Investments LLC</v>
      </c>
      <c r="C419" s="11" cm="1">
        <f t="array" ref="C419">INDEX('Enriched Data'!G:G,A419+1)</f>
        <v>201305</v>
      </c>
      <c r="D419" s="11">
        <f t="shared" si="19"/>
        <v>895890499.23999953</v>
      </c>
      <c r="E419" s="10">
        <f t="shared" si="20"/>
        <v>0.95759698171024243</v>
      </c>
    </row>
    <row r="420" spans="1:5">
      <c r="A420">
        <f t="shared" si="18"/>
        <v>419</v>
      </c>
      <c r="B420" t="str" cm="1">
        <f t="array" ref="B420">INDEX('Enriched Data'!C:C,A420+1)</f>
        <v>Start Traffic</v>
      </c>
      <c r="C420" s="11" cm="1">
        <f t="array" ref="C420">INDEX('Enriched Data'!G:G,A420+1)</f>
        <v>198905.7</v>
      </c>
      <c r="D420" s="11">
        <f t="shared" si="19"/>
        <v>896089404.93999958</v>
      </c>
      <c r="E420" s="10">
        <f t="shared" si="20"/>
        <v>0.95780958748977307</v>
      </c>
    </row>
    <row r="421" spans="1:5">
      <c r="A421">
        <f t="shared" si="18"/>
        <v>420</v>
      </c>
      <c r="B421" t="str" cm="1">
        <f t="array" ref="B421">INDEX('Enriched Data'!C:C,A421+1)</f>
        <v>Motion Industries Inc.</v>
      </c>
      <c r="C421" s="11" cm="1">
        <f t="array" ref="C421">INDEX('Enriched Data'!G:G,A421+1)</f>
        <v>198687.72</v>
      </c>
      <c r="D421" s="11">
        <f t="shared" si="19"/>
        <v>896288092.65999961</v>
      </c>
      <c r="E421" s="10">
        <f t="shared" si="20"/>
        <v>0.95802196027543862</v>
      </c>
    </row>
    <row r="422" spans="1:5">
      <c r="A422">
        <f t="shared" si="18"/>
        <v>421</v>
      </c>
      <c r="B422" t="str" cm="1">
        <f t="array" ref="B422">INDEX('Enriched Data'!C:C,A422+1)</f>
        <v>PK Realty Management, LLC</v>
      </c>
      <c r="C422" s="11" cm="1">
        <f t="array" ref="C422">INDEX('Enriched Data'!G:G,A422+1)</f>
        <v>198043.61</v>
      </c>
      <c r="D422" s="11">
        <f t="shared" si="19"/>
        <v>896486136.26999962</v>
      </c>
      <c r="E422" s="10">
        <f t="shared" si="20"/>
        <v>0.95823364458657256</v>
      </c>
    </row>
    <row r="423" spans="1:5">
      <c r="A423">
        <f t="shared" si="18"/>
        <v>422</v>
      </c>
      <c r="B423" t="str" cm="1">
        <f t="array" ref="B423">INDEX('Enriched Data'!C:C,A423+1)</f>
        <v>407 ETR</v>
      </c>
      <c r="C423" s="11" cm="1">
        <f t="array" ref="C423">INDEX('Enriched Data'!G:G,A423+1)</f>
        <v>196062.48</v>
      </c>
      <c r="D423" s="11">
        <f t="shared" si="19"/>
        <v>896682198.74999964</v>
      </c>
      <c r="E423" s="10">
        <f t="shared" si="20"/>
        <v>0.95844321131290122</v>
      </c>
    </row>
    <row r="424" spans="1:5">
      <c r="A424">
        <f t="shared" si="18"/>
        <v>423</v>
      </c>
      <c r="B424" t="str" cm="1">
        <f t="array" ref="B424">INDEX('Enriched Data'!C:C,A424+1)</f>
        <v>Pitisci &amp; Associates, LLC</v>
      </c>
      <c r="C424" s="11" cm="1">
        <f t="array" ref="C424">INDEX('Enriched Data'!G:G,A424+1)</f>
        <v>195276.79999999999</v>
      </c>
      <c r="D424" s="11">
        <f t="shared" si="19"/>
        <v>896877475.54999959</v>
      </c>
      <c r="E424" s="10">
        <f t="shared" si="20"/>
        <v>0.95865193824374439</v>
      </c>
    </row>
    <row r="425" spans="1:5">
      <c r="A425">
        <f t="shared" si="18"/>
        <v>424</v>
      </c>
      <c r="B425" t="str" cm="1">
        <f t="array" ref="B425">INDEX('Enriched Data'!C:C,A425+1)</f>
        <v>Woodside Ventures, Inc</v>
      </c>
      <c r="C425" s="11" cm="1">
        <f t="array" ref="C425">INDEX('Enriched Data'!G:G,A425+1)</f>
        <v>195000</v>
      </c>
      <c r="D425" s="11">
        <f t="shared" si="19"/>
        <v>897072475.54999959</v>
      </c>
      <c r="E425" s="10">
        <f t="shared" si="20"/>
        <v>0.95886036930936225</v>
      </c>
    </row>
    <row r="426" spans="1:5">
      <c r="A426">
        <f t="shared" si="18"/>
        <v>425</v>
      </c>
      <c r="B426" t="str" cm="1">
        <f t="array" ref="B426">INDEX('Enriched Data'!C:C,A426+1)</f>
        <v>Hyster-Yale Canada ULC</v>
      </c>
      <c r="C426" s="11" cm="1">
        <f t="array" ref="C426">INDEX('Enriched Data'!G:G,A426+1)</f>
        <v>193114.63</v>
      </c>
      <c r="D426" s="11">
        <f t="shared" si="19"/>
        <v>897265590.17999959</v>
      </c>
      <c r="E426" s="10">
        <f t="shared" si="20"/>
        <v>0.95906678514586119</v>
      </c>
    </row>
    <row r="427" spans="1:5">
      <c r="A427">
        <f t="shared" si="18"/>
        <v>426</v>
      </c>
      <c r="B427" t="str" cm="1">
        <f t="array" ref="B427">INDEX('Enriched Data'!C:C,A427+1)</f>
        <v>Lee Property Services, LLC.</v>
      </c>
      <c r="C427" s="11" cm="1">
        <f t="array" ref="C427">INDEX('Enriched Data'!G:G,A427+1)</f>
        <v>193000</v>
      </c>
      <c r="D427" s="11">
        <f t="shared" si="19"/>
        <v>897458590.17999959</v>
      </c>
      <c r="E427" s="10">
        <f t="shared" si="20"/>
        <v>0.95927307845695986</v>
      </c>
    </row>
    <row r="428" spans="1:5">
      <c r="A428">
        <f t="shared" si="18"/>
        <v>427</v>
      </c>
      <c r="B428" t="str" cm="1">
        <f t="array" ref="B428">INDEX('Enriched Data'!C:C,A428+1)</f>
        <v>Fivetran, Inc.</v>
      </c>
      <c r="C428" s="11" cm="1">
        <f t="array" ref="C428">INDEX('Enriched Data'!G:G,A428+1)</f>
        <v>191250</v>
      </c>
      <c r="D428" s="11">
        <f t="shared" si="19"/>
        <v>897649840.17999959</v>
      </c>
      <c r="E428" s="10">
        <f t="shared" si="20"/>
        <v>0.95947750123285436</v>
      </c>
    </row>
    <row r="429" spans="1:5">
      <c r="A429">
        <f t="shared" si="18"/>
        <v>428</v>
      </c>
      <c r="B429" t="str" cm="1">
        <f t="array" ref="B429">INDEX('Enriched Data'!C:C,A429+1)</f>
        <v>Overhead Door-Wayne Dalton</v>
      </c>
      <c r="C429" s="11" cm="1">
        <f t="array" ref="C429">INDEX('Enriched Data'!G:G,A429+1)</f>
        <v>190513.09</v>
      </c>
      <c r="D429" s="11">
        <f t="shared" si="19"/>
        <v>897840353.26999962</v>
      </c>
      <c r="E429" s="10">
        <f t="shared" si="20"/>
        <v>0.95968113634240748</v>
      </c>
    </row>
    <row r="430" spans="1:5">
      <c r="A430">
        <f t="shared" si="18"/>
        <v>429</v>
      </c>
      <c r="B430" t="str" cm="1">
        <f t="array" ref="B430">INDEX('Enriched Data'!C:C,A430+1)</f>
        <v>Affordable Owner LLC</v>
      </c>
      <c r="C430" s="11" cm="1">
        <f t="array" ref="C430">INDEX('Enriched Data'!G:G,A430+1)</f>
        <v>189884</v>
      </c>
      <c r="D430" s="11">
        <f t="shared" si="19"/>
        <v>898030237.26999962</v>
      </c>
      <c r="E430" s="10">
        <f t="shared" si="20"/>
        <v>0.95988409903196525</v>
      </c>
    </row>
    <row r="431" spans="1:5">
      <c r="A431">
        <f t="shared" si="18"/>
        <v>430</v>
      </c>
      <c r="B431" t="str" cm="1">
        <f t="array" ref="B431">INDEX('Enriched Data'!C:C,A431+1)</f>
        <v>Switch Growth Inc.</v>
      </c>
      <c r="C431" s="11" cm="1">
        <f t="array" ref="C431">INDEX('Enriched Data'!G:G,A431+1)</f>
        <v>188800</v>
      </c>
      <c r="D431" s="11">
        <f t="shared" si="19"/>
        <v>898219037.26999962</v>
      </c>
      <c r="E431" s="10">
        <f t="shared" si="20"/>
        <v>0.96008590305857378</v>
      </c>
    </row>
    <row r="432" spans="1:5">
      <c r="A432">
        <f t="shared" si="18"/>
        <v>431</v>
      </c>
      <c r="B432" t="str" cm="1">
        <f t="array" ref="B432">INDEX('Enriched Data'!C:C,A432+1)</f>
        <v>Cintas Canada Limited</v>
      </c>
      <c r="C432" s="11" cm="1">
        <f t="array" ref="C432">INDEX('Enriched Data'!G:G,A432+1)</f>
        <v>187954.76</v>
      </c>
      <c r="D432" s="11">
        <f t="shared" si="19"/>
        <v>898406992.02999961</v>
      </c>
      <c r="E432" s="10">
        <f t="shared" si="20"/>
        <v>0.96028680362736729</v>
      </c>
    </row>
    <row r="433" spans="1:5">
      <c r="A433">
        <f t="shared" si="18"/>
        <v>432</v>
      </c>
      <c r="B433" t="str" cm="1">
        <f t="array" ref="B433">INDEX('Enriched Data'!C:C,A433+1)</f>
        <v>Whip Around, Inc.</v>
      </c>
      <c r="C433" s="11" cm="1">
        <f t="array" ref="C433">INDEX('Enriched Data'!G:G,A433+1)</f>
        <v>185191</v>
      </c>
      <c r="D433" s="11">
        <f t="shared" si="19"/>
        <v>898592183.02999961</v>
      </c>
      <c r="E433" s="10">
        <f t="shared" si="20"/>
        <v>0.96048475007594591</v>
      </c>
    </row>
    <row r="434" spans="1:5">
      <c r="A434">
        <f t="shared" si="18"/>
        <v>433</v>
      </c>
      <c r="B434" t="str" cm="1">
        <f t="array" ref="B434">INDEX('Enriched Data'!C:C,A434+1)</f>
        <v>Lake View Business Center</v>
      </c>
      <c r="C434" s="11" cm="1">
        <f t="array" ref="C434">INDEX('Enriched Data'!G:G,A434+1)</f>
        <v>180303.12</v>
      </c>
      <c r="D434" s="11">
        <f t="shared" si="19"/>
        <v>898772486.14999962</v>
      </c>
      <c r="E434" s="10">
        <f t="shared" si="20"/>
        <v>0.96067747198074505</v>
      </c>
    </row>
    <row r="435" spans="1:5">
      <c r="A435">
        <f t="shared" si="18"/>
        <v>434</v>
      </c>
      <c r="B435" t="str" cm="1">
        <f t="array" ref="B435">INDEX('Enriched Data'!C:C,A435+1)</f>
        <v>Parkit Enterprise, Inc.</v>
      </c>
      <c r="C435" s="11" cm="1">
        <f t="array" ref="C435">INDEX('Enriched Data'!G:G,A435+1)</f>
        <v>177731.66</v>
      </c>
      <c r="D435" s="11">
        <f t="shared" si="19"/>
        <v>898950217.80999959</v>
      </c>
      <c r="E435" s="10">
        <f t="shared" si="20"/>
        <v>0.96086744531042612</v>
      </c>
    </row>
    <row r="436" spans="1:5">
      <c r="A436">
        <f t="shared" si="18"/>
        <v>435</v>
      </c>
      <c r="B436" t="str" cm="1">
        <f t="array" ref="B436">INDEX('Enriched Data'!C:C,A436+1)</f>
        <v>Melbourne Skyway A3 LLC</v>
      </c>
      <c r="C436" s="11" cm="1">
        <f t="array" ref="C436">INDEX('Enriched Data'!G:G,A436+1)</f>
        <v>177055.4</v>
      </c>
      <c r="D436" s="11">
        <f t="shared" si="19"/>
        <v>899127273.20999956</v>
      </c>
      <c r="E436" s="10">
        <f t="shared" si="20"/>
        <v>0.9610566958011717</v>
      </c>
    </row>
    <row r="437" spans="1:5">
      <c r="A437">
        <f t="shared" si="18"/>
        <v>436</v>
      </c>
      <c r="B437" t="str" cm="1">
        <f t="array" ref="B437">INDEX('Enriched Data'!C:C,A437+1)</f>
        <v>Beaverdale Investments LLC</v>
      </c>
      <c r="C437" s="11" cm="1">
        <f t="array" ref="C437">INDEX('Enriched Data'!G:G,A437+1)</f>
        <v>175161.63</v>
      </c>
      <c r="D437" s="11">
        <f t="shared" si="19"/>
        <v>899302434.83999956</v>
      </c>
      <c r="E437" s="10">
        <f t="shared" si="20"/>
        <v>0.96124392208422949</v>
      </c>
    </row>
    <row r="438" spans="1:5">
      <c r="A438">
        <f t="shared" si="18"/>
        <v>437</v>
      </c>
      <c r="B438" t="str" cm="1">
        <f t="array" ref="B438">INDEX('Enriched Data'!C:C,A438+1)</f>
        <v>Recast Labs, Inc.</v>
      </c>
      <c r="C438" s="11" cm="1">
        <f t="array" ref="C438">INDEX('Enriched Data'!G:G,A438+1)</f>
        <v>175000</v>
      </c>
      <c r="D438" s="11">
        <f t="shared" si="19"/>
        <v>899477434.83999956</v>
      </c>
      <c r="E438" s="10">
        <f t="shared" si="20"/>
        <v>0.96143097560465574</v>
      </c>
    </row>
    <row r="439" spans="1:5">
      <c r="A439">
        <f t="shared" si="18"/>
        <v>438</v>
      </c>
      <c r="B439" t="str" cm="1">
        <f t="array" ref="B439">INDEX('Enriched Data'!C:C,A439+1)</f>
        <v>Capital One, N.A.</v>
      </c>
      <c r="C439" s="11" cm="1">
        <f t="array" ref="C439">INDEX('Enriched Data'!G:G,A439+1)</f>
        <v>173550.04</v>
      </c>
      <c r="D439" s="11">
        <f t="shared" si="19"/>
        <v>899650984.87999952</v>
      </c>
      <c r="E439" s="10">
        <f t="shared" si="20"/>
        <v>0.96161647929581073</v>
      </c>
    </row>
    <row r="440" spans="1:5">
      <c r="A440">
        <f t="shared" si="18"/>
        <v>439</v>
      </c>
      <c r="B440" t="str" cm="1">
        <f t="array" ref="B440">INDEX('Enriched Data'!C:C,A440+1)</f>
        <v>Red Wing Business Advantage Account</v>
      </c>
      <c r="C440" s="11" cm="1">
        <f t="array" ref="C440">INDEX('Enriched Data'!G:G,A440+1)</f>
        <v>173160.78</v>
      </c>
      <c r="D440" s="11">
        <f t="shared" si="19"/>
        <v>899824145.65999949</v>
      </c>
      <c r="E440" s="10">
        <f t="shared" si="20"/>
        <v>0.96180156691580354</v>
      </c>
    </row>
    <row r="441" spans="1:5">
      <c r="A441">
        <f t="shared" si="18"/>
        <v>440</v>
      </c>
      <c r="B441" t="str" cm="1">
        <f t="array" ref="B441">INDEX('Enriched Data'!C:C,A441+1)</f>
        <v>Linkedin Corp.</v>
      </c>
      <c r="C441" s="11" cm="1">
        <f t="array" ref="C441">INDEX('Enriched Data'!G:G,A441+1)</f>
        <v>172396.78</v>
      </c>
      <c r="D441" s="11">
        <f t="shared" si="19"/>
        <v>899996542.43999946</v>
      </c>
      <c r="E441" s="10">
        <f t="shared" si="20"/>
        <v>0.96198583791357017</v>
      </c>
    </row>
    <row r="442" spans="1:5">
      <c r="A442">
        <f t="shared" si="18"/>
        <v>441</v>
      </c>
      <c r="B442" t="str" cm="1">
        <f t="array" ref="B442">INDEX('Enriched Data'!C:C,A442+1)</f>
        <v>Samba Holdings, Inc.</v>
      </c>
      <c r="C442" s="11" cm="1">
        <f t="array" ref="C442">INDEX('Enriched Data'!G:G,A442+1)</f>
        <v>167917.25</v>
      </c>
      <c r="D442" s="11">
        <f t="shared" si="19"/>
        <v>900164459.68999946</v>
      </c>
      <c r="E442" s="10">
        <f t="shared" si="20"/>
        <v>0.96216532084358608</v>
      </c>
    </row>
    <row r="443" spans="1:5">
      <c r="A443">
        <f t="shared" si="18"/>
        <v>442</v>
      </c>
      <c r="B443" t="str" cm="1">
        <f t="array" ref="B443">INDEX('Enriched Data'!C:C,A443+1)</f>
        <v>Hydraulic Supply Co.</v>
      </c>
      <c r="C443" s="11" cm="1">
        <f t="array" ref="C443">INDEX('Enriched Data'!G:G,A443+1)</f>
        <v>166936.92000000001</v>
      </c>
      <c r="D443" s="11">
        <f t="shared" si="19"/>
        <v>900331396.60999942</v>
      </c>
      <c r="E443" s="10">
        <f t="shared" si="20"/>
        <v>0.96234375592115817</v>
      </c>
    </row>
    <row r="444" spans="1:5">
      <c r="A444">
        <f t="shared" si="18"/>
        <v>443</v>
      </c>
      <c r="B444" t="str" cm="1">
        <f t="array" ref="B444">INDEX('Enriched Data'!C:C,A444+1)</f>
        <v>Kantar LLC</v>
      </c>
      <c r="C444" s="11" cm="1">
        <f t="array" ref="C444">INDEX('Enriched Data'!G:G,A444+1)</f>
        <v>166598</v>
      </c>
      <c r="D444" s="11">
        <f t="shared" si="19"/>
        <v>900497994.60999942</v>
      </c>
      <c r="E444" s="10">
        <f t="shared" si="20"/>
        <v>0.96252182873484948</v>
      </c>
    </row>
    <row r="445" spans="1:5">
      <c r="A445">
        <f t="shared" si="18"/>
        <v>444</v>
      </c>
      <c r="B445" t="str" cm="1">
        <f t="array" ref="B445">INDEX('Enriched Data'!C:C,A445+1)</f>
        <v>CXO Solutions</v>
      </c>
      <c r="C445" s="11" cm="1">
        <f t="array" ref="C445">INDEX('Enriched Data'!G:G,A445+1)</f>
        <v>166125</v>
      </c>
      <c r="D445" s="11">
        <f t="shared" si="19"/>
        <v>900664119.60999942</v>
      </c>
      <c r="E445" s="10">
        <f t="shared" si="20"/>
        <v>0.96269939596959697</v>
      </c>
    </row>
    <row r="446" spans="1:5">
      <c r="A446">
        <f t="shared" si="18"/>
        <v>445</v>
      </c>
      <c r="B446" t="str" cm="1">
        <f t="array" ref="B446">INDEX('Enriched Data'!C:C,A446+1)</f>
        <v>Pirtek USA</v>
      </c>
      <c r="C446" s="11" cm="1">
        <f t="array" ref="C446">INDEX('Enriched Data'!G:G,A446+1)</f>
        <v>165784.06</v>
      </c>
      <c r="D446" s="11">
        <f t="shared" si="19"/>
        <v>900829903.66999936</v>
      </c>
      <c r="E446" s="10">
        <f t="shared" si="20"/>
        <v>0.96287659878133158</v>
      </c>
    </row>
    <row r="447" spans="1:5">
      <c r="A447">
        <f t="shared" si="18"/>
        <v>446</v>
      </c>
      <c r="B447" t="str" cm="1">
        <f t="array" ref="B447">INDEX('Enriched Data'!C:C,A447+1)</f>
        <v>Mirakl INC</v>
      </c>
      <c r="C447" s="11" cm="1">
        <f t="array" ref="C447">INDEX('Enriched Data'!G:G,A447+1)</f>
        <v>165300</v>
      </c>
      <c r="D447" s="11">
        <f t="shared" si="19"/>
        <v>900995203.66999936</v>
      </c>
      <c r="E447" s="10">
        <f t="shared" si="20"/>
        <v>0.96305328419233993</v>
      </c>
    </row>
    <row r="448" spans="1:5">
      <c r="A448">
        <f t="shared" si="18"/>
        <v>447</v>
      </c>
      <c r="B448" t="str" cm="1">
        <f t="array" ref="B448">INDEX('Enriched Data'!C:C,A448+1)</f>
        <v>Medavie Blue Cross</v>
      </c>
      <c r="C448" s="11" cm="1">
        <f t="array" ref="C448">INDEX('Enriched Data'!G:G,A448+1)</f>
        <v>164890.9</v>
      </c>
      <c r="D448" s="11">
        <f t="shared" si="19"/>
        <v>901160094.56999934</v>
      </c>
      <c r="E448" s="10">
        <f t="shared" si="20"/>
        <v>0.96322953232566133</v>
      </c>
    </row>
    <row r="449" spans="1:5">
      <c r="A449">
        <f t="shared" si="18"/>
        <v>448</v>
      </c>
      <c r="B449" t="str" cm="1">
        <f t="array" ref="B449">INDEX('Enriched Data'!C:C,A449+1)</f>
        <v>OB Real Estate Holdings</v>
      </c>
      <c r="C449" s="11" cm="1">
        <f t="array" ref="C449">INDEX('Enriched Data'!G:G,A449+1)</f>
        <v>163823.98000000001</v>
      </c>
      <c r="D449" s="11">
        <f t="shared" si="19"/>
        <v>901323918.54999936</v>
      </c>
      <c r="E449" s="10">
        <f t="shared" si="20"/>
        <v>0.96340464005245707</v>
      </c>
    </row>
    <row r="450" spans="1:5">
      <c r="A450">
        <f t="shared" si="18"/>
        <v>449</v>
      </c>
      <c r="B450" t="str" cm="1">
        <f t="array" ref="B450">INDEX('Enriched Data'!C:C,A450+1)</f>
        <v>Bryan Cotton Warehouse, Inc.</v>
      </c>
      <c r="C450" s="11" cm="1">
        <f t="array" ref="C450">INDEX('Enriched Data'!G:G,A450+1)</f>
        <v>163500</v>
      </c>
      <c r="D450" s="11">
        <f t="shared" si="19"/>
        <v>901487418.54999936</v>
      </c>
      <c r="E450" s="10">
        <f t="shared" si="20"/>
        <v>0.96357940148439813</v>
      </c>
    </row>
    <row r="451" spans="1:5">
      <c r="A451">
        <f t="shared" si="18"/>
        <v>450</v>
      </c>
      <c r="B451" t="str" cm="1">
        <f t="array" ref="B451">INDEX('Enriched Data'!C:C,A451+1)</f>
        <v>Phil Pearson Fabrication LLC</v>
      </c>
      <c r="C451" s="11" cm="1">
        <f t="array" ref="C451">INDEX('Enriched Data'!G:G,A451+1)</f>
        <v>163074.75</v>
      </c>
      <c r="D451" s="11">
        <f t="shared" si="19"/>
        <v>901650493.29999936</v>
      </c>
      <c r="E451" s="10">
        <f t="shared" si="20"/>
        <v>0.9637537083762846</v>
      </c>
    </row>
    <row r="452" spans="1:5">
      <c r="A452">
        <f t="shared" ref="A452:A515" si="21">A451+1</f>
        <v>451</v>
      </c>
      <c r="B452" t="str" cm="1">
        <f t="array" ref="B452">INDEX('Enriched Data'!C:C,A452+1)</f>
        <v>U.S. Coast Guard NAFA</v>
      </c>
      <c r="C452" s="11" cm="1">
        <f t="array" ref="C452">INDEX('Enriched Data'!G:G,A452+1)</f>
        <v>161835.6</v>
      </c>
      <c r="D452" s="11">
        <f t="shared" ref="D452:D515" si="22">D451+C452</f>
        <v>901812328.89999938</v>
      </c>
      <c r="E452" s="10">
        <f t="shared" ref="E452:E515" si="23">D452/$F$2</f>
        <v>0.96392669076891491</v>
      </c>
    </row>
    <row r="453" spans="1:5">
      <c r="A453">
        <f t="shared" si="21"/>
        <v>452</v>
      </c>
      <c r="B453" t="str" cm="1">
        <f t="array" ref="B453">INDEX('Enriched Data'!C:C,A453+1)</f>
        <v>Genuine Parts Company</v>
      </c>
      <c r="C453" s="11" cm="1">
        <f t="array" ref="C453">INDEX('Enriched Data'!G:G,A453+1)</f>
        <v>159420.26999999999</v>
      </c>
      <c r="D453" s="11">
        <f t="shared" si="22"/>
        <v>901971749.16999936</v>
      </c>
      <c r="E453" s="10">
        <f t="shared" si="23"/>
        <v>0.96409709147023381</v>
      </c>
    </row>
    <row r="454" spans="1:5">
      <c r="A454">
        <f t="shared" si="21"/>
        <v>453</v>
      </c>
      <c r="B454" t="str" cm="1">
        <f t="array" ref="B454">INDEX('Enriched Data'!C:C,A454+1)</f>
        <v>EOS Software</v>
      </c>
      <c r="C454" s="11" cm="1">
        <f t="array" ref="C454">INDEX('Enriched Data'!G:G,A454+1)</f>
        <v>157000</v>
      </c>
      <c r="D454" s="11">
        <f t="shared" si="22"/>
        <v>902128749.16999936</v>
      </c>
      <c r="E454" s="10">
        <f t="shared" si="23"/>
        <v>0.96426490519998764</v>
      </c>
    </row>
    <row r="455" spans="1:5">
      <c r="A455">
        <f t="shared" si="21"/>
        <v>454</v>
      </c>
      <c r="B455" t="str" cm="1">
        <f t="array" ref="B455">INDEX('Enriched Data'!C:C,A455+1)</f>
        <v>Safety Kleen, Inc.</v>
      </c>
      <c r="C455" s="11" cm="1">
        <f t="array" ref="C455">INDEX('Enriched Data'!G:G,A455+1)</f>
        <v>156503.26999999999</v>
      </c>
      <c r="D455" s="11">
        <f t="shared" si="22"/>
        <v>902285252.43999934</v>
      </c>
      <c r="E455" s="10">
        <f t="shared" si="23"/>
        <v>0.96443218798634034</v>
      </c>
    </row>
    <row r="456" spans="1:5">
      <c r="A456">
        <f t="shared" si="21"/>
        <v>455</v>
      </c>
      <c r="B456" t="str" cm="1">
        <f t="array" ref="B456">INDEX('Enriched Data'!C:C,A456+1)</f>
        <v>Fuel Logic</v>
      </c>
      <c r="C456" s="11" cm="1">
        <f t="array" ref="C456">INDEX('Enriched Data'!G:G,A456+1)</f>
        <v>155373.29</v>
      </c>
      <c r="D456" s="11">
        <f t="shared" si="22"/>
        <v>902440625.7299993</v>
      </c>
      <c r="E456" s="10">
        <f t="shared" si="23"/>
        <v>0.96459826296276729</v>
      </c>
    </row>
    <row r="457" spans="1:5">
      <c r="A457">
        <f t="shared" si="21"/>
        <v>456</v>
      </c>
      <c r="B457" t="str" cm="1">
        <f t="array" ref="B457">INDEX('Enriched Data'!C:C,A457+1)</f>
        <v>Zenarate, Inc</v>
      </c>
      <c r="C457" s="11" cm="1">
        <f t="array" ref="C457">INDEX('Enriched Data'!G:G,A457+1)</f>
        <v>155000</v>
      </c>
      <c r="D457" s="11">
        <f t="shared" si="22"/>
        <v>902595625.7299993</v>
      </c>
      <c r="E457" s="10">
        <f t="shared" si="23"/>
        <v>0.96476393893800194</v>
      </c>
    </row>
    <row r="458" spans="1:5">
      <c r="A458">
        <f t="shared" si="21"/>
        <v>457</v>
      </c>
      <c r="B458" t="str" cm="1">
        <f t="array" ref="B458">INDEX('Enriched Data'!C:C,A458+1)</f>
        <v>Leetsdale Industrial Corporation</v>
      </c>
      <c r="C458" s="11" cm="1">
        <f t="array" ref="C458">INDEX('Enriched Data'!G:G,A458+1)</f>
        <v>154190</v>
      </c>
      <c r="D458" s="11">
        <f t="shared" si="22"/>
        <v>902749815.7299993</v>
      </c>
      <c r="E458" s="10">
        <f t="shared" si="23"/>
        <v>0.96492874912265636</v>
      </c>
    </row>
    <row r="459" spans="1:5">
      <c r="A459">
        <f t="shared" si="21"/>
        <v>458</v>
      </c>
      <c r="B459" t="str" cm="1">
        <f t="array" ref="B459">INDEX('Enriched Data'!C:C,A459+1)</f>
        <v>Hide Away Storage</v>
      </c>
      <c r="C459" s="11" cm="1">
        <f t="array" ref="C459">INDEX('Enriched Data'!G:G,A459+1)</f>
        <v>154076.84</v>
      </c>
      <c r="D459" s="11">
        <f t="shared" si="22"/>
        <v>902903892.56999934</v>
      </c>
      <c r="E459" s="10">
        <f t="shared" si="23"/>
        <v>0.96509343835316019</v>
      </c>
    </row>
    <row r="460" spans="1:5">
      <c r="A460">
        <f t="shared" si="21"/>
        <v>459</v>
      </c>
      <c r="B460" t="str" cm="1">
        <f t="array" ref="B460">INDEX('Enriched Data'!C:C,A460+1)</f>
        <v>GardaWorld Security Services</v>
      </c>
      <c r="C460" s="11" cm="1">
        <f t="array" ref="C460">INDEX('Enriched Data'!G:G,A460+1)</f>
        <v>153636.28</v>
      </c>
      <c r="D460" s="11">
        <f t="shared" si="22"/>
        <v>903057528.84999931</v>
      </c>
      <c r="E460" s="10">
        <f t="shared" si="23"/>
        <v>0.96525765667909835</v>
      </c>
    </row>
    <row r="461" spans="1:5">
      <c r="A461">
        <f t="shared" si="21"/>
        <v>460</v>
      </c>
      <c r="B461" t="str" cm="1">
        <f t="array" ref="B461">INDEX('Enriched Data'!C:C,A461+1)</f>
        <v>HJ Goldston, LLC</v>
      </c>
      <c r="C461" s="11" cm="1">
        <f t="array" ref="C461">INDEX('Enriched Data'!G:G,A461+1)</f>
        <v>153547.71</v>
      </c>
      <c r="D461" s="11">
        <f t="shared" si="22"/>
        <v>903211076.55999935</v>
      </c>
      <c r="E461" s="10">
        <f t="shared" si="23"/>
        <v>0.96542178033457782</v>
      </c>
    </row>
    <row r="462" spans="1:5">
      <c r="A462">
        <f t="shared" si="21"/>
        <v>461</v>
      </c>
      <c r="B462" t="str" cm="1">
        <f t="array" ref="B462">INDEX('Enriched Data'!C:C,A462+1)</f>
        <v>Insight Global Inc</v>
      </c>
      <c r="C462" s="11" cm="1">
        <f t="array" ref="C462">INDEX('Enriched Data'!G:G,A462+1)</f>
        <v>151828</v>
      </c>
      <c r="D462" s="11">
        <f t="shared" si="22"/>
        <v>903362904.55999935</v>
      </c>
      <c r="E462" s="10">
        <f t="shared" si="23"/>
        <v>0.9655840658311452</v>
      </c>
    </row>
    <row r="463" spans="1:5">
      <c r="A463">
        <f t="shared" si="21"/>
        <v>462</v>
      </c>
      <c r="B463" t="str" cm="1">
        <f t="array" ref="B463">INDEX('Enriched Data'!C:C,A463+1)</f>
        <v>Cadillac Freight Enterprises LLC</v>
      </c>
      <c r="C463" s="11" cm="1">
        <f t="array" ref="C463">INDEX('Enriched Data'!G:G,A463+1)</f>
        <v>151261</v>
      </c>
      <c r="D463" s="11">
        <f t="shared" si="22"/>
        <v>903514165.55999935</v>
      </c>
      <c r="E463" s="10">
        <f t="shared" si="23"/>
        <v>0.96574574527430623</v>
      </c>
    </row>
    <row r="464" spans="1:5">
      <c r="A464">
        <f t="shared" si="21"/>
        <v>463</v>
      </c>
      <c r="B464" t="str" cm="1">
        <f t="array" ref="B464">INDEX('Enriched Data'!C:C,A464+1)</f>
        <v>Recruitment Ad Placement LLC</v>
      </c>
      <c r="C464" s="11" cm="1">
        <f t="array" ref="C464">INDEX('Enriched Data'!G:G,A464+1)</f>
        <v>150520</v>
      </c>
      <c r="D464" s="11">
        <f t="shared" si="22"/>
        <v>903664685.55999935</v>
      </c>
      <c r="E464" s="10">
        <f t="shared" si="23"/>
        <v>0.96590663267941812</v>
      </c>
    </row>
    <row r="465" spans="1:5">
      <c r="A465">
        <f t="shared" si="21"/>
        <v>464</v>
      </c>
      <c r="B465" t="str" cm="1">
        <f t="array" ref="B465">INDEX('Enriched Data'!C:C,A465+1)</f>
        <v>Ten Logan Ventures LP</v>
      </c>
      <c r="C465" s="11" cm="1">
        <f t="array" ref="C465">INDEX('Enriched Data'!G:G,A465+1)</f>
        <v>150503.85</v>
      </c>
      <c r="D465" s="11">
        <f t="shared" si="22"/>
        <v>903815189.40999937</v>
      </c>
      <c r="E465" s="10">
        <f t="shared" si="23"/>
        <v>0.96606750282216214</v>
      </c>
    </row>
    <row r="466" spans="1:5">
      <c r="A466">
        <f t="shared" si="21"/>
        <v>465</v>
      </c>
      <c r="B466" t="str" cm="1">
        <f t="array" ref="B466">INDEX('Enriched Data'!C:C,A466+1)</f>
        <v>Entertainment Data Oracle</v>
      </c>
      <c r="C466" s="11" cm="1">
        <f t="array" ref="C466">INDEX('Enriched Data'!G:G,A466+1)</f>
        <v>150000</v>
      </c>
      <c r="D466" s="11">
        <f t="shared" si="22"/>
        <v>903965189.40999937</v>
      </c>
      <c r="E466" s="10">
        <f t="shared" si="23"/>
        <v>0.96622783441109894</v>
      </c>
    </row>
    <row r="467" spans="1:5">
      <c r="A467">
        <f t="shared" si="21"/>
        <v>466</v>
      </c>
      <c r="B467" t="str" cm="1">
        <f t="array" ref="B467">INDEX('Enriched Data'!C:C,A467+1)</f>
        <v>Business Interiors of Texas Inc</v>
      </c>
      <c r="C467" s="11" cm="1">
        <f t="array" ref="C467">INDEX('Enriched Data'!G:G,A467+1)</f>
        <v>149833.45000000001</v>
      </c>
      <c r="D467" s="11">
        <f t="shared" si="22"/>
        <v>904115022.85999942</v>
      </c>
      <c r="E467" s="10">
        <f t="shared" si="23"/>
        <v>0.96638798797852821</v>
      </c>
    </row>
    <row r="468" spans="1:5">
      <c r="A468">
        <f t="shared" si="21"/>
        <v>467</v>
      </c>
      <c r="B468" t="str" cm="1">
        <f t="array" ref="B468">INDEX('Enriched Data'!C:C,A468+1)</f>
        <v>DigiCert, Inc.</v>
      </c>
      <c r="C468" s="11" cm="1">
        <f t="array" ref="C468">INDEX('Enriched Data'!G:G,A468+1)</f>
        <v>149511.29999999999</v>
      </c>
      <c r="D468" s="11">
        <f t="shared" si="22"/>
        <v>904264534.15999937</v>
      </c>
      <c r="E468" s="10">
        <f t="shared" si="23"/>
        <v>0.96654779720714823</v>
      </c>
    </row>
    <row r="469" spans="1:5">
      <c r="A469">
        <f t="shared" si="21"/>
        <v>468</v>
      </c>
      <c r="B469" t="str" cm="1">
        <f t="array" ref="B469">INDEX('Enriched Data'!C:C,A469+1)</f>
        <v>Jeffrey Johnson</v>
      </c>
      <c r="C469" s="11" cm="1">
        <f t="array" ref="C469">INDEX('Enriched Data'!G:G,A469+1)</f>
        <v>147716.29</v>
      </c>
      <c r="D469" s="11">
        <f t="shared" si="22"/>
        <v>904412250.44999933</v>
      </c>
      <c r="E469" s="10">
        <f t="shared" si="23"/>
        <v>0.96670568779039845</v>
      </c>
    </row>
    <row r="470" spans="1:5">
      <c r="A470">
        <f t="shared" si="21"/>
        <v>469</v>
      </c>
      <c r="B470" t="str" cm="1">
        <f t="array" ref="B470">INDEX('Enriched Data'!C:C,A470+1)</f>
        <v>Tony and Marsha Investments LLC</v>
      </c>
      <c r="C470" s="11" cm="1">
        <f t="array" ref="C470">INDEX('Enriched Data'!G:G,A470+1)</f>
        <v>147684.43</v>
      </c>
      <c r="D470" s="11">
        <f t="shared" si="22"/>
        <v>904559934.87999928</v>
      </c>
      <c r="E470" s="10">
        <f t="shared" si="23"/>
        <v>0.96686354431921928</v>
      </c>
    </row>
    <row r="471" spans="1:5">
      <c r="A471">
        <f t="shared" si="21"/>
        <v>470</v>
      </c>
      <c r="B471" t="str" cm="1">
        <f t="array" ref="B471">INDEX('Enriched Data'!C:C,A471+1)</f>
        <v>Moodys Investors Service</v>
      </c>
      <c r="C471" s="11" cm="1">
        <f t="array" ref="C471">INDEX('Enriched Data'!G:G,A471+1)</f>
        <v>147000</v>
      </c>
      <c r="D471" s="11">
        <f t="shared" si="22"/>
        <v>904706934.87999928</v>
      </c>
      <c r="E471" s="10">
        <f t="shared" si="23"/>
        <v>0.96702066927637731</v>
      </c>
    </row>
    <row r="472" spans="1:5">
      <c r="A472">
        <f t="shared" si="21"/>
        <v>471</v>
      </c>
      <c r="B472" t="str" cm="1">
        <f t="array" ref="B472">INDEX('Enriched Data'!C:C,A472+1)</f>
        <v>ScreenBroldery, LLC DBA Thumbprint</v>
      </c>
      <c r="C472" s="11" cm="1">
        <f t="array" ref="C472">INDEX('Enriched Data'!G:G,A472+1)</f>
        <v>145978.94</v>
      </c>
      <c r="D472" s="11">
        <f t="shared" si="22"/>
        <v>904852913.81999934</v>
      </c>
      <c r="E472" s="10">
        <f t="shared" si="23"/>
        <v>0.96717670284572077</v>
      </c>
    </row>
    <row r="473" spans="1:5">
      <c r="A473">
        <f t="shared" si="21"/>
        <v>472</v>
      </c>
      <c r="B473" t="str" cm="1">
        <f t="array" ref="B473">INDEX('Enriched Data'!C:C,A473+1)</f>
        <v>One Source Technology, LLC</v>
      </c>
      <c r="C473" s="11" cm="1">
        <f t="array" ref="C473">INDEX('Enriched Data'!G:G,A473+1)</f>
        <v>145435.22</v>
      </c>
      <c r="D473" s="11">
        <f t="shared" si="22"/>
        <v>904998349.03999937</v>
      </c>
      <c r="E473" s="10">
        <f t="shared" si="23"/>
        <v>0.96733215524512073</v>
      </c>
    </row>
    <row r="474" spans="1:5">
      <c r="A474">
        <f t="shared" si="21"/>
        <v>473</v>
      </c>
      <c r="B474" t="str" cm="1">
        <f t="array" ref="B474">INDEX('Enriched Data'!C:C,A474+1)</f>
        <v>Marsh Canada LTD</v>
      </c>
      <c r="C474" s="11" cm="1">
        <f t="array" ref="C474">INDEX('Enriched Data'!G:G,A474+1)</f>
        <v>145237.28</v>
      </c>
      <c r="D474" s="11">
        <f t="shared" si="22"/>
        <v>905143586.31999934</v>
      </c>
      <c r="E474" s="10">
        <f t="shared" si="23"/>
        <v>0.96748739607095569</v>
      </c>
    </row>
    <row r="475" spans="1:5">
      <c r="A475">
        <f t="shared" si="21"/>
        <v>474</v>
      </c>
      <c r="B475" t="str" cm="1">
        <f t="array" ref="B475">INDEX('Enriched Data'!C:C,A475+1)</f>
        <v>Trafford Commerce Center Inc.</v>
      </c>
      <c r="C475" s="11" cm="1">
        <f t="array" ref="C475">INDEX('Enriched Data'!G:G,A475+1)</f>
        <v>145168.75</v>
      </c>
      <c r="D475" s="11">
        <f t="shared" si="22"/>
        <v>905288755.06999934</v>
      </c>
      <c r="E475" s="10">
        <f t="shared" si="23"/>
        <v>0.96764256364663215</v>
      </c>
    </row>
    <row r="476" spans="1:5">
      <c r="A476">
        <f t="shared" si="21"/>
        <v>475</v>
      </c>
      <c r="B476" t="str" cm="1">
        <f t="array" ref="B476">INDEX('Enriched Data'!C:C,A476+1)</f>
        <v>Pitney Bowes</v>
      </c>
      <c r="C476" s="11" cm="1">
        <f t="array" ref="C476">INDEX('Enriched Data'!G:G,A476+1)</f>
        <v>144975.94</v>
      </c>
      <c r="D476" s="11">
        <f t="shared" si="22"/>
        <v>905433731.00999939</v>
      </c>
      <c r="E476" s="10">
        <f t="shared" si="23"/>
        <v>0.96779752513208428</v>
      </c>
    </row>
    <row r="477" spans="1:5">
      <c r="A477">
        <f t="shared" si="21"/>
        <v>476</v>
      </c>
      <c r="B477" t="str" cm="1">
        <f t="array" ref="B477">INDEX('Enriched Data'!C:C,A477+1)</f>
        <v>Scott Logistics LLC</v>
      </c>
      <c r="C477" s="11" cm="1">
        <f t="array" ref="C477">INDEX('Enriched Data'!G:G,A477+1)</f>
        <v>144100</v>
      </c>
      <c r="D477" s="11">
        <f t="shared" si="22"/>
        <v>905577831.00999939</v>
      </c>
      <c r="E477" s="10">
        <f t="shared" si="23"/>
        <v>0.96795155034518954</v>
      </c>
    </row>
    <row r="478" spans="1:5">
      <c r="A478">
        <f t="shared" si="21"/>
        <v>477</v>
      </c>
      <c r="B478" t="str" cm="1">
        <f t="array" ref="B478">INDEX('Enriched Data'!C:C,A478+1)</f>
        <v>Power Kleen Corp</v>
      </c>
      <c r="C478" s="11" cm="1">
        <f t="array" ref="C478">INDEX('Enriched Data'!G:G,A478+1)</f>
        <v>143229.15</v>
      </c>
      <c r="D478" s="11">
        <f t="shared" si="22"/>
        <v>905721060.15999937</v>
      </c>
      <c r="E478" s="10">
        <f t="shared" si="23"/>
        <v>0.96810464472653335</v>
      </c>
    </row>
    <row r="479" spans="1:5">
      <c r="A479">
        <f t="shared" si="21"/>
        <v>478</v>
      </c>
      <c r="B479" t="str" cm="1">
        <f t="array" ref="B479">INDEX('Enriched Data'!C:C,A479+1)</f>
        <v>Sapiens Development</v>
      </c>
      <c r="C479" s="11" cm="1">
        <f t="array" ref="C479">INDEX('Enriched Data'!G:G,A479+1)</f>
        <v>142281.18</v>
      </c>
      <c r="D479" s="11">
        <f t="shared" si="22"/>
        <v>905863341.33999932</v>
      </c>
      <c r="E479" s="10">
        <f t="shared" si="23"/>
        <v>0.96825672584430134</v>
      </c>
    </row>
    <row r="480" spans="1:5">
      <c r="A480">
        <f t="shared" si="21"/>
        <v>479</v>
      </c>
      <c r="B480" t="str" cm="1">
        <f t="array" ref="B480">INDEX('Enriched Data'!C:C,A480+1)</f>
        <v>Primelis US Inc</v>
      </c>
      <c r="C480" s="11" cm="1">
        <f t="array" ref="C480">INDEX('Enriched Data'!G:G,A480+1)</f>
        <v>140400</v>
      </c>
      <c r="D480" s="11">
        <f t="shared" si="22"/>
        <v>906003741.33999932</v>
      </c>
      <c r="E480" s="10">
        <f t="shared" si="23"/>
        <v>0.96840679621154613</v>
      </c>
    </row>
    <row r="481" spans="1:5">
      <c r="A481">
        <f t="shared" si="21"/>
        <v>480</v>
      </c>
      <c r="B481" t="str" cm="1">
        <f t="array" ref="B481">INDEX('Enriched Data'!C:C,A481+1)</f>
        <v>EAN Services LLC</v>
      </c>
      <c r="C481" s="11" cm="1">
        <f t="array" ref="C481">INDEX('Enriched Data'!G:G,A481+1)</f>
        <v>140388.35</v>
      </c>
      <c r="D481" s="11">
        <f t="shared" si="22"/>
        <v>906144129.68999934</v>
      </c>
      <c r="E481" s="10">
        <f t="shared" si="23"/>
        <v>0.96855685412637094</v>
      </c>
    </row>
    <row r="482" spans="1:5">
      <c r="A482">
        <f t="shared" si="21"/>
        <v>481</v>
      </c>
      <c r="B482" t="str" cm="1">
        <f t="array" ref="B482">INDEX('Enriched Data'!C:C,A482+1)</f>
        <v>MCCS</v>
      </c>
      <c r="C482" s="11" cm="1">
        <f t="array" ref="C482">INDEX('Enriched Data'!G:G,A482+1)</f>
        <v>139927.92000000001</v>
      </c>
      <c r="D482" s="11">
        <f t="shared" si="22"/>
        <v>906284057.6099993</v>
      </c>
      <c r="E482" s="10">
        <f t="shared" si="23"/>
        <v>0.96870641989803907</v>
      </c>
    </row>
    <row r="483" spans="1:5">
      <c r="A483">
        <f t="shared" si="21"/>
        <v>482</v>
      </c>
      <c r="B483" t="str" cm="1">
        <f t="array" ref="B483">INDEX('Enriched Data'!C:C,A483+1)</f>
        <v>SrinSoft Inc</v>
      </c>
      <c r="C483" s="11" cm="1">
        <f t="array" ref="C483">INDEX('Enriched Data'!G:G,A483+1)</f>
        <v>139500</v>
      </c>
      <c r="D483" s="11">
        <f t="shared" si="22"/>
        <v>906423557.6099993</v>
      </c>
      <c r="E483" s="10">
        <f t="shared" si="23"/>
        <v>0.96885552827575028</v>
      </c>
    </row>
    <row r="484" spans="1:5">
      <c r="A484">
        <f t="shared" si="21"/>
        <v>483</v>
      </c>
      <c r="B484" t="str" cm="1">
        <f t="array" ref="B484">INDEX('Enriched Data'!C:C,A484+1)</f>
        <v>Centerline Drivers LLC</v>
      </c>
      <c r="C484" s="11" cm="1">
        <f t="array" ref="C484">INDEX('Enriched Data'!G:G,A484+1)</f>
        <v>138979.09</v>
      </c>
      <c r="D484" s="11">
        <f t="shared" si="22"/>
        <v>906562536.69999933</v>
      </c>
      <c r="E484" s="10">
        <f t="shared" si="23"/>
        <v>0.96900407986460824</v>
      </c>
    </row>
    <row r="485" spans="1:5">
      <c r="A485">
        <f t="shared" si="21"/>
        <v>484</v>
      </c>
      <c r="B485" t="str" cm="1">
        <f t="array" ref="B485">INDEX('Enriched Data'!C:C,A485+1)</f>
        <v>RayDot Properties LLC</v>
      </c>
      <c r="C485" s="11" cm="1">
        <f t="array" ref="C485">INDEX('Enriched Data'!G:G,A485+1)</f>
        <v>137378.18</v>
      </c>
      <c r="D485" s="11">
        <f t="shared" si="22"/>
        <v>906699914.87999928</v>
      </c>
      <c r="E485" s="10">
        <f t="shared" si="23"/>
        <v>0.96915092027717253</v>
      </c>
    </row>
    <row r="486" spans="1:5">
      <c r="A486">
        <f t="shared" si="21"/>
        <v>485</v>
      </c>
      <c r="B486" t="str" cm="1">
        <f t="array" ref="B486">INDEX('Enriched Data'!C:C,A486+1)</f>
        <v>BBI Logistics, LLC</v>
      </c>
      <c r="C486" s="11" cm="1">
        <f t="array" ref="C486">INDEX('Enriched Data'!G:G,A486+1)</f>
        <v>136322</v>
      </c>
      <c r="D486" s="11">
        <f t="shared" si="22"/>
        <v>906836236.87999928</v>
      </c>
      <c r="E486" s="10">
        <f t="shared" si="23"/>
        <v>0.96929663176295278</v>
      </c>
    </row>
    <row r="487" spans="1:5">
      <c r="A487">
        <f t="shared" si="21"/>
        <v>486</v>
      </c>
      <c r="B487" t="str" cm="1">
        <f t="array" ref="B487">INDEX('Enriched Data'!C:C,A487+1)</f>
        <v>Inner Parish Security Corporation</v>
      </c>
      <c r="C487" s="11" cm="1">
        <f t="array" ref="C487">INDEX('Enriched Data'!G:G,A487+1)</f>
        <v>136311.26</v>
      </c>
      <c r="D487" s="11">
        <f t="shared" si="22"/>
        <v>906972548.13999927</v>
      </c>
      <c r="E487" s="10">
        <f t="shared" si="23"/>
        <v>0.96944233176899131</v>
      </c>
    </row>
    <row r="488" spans="1:5">
      <c r="A488">
        <f t="shared" si="21"/>
        <v>487</v>
      </c>
      <c r="B488" t="str" cm="1">
        <f t="array" ref="B488">INDEX('Enriched Data'!C:C,A488+1)</f>
        <v>FLEET MOBILE SERVICE, INC</v>
      </c>
      <c r="C488" s="11" cm="1">
        <f t="array" ref="C488">INDEX('Enriched Data'!G:G,A488+1)</f>
        <v>135172.13</v>
      </c>
      <c r="D488" s="11">
        <f t="shared" si="22"/>
        <v>907107720.26999927</v>
      </c>
      <c r="E488" s="10">
        <f t="shared" si="23"/>
        <v>0.96958681418487713</v>
      </c>
    </row>
    <row r="489" spans="1:5">
      <c r="A489">
        <f t="shared" si="21"/>
        <v>488</v>
      </c>
      <c r="B489" t="str" cm="1">
        <f t="array" ref="B489">INDEX('Enriched Data'!C:C,A489+1)</f>
        <v>City of Lakeland</v>
      </c>
      <c r="C489" s="11" cm="1">
        <f t="array" ref="C489">INDEX('Enriched Data'!G:G,A489+1)</f>
        <v>134933.64000000001</v>
      </c>
      <c r="D489" s="11">
        <f t="shared" si="22"/>
        <v>907242653.90999925</v>
      </c>
      <c r="E489" s="10">
        <f t="shared" si="23"/>
        <v>0.9697310416842253</v>
      </c>
    </row>
    <row r="490" spans="1:5">
      <c r="A490">
        <f t="shared" si="21"/>
        <v>489</v>
      </c>
      <c r="B490" t="str" cm="1">
        <f t="array" ref="B490">INDEX('Enriched Data'!C:C,A490+1)</f>
        <v>Commercial Properties Associates,</v>
      </c>
      <c r="C490" s="11" cm="1">
        <f t="array" ref="C490">INDEX('Enriched Data'!G:G,A490+1)</f>
        <v>132544.06</v>
      </c>
      <c r="D490" s="11">
        <f t="shared" si="22"/>
        <v>907375197.96999919</v>
      </c>
      <c r="E490" s="10">
        <f t="shared" si="23"/>
        <v>0.96987271501585148</v>
      </c>
    </row>
    <row r="491" spans="1:5">
      <c r="A491">
        <f t="shared" si="21"/>
        <v>490</v>
      </c>
      <c r="B491" t="str" cm="1">
        <f t="array" ref="B491">INDEX('Enriched Data'!C:C,A491+1)</f>
        <v>Leonora Polonsky &amp; Associates, LLC</v>
      </c>
      <c r="C491" s="11" cm="1">
        <f t="array" ref="C491">INDEX('Enriched Data'!G:G,A491+1)</f>
        <v>130189.03</v>
      </c>
      <c r="D491" s="11">
        <f t="shared" si="22"/>
        <v>907505386.99999917</v>
      </c>
      <c r="E491" s="10">
        <f t="shared" si="23"/>
        <v>0.97001187110946507</v>
      </c>
    </row>
    <row r="492" spans="1:5">
      <c r="A492">
        <f t="shared" si="21"/>
        <v>491</v>
      </c>
      <c r="B492" t="str" cm="1">
        <f t="array" ref="B492">INDEX('Enriched Data'!C:C,A492+1)</f>
        <v>MHC Kenworth Little Rock</v>
      </c>
      <c r="C492" s="11" cm="1">
        <f t="array" ref="C492">INDEX('Enriched Data'!G:G,A492+1)</f>
        <v>130036.77</v>
      </c>
      <c r="D492" s="11">
        <f t="shared" si="22"/>
        <v>907635423.76999915</v>
      </c>
      <c r="E492" s="10">
        <f t="shared" si="23"/>
        <v>0.9701508644558271</v>
      </c>
    </row>
    <row r="493" spans="1:5">
      <c r="A493">
        <f t="shared" si="21"/>
        <v>492</v>
      </c>
      <c r="B493" t="str" cm="1">
        <f t="array" ref="B493">INDEX('Enriched Data'!C:C,A493+1)</f>
        <v>Sommers Construction LLC</v>
      </c>
      <c r="C493" s="11" cm="1">
        <f t="array" ref="C493">INDEX('Enriched Data'!G:G,A493+1)</f>
        <v>130000</v>
      </c>
      <c r="D493" s="11">
        <f t="shared" si="22"/>
        <v>907765423.76999915</v>
      </c>
      <c r="E493" s="10">
        <f t="shared" si="23"/>
        <v>0.9702898184995723</v>
      </c>
    </row>
    <row r="494" spans="1:5">
      <c r="A494">
        <f t="shared" si="21"/>
        <v>493</v>
      </c>
      <c r="B494" t="str" cm="1">
        <f t="array" ref="B494">INDEX('Enriched Data'!C:C,A494+1)</f>
        <v>Pro Reit Acquisitions (I) LP.</v>
      </c>
      <c r="C494" s="11" cm="1">
        <f t="array" ref="C494">INDEX('Enriched Data'!G:G,A494+1)</f>
        <v>129929.54</v>
      </c>
      <c r="D494" s="11">
        <f t="shared" si="22"/>
        <v>907895353.30999911</v>
      </c>
      <c r="E494" s="10">
        <f t="shared" si="23"/>
        <v>0.97042869723022573</v>
      </c>
    </row>
    <row r="495" spans="1:5">
      <c r="A495">
        <f t="shared" si="21"/>
        <v>494</v>
      </c>
      <c r="B495" t="str" cm="1">
        <f t="array" ref="B495">INDEX('Enriched Data'!C:C,A495+1)</f>
        <v>CanFam, LLC</v>
      </c>
      <c r="C495" s="11" cm="1">
        <f t="array" ref="C495">INDEX('Enriched Data'!G:G,A495+1)</f>
        <v>129883.86</v>
      </c>
      <c r="D495" s="11">
        <f t="shared" si="22"/>
        <v>908025237.16999912</v>
      </c>
      <c r="E495" s="10">
        <f t="shared" si="23"/>
        <v>0.97056752713456607</v>
      </c>
    </row>
    <row r="496" spans="1:5">
      <c r="A496">
        <f t="shared" si="21"/>
        <v>495</v>
      </c>
      <c r="B496" t="str" cm="1">
        <f t="array" ref="B496">INDEX('Enriched Data'!C:C,A496+1)</f>
        <v>Teamster Local No 671 - Health Insurance Medical</v>
      </c>
      <c r="C496" s="11" cm="1">
        <f t="array" ref="C496">INDEX('Enriched Data'!G:G,A496+1)</f>
        <v>125891</v>
      </c>
      <c r="D496" s="11">
        <f t="shared" si="22"/>
        <v>908151128.16999912</v>
      </c>
      <c r="E496" s="10">
        <f t="shared" si="23"/>
        <v>0.97070208916165168</v>
      </c>
    </row>
    <row r="497" spans="1:5">
      <c r="A497">
        <f t="shared" si="21"/>
        <v>496</v>
      </c>
      <c r="B497" t="str" cm="1">
        <f t="array" ref="B497">INDEX('Enriched Data'!C:C,A497+1)</f>
        <v>Druid City Properties LLC</v>
      </c>
      <c r="C497" s="11" cm="1">
        <f t="array" ref="C497">INDEX('Enriched Data'!G:G,A497+1)</f>
        <v>125195.68</v>
      </c>
      <c r="D497" s="11">
        <f t="shared" si="22"/>
        <v>908276323.84999907</v>
      </c>
      <c r="E497" s="10">
        <f t="shared" si="23"/>
        <v>0.97083590797700114</v>
      </c>
    </row>
    <row r="498" spans="1:5">
      <c r="A498">
        <f t="shared" si="21"/>
        <v>497</v>
      </c>
      <c r="B498" t="str" cm="1">
        <f t="array" ref="B498">INDEX('Enriched Data'!C:C,A498+1)</f>
        <v>Virginia Storage Services LLC</v>
      </c>
      <c r="C498" s="11" cm="1">
        <f t="array" ref="C498">INDEX('Enriched Data'!G:G,A498+1)</f>
        <v>124740.24</v>
      </c>
      <c r="D498" s="11">
        <f t="shared" si="22"/>
        <v>908401064.08999908</v>
      </c>
      <c r="E498" s="10">
        <f t="shared" si="23"/>
        <v>0.97096923998289153</v>
      </c>
    </row>
    <row r="499" spans="1:5">
      <c r="A499">
        <f t="shared" si="21"/>
        <v>498</v>
      </c>
      <c r="B499" t="str" cm="1">
        <f t="array" ref="B499">INDEX('Enriched Data'!C:C,A499+1)</f>
        <v>Farmers Warehouse Inc.-Roanoke</v>
      </c>
      <c r="C499" s="11" cm="1">
        <f t="array" ref="C499">INDEX('Enriched Data'!G:G,A499+1)</f>
        <v>124550.26</v>
      </c>
      <c r="D499" s="11">
        <f t="shared" si="22"/>
        <v>908525614.34999907</v>
      </c>
      <c r="E499" s="10">
        <f t="shared" si="23"/>
        <v>0.97110236892348012</v>
      </c>
    </row>
    <row r="500" spans="1:5">
      <c r="A500">
        <f t="shared" si="21"/>
        <v>499</v>
      </c>
      <c r="B500" t="str" cm="1">
        <f t="array" ref="B500">INDEX('Enriched Data'!C:C,A500+1)</f>
        <v>Storage Squares</v>
      </c>
      <c r="C500" s="11" cm="1">
        <f t="array" ref="C500">INDEX('Enriched Data'!G:G,A500+1)</f>
        <v>123500</v>
      </c>
      <c r="D500" s="11">
        <f t="shared" si="22"/>
        <v>908649114.34999907</v>
      </c>
      <c r="E500" s="10">
        <f t="shared" si="23"/>
        <v>0.97123437526503809</v>
      </c>
    </row>
    <row r="501" spans="1:5">
      <c r="A501">
        <f t="shared" si="21"/>
        <v>500</v>
      </c>
      <c r="B501" t="str" cm="1">
        <f t="array" ref="B501">INDEX('Enriched Data'!C:C,A501+1)</f>
        <v>RetailMeNot, Inc.</v>
      </c>
      <c r="C501" s="11" cm="1">
        <f t="array" ref="C501">INDEX('Enriched Data'!G:G,A501+1)</f>
        <v>123420.54</v>
      </c>
      <c r="D501" s="11">
        <f t="shared" si="22"/>
        <v>908772534.88999903</v>
      </c>
      <c r="E501" s="10">
        <f t="shared" si="23"/>
        <v>0.97136629667360908</v>
      </c>
    </row>
    <row r="502" spans="1:5">
      <c r="A502">
        <f t="shared" si="21"/>
        <v>501</v>
      </c>
      <c r="B502" t="str" cm="1">
        <f t="array" ref="B502">INDEX('Enriched Data'!C:C,A502+1)</f>
        <v>Planview Delaware, LLC</v>
      </c>
      <c r="C502" s="11" cm="1">
        <f t="array" ref="C502">INDEX('Enriched Data'!G:G,A502+1)</f>
        <v>120436.3</v>
      </c>
      <c r="D502" s="11">
        <f t="shared" si="22"/>
        <v>908892971.18999898</v>
      </c>
      <c r="E502" s="10">
        <f t="shared" si="23"/>
        <v>0.97149502829590673</v>
      </c>
    </row>
    <row r="503" spans="1:5">
      <c r="A503">
        <f t="shared" si="21"/>
        <v>502</v>
      </c>
      <c r="B503" t="str" cm="1">
        <f t="array" ref="B503">INDEX('Enriched Data'!C:C,A503+1)</f>
        <v>SFS Properties LLC</v>
      </c>
      <c r="C503" s="11" cm="1">
        <f t="array" ref="C503">INDEX('Enriched Data'!G:G,A503+1)</f>
        <v>120393</v>
      </c>
      <c r="D503" s="11">
        <f t="shared" si="22"/>
        <v>909013364.18999898</v>
      </c>
      <c r="E503" s="10">
        <f t="shared" si="23"/>
        <v>0.97162371363581923</v>
      </c>
    </row>
    <row r="504" spans="1:5">
      <c r="A504">
        <f t="shared" si="21"/>
        <v>503</v>
      </c>
      <c r="B504" t="str" cm="1">
        <f t="array" ref="B504">INDEX('Enriched Data'!C:C,A504+1)</f>
        <v>Haus Analytics, Inc</v>
      </c>
      <c r="C504" s="11" cm="1">
        <f t="array" ref="C504">INDEX('Enriched Data'!G:G,A504+1)</f>
        <v>120000</v>
      </c>
      <c r="D504" s="11">
        <f t="shared" si="22"/>
        <v>909133364.18999898</v>
      </c>
      <c r="E504" s="10">
        <f t="shared" si="23"/>
        <v>0.97175197890696863</v>
      </c>
    </row>
    <row r="505" spans="1:5">
      <c r="A505">
        <f t="shared" si="21"/>
        <v>504</v>
      </c>
      <c r="B505" t="str" cm="1">
        <f t="array" ref="B505">INDEX('Enriched Data'!C:C,A505+1)</f>
        <v>Ellen Breaux Morris; Trustee</v>
      </c>
      <c r="C505" s="11" cm="1">
        <f t="array" ref="C505">INDEX('Enriched Data'!G:G,A505+1)</f>
        <v>119526</v>
      </c>
      <c r="D505" s="11">
        <f t="shared" si="22"/>
        <v>909252890.18999898</v>
      </c>
      <c r="E505" s="10">
        <f t="shared" si="23"/>
        <v>0.97187973753029711</v>
      </c>
    </row>
    <row r="506" spans="1:5">
      <c r="A506">
        <f t="shared" si="21"/>
        <v>505</v>
      </c>
      <c r="B506" t="str" cm="1">
        <f t="array" ref="B506">INDEX('Enriched Data'!C:C,A506+1)</f>
        <v>Optilogic, Inc</v>
      </c>
      <c r="C506" s="11" cm="1">
        <f t="array" ref="C506">INDEX('Enriched Data'!G:G,A506+1)</f>
        <v>119125</v>
      </c>
      <c r="D506" s="11">
        <f t="shared" si="22"/>
        <v>909372015.18999898</v>
      </c>
      <c r="E506" s="10">
        <f t="shared" si="23"/>
        <v>0.97200706753384436</v>
      </c>
    </row>
    <row r="507" spans="1:5">
      <c r="A507">
        <f t="shared" si="21"/>
        <v>506</v>
      </c>
      <c r="B507" t="str" cm="1">
        <f t="array" ref="B507">INDEX('Enriched Data'!C:C,A507+1)</f>
        <v>Nathan Smith dba Wrappit Wraps LLC</v>
      </c>
      <c r="C507" s="11" cm="1">
        <f t="array" ref="C507">INDEX('Enriched Data'!G:G,A507+1)</f>
        <v>118255.23</v>
      </c>
      <c r="D507" s="11">
        <f t="shared" si="22"/>
        <v>909490270.419999</v>
      </c>
      <c r="E507" s="10">
        <f t="shared" si="23"/>
        <v>0.97213346786001764</v>
      </c>
    </row>
    <row r="508" spans="1:5">
      <c r="A508">
        <f t="shared" si="21"/>
        <v>507</v>
      </c>
      <c r="B508" t="str" cm="1">
        <f t="array" ref="B508">INDEX('Enriched Data'!C:C,A508+1)</f>
        <v>Lonestar Forklift 2017 USA, Inc</v>
      </c>
      <c r="C508" s="11" cm="1">
        <f t="array" ref="C508">INDEX('Enriched Data'!G:G,A508+1)</f>
        <v>118015.47</v>
      </c>
      <c r="D508" s="11">
        <f t="shared" si="22"/>
        <v>909608285.88999903</v>
      </c>
      <c r="E508" s="10">
        <f t="shared" si="23"/>
        <v>0.97225961191217913</v>
      </c>
    </row>
    <row r="509" spans="1:5">
      <c r="A509">
        <f t="shared" si="21"/>
        <v>508</v>
      </c>
      <c r="B509" t="str" cm="1">
        <f t="array" ref="B509">INDEX('Enriched Data'!C:C,A509+1)</f>
        <v>Standard &amp; Poors Financial</v>
      </c>
      <c r="C509" s="11" cm="1">
        <f t="array" ref="C509">INDEX('Enriched Data'!G:G,A509+1)</f>
        <v>118000</v>
      </c>
      <c r="D509" s="11">
        <f t="shared" si="22"/>
        <v>909726285.88999903</v>
      </c>
      <c r="E509" s="10">
        <f t="shared" si="23"/>
        <v>0.97238573942880946</v>
      </c>
    </row>
    <row r="510" spans="1:5">
      <c r="A510">
        <f t="shared" si="21"/>
        <v>509</v>
      </c>
      <c r="B510" t="str" cm="1">
        <f t="array" ref="B510">INDEX('Enriched Data'!C:C,A510+1)</f>
        <v>Tenstreet, LLC</v>
      </c>
      <c r="C510" s="11" cm="1">
        <f t="array" ref="C510">INDEX('Enriched Data'!G:G,A510+1)</f>
        <v>117590.28</v>
      </c>
      <c r="D510" s="11">
        <f t="shared" si="22"/>
        <v>909843876.169999</v>
      </c>
      <c r="E510" s="10">
        <f t="shared" si="23"/>
        <v>0.97251142900504894</v>
      </c>
    </row>
    <row r="511" spans="1:5">
      <c r="A511">
        <f t="shared" si="21"/>
        <v>510</v>
      </c>
      <c r="B511" t="str" cm="1">
        <f t="array" ref="B511">INDEX('Enriched Data'!C:C,A511+1)</f>
        <v>Corcentric, LLC</v>
      </c>
      <c r="C511" s="11" cm="1">
        <f t="array" ref="C511">INDEX('Enriched Data'!G:G,A511+1)</f>
        <v>117214.07</v>
      </c>
      <c r="D511" s="11">
        <f t="shared" si="22"/>
        <v>909961090.23999906</v>
      </c>
      <c r="E511" s="10">
        <f t="shared" si="23"/>
        <v>0.97263671645897465</v>
      </c>
    </row>
    <row r="512" spans="1:5">
      <c r="A512">
        <f t="shared" si="21"/>
        <v>511</v>
      </c>
      <c r="B512" t="str" cm="1">
        <f t="array" ref="B512">INDEX('Enriched Data'!C:C,A512+1)</f>
        <v>Hercules Sealing Products Inc.</v>
      </c>
      <c r="C512" s="11" cm="1">
        <f t="array" ref="C512">INDEX('Enriched Data'!G:G,A512+1)</f>
        <v>116892.04</v>
      </c>
      <c r="D512" s="11">
        <f t="shared" si="22"/>
        <v>910077982.27999902</v>
      </c>
      <c r="E512" s="10">
        <f t="shared" si="23"/>
        <v>0.9727616597023564</v>
      </c>
    </row>
    <row r="513" spans="1:5">
      <c r="A513">
        <f t="shared" si="21"/>
        <v>512</v>
      </c>
      <c r="B513" t="str" cm="1">
        <f t="array" ref="B513">INDEX('Enriched Data'!C:C,A513+1)</f>
        <v>Modern Group LTD</v>
      </c>
      <c r="C513" s="11" cm="1">
        <f t="array" ref="C513">INDEX('Enriched Data'!G:G,A513+1)</f>
        <v>115525.31</v>
      </c>
      <c r="D513" s="11">
        <f t="shared" si="22"/>
        <v>910193507.58999896</v>
      </c>
      <c r="E513" s="10">
        <f t="shared" si="23"/>
        <v>0.97288514207912113</v>
      </c>
    </row>
    <row r="514" spans="1:5">
      <c r="A514">
        <f t="shared" si="21"/>
        <v>513</v>
      </c>
      <c r="B514" t="str" cm="1">
        <f t="array" ref="B514">INDEX('Enriched Data'!C:C,A514+1)</f>
        <v>Expeditors International</v>
      </c>
      <c r="C514" s="11" cm="1">
        <f t="array" ref="C514">INDEX('Enriched Data'!G:G,A514+1)</f>
        <v>115131.96</v>
      </c>
      <c r="D514" s="11">
        <f t="shared" si="22"/>
        <v>910308639.549999</v>
      </c>
      <c r="E514" s="10">
        <f t="shared" si="23"/>
        <v>0.9730082040130158</v>
      </c>
    </row>
    <row r="515" spans="1:5">
      <c r="A515">
        <f t="shared" si="21"/>
        <v>514</v>
      </c>
      <c r="B515" t="str" cm="1">
        <f t="array" ref="B515">INDEX('Enriched Data'!C:C,A515+1)</f>
        <v>Triner Scale &amp; Mfg Co, Inc</v>
      </c>
      <c r="C515" s="11" cm="1">
        <f t="array" ref="C515">INDEX('Enriched Data'!G:G,A515+1)</f>
        <v>110112.74</v>
      </c>
      <c r="D515" s="11">
        <f t="shared" si="22"/>
        <v>910418752.28999901</v>
      </c>
      <c r="E515" s="10">
        <f t="shared" si="23"/>
        <v>0.97312590101679175</v>
      </c>
    </row>
    <row r="516" spans="1:5">
      <c r="A516">
        <f t="shared" ref="A516:A579" si="24">A515+1</f>
        <v>515</v>
      </c>
      <c r="B516" t="str" cm="1">
        <f t="array" ref="B516">INDEX('Enriched Data'!C:C,A516+1)</f>
        <v>Sealy Slack Industrial, LLC</v>
      </c>
      <c r="C516" s="11" cm="1">
        <f t="array" ref="C516">INDEX('Enriched Data'!G:G,A516+1)</f>
        <v>109341.62</v>
      </c>
      <c r="D516" s="11">
        <f t="shared" ref="D516:D579" si="25">D515+C516</f>
        <v>910528093.90999901</v>
      </c>
      <c r="E516" s="10">
        <f t="shared" ref="E516:E579" si="26">D516/$F$2</f>
        <v>0.97324277378793522</v>
      </c>
    </row>
    <row r="517" spans="1:5">
      <c r="A517">
        <f t="shared" si="24"/>
        <v>516</v>
      </c>
      <c r="B517" t="str" cm="1">
        <f t="array" ref="B517">INDEX('Enriched Data'!C:C,A517+1)</f>
        <v>Fisher &amp; Phillips LLP</v>
      </c>
      <c r="C517" s="11" cm="1">
        <f t="array" ref="C517">INDEX('Enriched Data'!G:G,A517+1)</f>
        <v>107713.54</v>
      </c>
      <c r="D517" s="11">
        <f t="shared" si="25"/>
        <v>910635807.44999897</v>
      </c>
      <c r="E517" s="10">
        <f t="shared" si="26"/>
        <v>0.97335790634138997</v>
      </c>
    </row>
    <row r="518" spans="1:5">
      <c r="A518">
        <f t="shared" si="24"/>
        <v>517</v>
      </c>
      <c r="B518" t="str" cm="1">
        <f t="array" ref="B518">INDEX('Enriched Data'!C:C,A518+1)</f>
        <v>HMSA-Hawaii Medical Serv Assoc</v>
      </c>
      <c r="C518" s="11" cm="1">
        <f t="array" ref="C518">INDEX('Enriched Data'!G:G,A518+1)</f>
        <v>106789.46</v>
      </c>
      <c r="D518" s="11">
        <f t="shared" si="25"/>
        <v>910742596.90999901</v>
      </c>
      <c r="E518" s="10">
        <f t="shared" si="26"/>
        <v>0.97347205116674662</v>
      </c>
    </row>
    <row r="519" spans="1:5">
      <c r="A519">
        <f t="shared" si="24"/>
        <v>518</v>
      </c>
      <c r="B519" t="str" cm="1">
        <f t="array" ref="B519">INDEX('Enriched Data'!C:C,A519+1)</f>
        <v>Gwendolyn G Edwards</v>
      </c>
      <c r="C519" s="11" cm="1">
        <f t="array" ref="C519">INDEX('Enriched Data'!G:G,A519+1)</f>
        <v>106211.9</v>
      </c>
      <c r="D519" s="11">
        <f t="shared" si="25"/>
        <v>910848808.80999899</v>
      </c>
      <c r="E519" s="10">
        <f t="shared" si="26"/>
        <v>0.97358557865135331</v>
      </c>
    </row>
    <row r="520" spans="1:5">
      <c r="A520">
        <f t="shared" si="24"/>
        <v>519</v>
      </c>
      <c r="B520" t="str" cm="1">
        <f t="array" ref="B520">INDEX('Enriched Data'!C:C,A520+1)</f>
        <v>Ryan Transportation Services</v>
      </c>
      <c r="C520" s="11" cm="1">
        <f t="array" ref="C520">INDEX('Enriched Data'!G:G,A520+1)</f>
        <v>106050</v>
      </c>
      <c r="D520" s="11">
        <f t="shared" si="25"/>
        <v>910954858.80999899</v>
      </c>
      <c r="E520" s="10">
        <f t="shared" si="26"/>
        <v>0.97369893308473165</v>
      </c>
    </row>
    <row r="521" spans="1:5">
      <c r="A521">
        <f t="shared" si="24"/>
        <v>520</v>
      </c>
      <c r="B521" t="str" cm="1">
        <f t="array" ref="B521">INDEX('Enriched Data'!C:C,A521+1)</f>
        <v>Daimler Truck Financial Services USA, LLC</v>
      </c>
      <c r="C521" s="11" cm="1">
        <f t="array" ref="C521">INDEX('Enriched Data'!G:G,A521+1)</f>
        <v>103739.01</v>
      </c>
      <c r="D521" s="11">
        <f t="shared" si="25"/>
        <v>911058597.81999898</v>
      </c>
      <c r="E521" s="10">
        <f t="shared" si="26"/>
        <v>0.97380981735345185</v>
      </c>
    </row>
    <row r="522" spans="1:5">
      <c r="A522">
        <f t="shared" si="24"/>
        <v>521</v>
      </c>
      <c r="B522" t="str" cm="1">
        <f t="array" ref="B522">INDEX('Enriched Data'!C:C,A522+1)</f>
        <v>Mechanical Services Unlimited LLC</v>
      </c>
      <c r="C522" s="11" cm="1">
        <f t="array" ref="C522">INDEX('Enriched Data'!G:G,A522+1)</f>
        <v>103659.96</v>
      </c>
      <c r="D522" s="11">
        <f t="shared" si="25"/>
        <v>911162257.77999902</v>
      </c>
      <c r="E522" s="10">
        <f t="shared" si="26"/>
        <v>0.97392061712742473</v>
      </c>
    </row>
    <row r="523" spans="1:5">
      <c r="A523">
        <f t="shared" si="24"/>
        <v>522</v>
      </c>
      <c r="B523" t="str" cm="1">
        <f t="array" ref="B523">INDEX('Enriched Data'!C:C,A523+1)</f>
        <v>Carolina Industrial Trucks</v>
      </c>
      <c r="C523" s="11" cm="1">
        <f t="array" ref="C523">INDEX('Enriched Data'!G:G,A523+1)</f>
        <v>102687.35</v>
      </c>
      <c r="D523" s="11">
        <f t="shared" si="25"/>
        <v>911264945.12999904</v>
      </c>
      <c r="E523" s="10">
        <f t="shared" si="26"/>
        <v>0.97403037730068609</v>
      </c>
    </row>
    <row r="524" spans="1:5">
      <c r="A524">
        <f t="shared" si="24"/>
        <v>523</v>
      </c>
      <c r="B524" t="str" cm="1">
        <f t="array" ref="B524">INDEX('Enriched Data'!C:C,A524+1)</f>
        <v>Dynamic Development LLC</v>
      </c>
      <c r="C524" s="11" cm="1">
        <f t="array" ref="C524">INDEX('Enriched Data'!G:G,A524+1)</f>
        <v>102349.92</v>
      </c>
      <c r="D524" s="11">
        <f t="shared" si="25"/>
        <v>911367295.049999</v>
      </c>
      <c r="E524" s="10">
        <f t="shared" si="26"/>
        <v>0.97413977680269381</v>
      </c>
    </row>
    <row r="525" spans="1:5">
      <c r="A525">
        <f t="shared" si="24"/>
        <v>524</v>
      </c>
      <c r="B525" t="str" cm="1">
        <f t="array" ref="B525">INDEX('Enriched Data'!C:C,A525+1)</f>
        <v>Andrea Rahal</v>
      </c>
      <c r="C525" s="11" cm="1">
        <f t="array" ref="C525">INDEX('Enriched Data'!G:G,A525+1)</f>
        <v>102160</v>
      </c>
      <c r="D525" s="11">
        <f t="shared" si="25"/>
        <v>911469455.049999</v>
      </c>
      <c r="E525" s="10">
        <f t="shared" si="26"/>
        <v>0.97424897330353233</v>
      </c>
    </row>
    <row r="526" spans="1:5">
      <c r="A526">
        <f t="shared" si="24"/>
        <v>525</v>
      </c>
      <c r="B526" t="str" cm="1">
        <f t="array" ref="B526">INDEX('Enriched Data'!C:C,A526+1)</f>
        <v>HRP Partners LLC</v>
      </c>
      <c r="C526" s="11" cm="1">
        <f t="array" ref="C526">INDEX('Enriched Data'!G:G,A526+1)</f>
        <v>101562.67</v>
      </c>
      <c r="D526" s="11">
        <f t="shared" si="25"/>
        <v>911571017.71999896</v>
      </c>
      <c r="E526" s="10">
        <f t="shared" si="26"/>
        <v>0.97435753133191738</v>
      </c>
    </row>
    <row r="527" spans="1:5">
      <c r="A527">
        <f t="shared" si="24"/>
        <v>526</v>
      </c>
      <c r="B527" t="str" cm="1">
        <f t="array" ref="B527">INDEX('Enriched Data'!C:C,A527+1)</f>
        <v>Trustmark Voluntary Benefit Sol,</v>
      </c>
      <c r="C527" s="11" cm="1">
        <f t="array" ref="C527">INDEX('Enriched Data'!G:G,A527+1)</f>
        <v>101091.3</v>
      </c>
      <c r="D527" s="11">
        <f t="shared" si="25"/>
        <v>911672109.01999891</v>
      </c>
      <c r="E527" s="10">
        <f t="shared" si="26"/>
        <v>0.97446558552362861</v>
      </c>
    </row>
    <row r="528" spans="1:5">
      <c r="A528">
        <f t="shared" si="24"/>
        <v>527</v>
      </c>
      <c r="B528" t="str" cm="1">
        <f t="array" ref="B528">INDEX('Enriched Data'!C:C,A528+1)</f>
        <v>Thompson Tractor Co., Inc.</v>
      </c>
      <c r="C528" s="11" cm="1">
        <f t="array" ref="C528">INDEX('Enriched Data'!G:G,A528+1)</f>
        <v>100976.59</v>
      </c>
      <c r="D528" s="11">
        <f t="shared" si="25"/>
        <v>911773085.60999894</v>
      </c>
      <c r="E528" s="10">
        <f t="shared" si="26"/>
        <v>0.97457351710442941</v>
      </c>
    </row>
    <row r="529" spans="1:5">
      <c r="A529">
        <f t="shared" si="24"/>
        <v>528</v>
      </c>
      <c r="B529" t="str" cm="1">
        <f t="array" ref="B529">INDEX('Enriched Data'!C:C,A529+1)</f>
        <v>Medius Software, Inc.</v>
      </c>
      <c r="C529" s="11" cm="1">
        <f t="array" ref="C529">INDEX('Enriched Data'!G:G,A529+1)</f>
        <v>100893</v>
      </c>
      <c r="D529" s="11">
        <f t="shared" si="25"/>
        <v>911873978.60999894</v>
      </c>
      <c r="E529" s="10">
        <f t="shared" si="26"/>
        <v>0.97468135933778011</v>
      </c>
    </row>
    <row r="530" spans="1:5">
      <c r="A530">
        <f t="shared" si="24"/>
        <v>529</v>
      </c>
      <c r="B530" t="str" cm="1">
        <f t="array" ref="B530">INDEX('Enriched Data'!C:C,A530+1)</f>
        <v>Formlogic Ltd.</v>
      </c>
      <c r="C530" s="11" cm="1">
        <f t="array" ref="C530">INDEX('Enriched Data'!G:G,A530+1)</f>
        <v>100440</v>
      </c>
      <c r="D530" s="11">
        <f t="shared" si="25"/>
        <v>911974418.60999894</v>
      </c>
      <c r="E530" s="10">
        <f t="shared" si="26"/>
        <v>0.97478871736973216</v>
      </c>
    </row>
    <row r="531" spans="1:5">
      <c r="A531">
        <f t="shared" si="24"/>
        <v>530</v>
      </c>
      <c r="B531" t="str" cm="1">
        <f t="array" ref="B531">INDEX('Enriched Data'!C:C,A531+1)</f>
        <v>Foust Family Limited Partnership</v>
      </c>
      <c r="C531" s="11" cm="1">
        <f t="array" ref="C531">INDEX('Enriched Data'!G:G,A531+1)</f>
        <v>99844.96</v>
      </c>
      <c r="D531" s="11">
        <f t="shared" si="25"/>
        <v>912074263.56999898</v>
      </c>
      <c r="E531" s="10">
        <f t="shared" si="26"/>
        <v>0.97489543937695977</v>
      </c>
    </row>
    <row r="532" spans="1:5">
      <c r="A532">
        <f t="shared" si="24"/>
        <v>531</v>
      </c>
      <c r="B532" t="str" cm="1">
        <f t="array" ref="B532">INDEX('Enriched Data'!C:C,A532+1)</f>
        <v>Sunbelt Rentals</v>
      </c>
      <c r="C532" s="11" cm="1">
        <f t="array" ref="C532">INDEX('Enriched Data'!G:G,A532+1)</f>
        <v>99545.919999999998</v>
      </c>
      <c r="D532" s="11">
        <f t="shared" si="25"/>
        <v>912173809.48999894</v>
      </c>
      <c r="E532" s="10">
        <f t="shared" si="26"/>
        <v>0.97500184174713156</v>
      </c>
    </row>
    <row r="533" spans="1:5">
      <c r="A533">
        <f t="shared" si="24"/>
        <v>532</v>
      </c>
      <c r="B533" t="str" cm="1">
        <f t="array" ref="B533">INDEX('Enriched Data'!C:C,A533+1)</f>
        <v>Ridge Business Development LLC</v>
      </c>
      <c r="C533" s="11" cm="1">
        <f t="array" ref="C533">INDEX('Enriched Data'!G:G,A533+1)</f>
        <v>99460</v>
      </c>
      <c r="D533" s="11">
        <f t="shared" si="25"/>
        <v>912273269.48999894</v>
      </c>
      <c r="E533" s="10">
        <f t="shared" si="26"/>
        <v>0.9751081522793692</v>
      </c>
    </row>
    <row r="534" spans="1:5">
      <c r="A534">
        <f t="shared" si="24"/>
        <v>533</v>
      </c>
      <c r="B534" t="str" cm="1">
        <f t="array" ref="B534">INDEX('Enriched Data'!C:C,A534+1)</f>
        <v>Harness Inc.</v>
      </c>
      <c r="C534" s="11" cm="1">
        <f t="array" ref="C534">INDEX('Enriched Data'!G:G,A534+1)</f>
        <v>98472.55</v>
      </c>
      <c r="D534" s="11">
        <f t="shared" si="25"/>
        <v>912371742.03999889</v>
      </c>
      <c r="E534" s="10">
        <f t="shared" si="26"/>
        <v>0.97521340734875694</v>
      </c>
    </row>
    <row r="535" spans="1:5">
      <c r="A535">
        <f t="shared" si="24"/>
        <v>534</v>
      </c>
      <c r="B535" t="str" cm="1">
        <f t="array" ref="B535">INDEX('Enriched Data'!C:C,A535+1)</f>
        <v>GL Sayre Inc.</v>
      </c>
      <c r="C535" s="11" cm="1">
        <f t="array" ref="C535">INDEX('Enriched Data'!G:G,A535+1)</f>
        <v>98413.759999999995</v>
      </c>
      <c r="D535" s="11">
        <f t="shared" si="25"/>
        <v>912470155.79999888</v>
      </c>
      <c r="E535" s="10">
        <f t="shared" si="26"/>
        <v>0.97531859957885059</v>
      </c>
    </row>
    <row r="536" spans="1:5">
      <c r="A536">
        <f t="shared" si="24"/>
        <v>535</v>
      </c>
      <c r="B536" t="str" cm="1">
        <f t="array" ref="B536">INDEX('Enriched Data'!C:C,A536+1)</f>
        <v>Content Square Inc</v>
      </c>
      <c r="C536" s="11" cm="1">
        <f t="array" ref="C536">INDEX('Enriched Data'!G:G,A536+1)</f>
        <v>98405</v>
      </c>
      <c r="D536" s="11">
        <f t="shared" si="25"/>
        <v>912568560.79999888</v>
      </c>
      <c r="E536" s="10">
        <f t="shared" si="26"/>
        <v>0.97542378244557937</v>
      </c>
    </row>
    <row r="537" spans="1:5">
      <c r="A537">
        <f t="shared" si="24"/>
        <v>536</v>
      </c>
      <c r="B537" t="str" cm="1">
        <f t="array" ref="B537">INDEX('Enriched Data'!C:C,A537+1)</f>
        <v>Dunlap Bennett &amp; Ludwig</v>
      </c>
      <c r="C537" s="11" cm="1">
        <f t="array" ref="C537">INDEX('Enriched Data'!G:G,A537+1)</f>
        <v>98264.99</v>
      </c>
      <c r="D537" s="11">
        <f t="shared" si="25"/>
        <v>912666825.78999889</v>
      </c>
      <c r="E537" s="10">
        <f t="shared" si="26"/>
        <v>0.97552881565880312</v>
      </c>
    </row>
    <row r="538" spans="1:5">
      <c r="A538">
        <f t="shared" si="24"/>
        <v>537</v>
      </c>
      <c r="B538" t="str" cm="1">
        <f t="array" ref="B538">INDEX('Enriched Data'!C:C,A538+1)</f>
        <v>Sun State International Trucks LLC</v>
      </c>
      <c r="C538" s="11" cm="1">
        <f t="array" ref="C538">INDEX('Enriched Data'!G:G,A538+1)</f>
        <v>97595</v>
      </c>
      <c r="D538" s="11">
        <f t="shared" si="25"/>
        <v>912764420.78999889</v>
      </c>
      <c r="E538" s="10">
        <f t="shared" si="26"/>
        <v>0.97563313273495167</v>
      </c>
    </row>
    <row r="539" spans="1:5">
      <c r="A539">
        <f t="shared" si="24"/>
        <v>538</v>
      </c>
      <c r="B539" t="str" cm="1">
        <f t="array" ref="B539">INDEX('Enriched Data'!C:C,A539+1)</f>
        <v>Lift-All Company, Inc</v>
      </c>
      <c r="C539" s="11" cm="1">
        <f t="array" ref="C539">INDEX('Enriched Data'!G:G,A539+1)</f>
        <v>97566.3</v>
      </c>
      <c r="D539" s="11">
        <f t="shared" si="25"/>
        <v>912861987.08999884</v>
      </c>
      <c r="E539" s="10">
        <f t="shared" si="26"/>
        <v>0.97573741913432288</v>
      </c>
    </row>
    <row r="540" spans="1:5">
      <c r="A540">
        <f t="shared" si="24"/>
        <v>539</v>
      </c>
      <c r="B540" t="str" cm="1">
        <f t="array" ref="B540">INDEX('Enriched Data'!C:C,A540+1)</f>
        <v>Higher Oak Consulting Limited</v>
      </c>
      <c r="C540" s="11" cm="1">
        <f t="array" ref="C540">INDEX('Enriched Data'!G:G,A540+1)</f>
        <v>97500</v>
      </c>
      <c r="D540" s="11">
        <f t="shared" si="25"/>
        <v>912959487.08999884</v>
      </c>
      <c r="E540" s="10">
        <f t="shared" si="26"/>
        <v>0.97584163466713181</v>
      </c>
    </row>
    <row r="541" spans="1:5">
      <c r="A541">
        <f t="shared" si="24"/>
        <v>540</v>
      </c>
      <c r="B541" t="str" cm="1">
        <f t="array" ref="B541">INDEX('Enriched Data'!C:C,A541+1)</f>
        <v>ID Associates, Inc.</v>
      </c>
      <c r="C541" s="11" cm="1">
        <f t="array" ref="C541">INDEX('Enriched Data'!G:G,A541+1)</f>
        <v>97485.65</v>
      </c>
      <c r="D541" s="11">
        <f t="shared" si="25"/>
        <v>913056972.73999882</v>
      </c>
      <c r="E541" s="10">
        <f t="shared" si="26"/>
        <v>0.97594583486155206</v>
      </c>
    </row>
    <row r="542" spans="1:5">
      <c r="A542">
        <f t="shared" si="24"/>
        <v>541</v>
      </c>
      <c r="B542" t="str" cm="1">
        <f t="array" ref="B542">INDEX('Enriched Data'!C:C,A542+1)</f>
        <v>A&amp;F Diesel</v>
      </c>
      <c r="C542" s="11" cm="1">
        <f t="array" ref="C542">INDEX('Enriched Data'!G:G,A542+1)</f>
        <v>93310.5</v>
      </c>
      <c r="D542" s="11">
        <f t="shared" si="25"/>
        <v>913150283.23999882</v>
      </c>
      <c r="E542" s="10">
        <f t="shared" si="26"/>
        <v>0.97604557233308198</v>
      </c>
    </row>
    <row r="543" spans="1:5">
      <c r="A543">
        <f t="shared" si="24"/>
        <v>542</v>
      </c>
      <c r="B543" t="str" cm="1">
        <f t="array" ref="B543">INDEX('Enriched Data'!C:C,A543+1)</f>
        <v>Farmers Warehouse Inc.-JC</v>
      </c>
      <c r="C543" s="11" cm="1">
        <f t="array" ref="C543">INDEX('Enriched Data'!G:G,A543+1)</f>
        <v>93171.63</v>
      </c>
      <c r="D543" s="11">
        <f t="shared" si="25"/>
        <v>913243454.86999881</v>
      </c>
      <c r="E543" s="10">
        <f t="shared" si="26"/>
        <v>0.97614516136962681</v>
      </c>
    </row>
    <row r="544" spans="1:5">
      <c r="A544">
        <f t="shared" si="24"/>
        <v>543</v>
      </c>
      <c r="B544" t="str" cm="1">
        <f t="array" ref="B544">INDEX('Enriched Data'!C:C,A544+1)</f>
        <v>HireRight LLC</v>
      </c>
      <c r="C544" s="11" cm="1">
        <f t="array" ref="C544">INDEX('Enriched Data'!G:G,A544+1)</f>
        <v>92974.12</v>
      </c>
      <c r="D544" s="11">
        <f t="shared" si="25"/>
        <v>913336428.98999882</v>
      </c>
      <c r="E544" s="10">
        <f t="shared" si="26"/>
        <v>0.97624453929222421</v>
      </c>
    </row>
    <row r="545" spans="1:5">
      <c r="A545">
        <f t="shared" si="24"/>
        <v>544</v>
      </c>
      <c r="B545" t="str" cm="1">
        <f t="array" ref="B545">INDEX('Enriched Data'!C:C,A545+1)</f>
        <v>Williams Scotsman Inc.</v>
      </c>
      <c r="C545" s="11" cm="1">
        <f t="array" ref="C545">INDEX('Enriched Data'!G:G,A545+1)</f>
        <v>92625.95</v>
      </c>
      <c r="D545" s="11">
        <f t="shared" si="25"/>
        <v>913429054.93999887</v>
      </c>
      <c r="E545" s="10">
        <f t="shared" si="26"/>
        <v>0.97634354506382615</v>
      </c>
    </row>
    <row r="546" spans="1:5">
      <c r="A546">
        <f t="shared" si="24"/>
        <v>545</v>
      </c>
      <c r="B546" t="str" cm="1">
        <f t="array" ref="B546">INDEX('Enriched Data'!C:C,A546+1)</f>
        <v>Plote Properties LLC</v>
      </c>
      <c r="C546" s="11" cm="1">
        <f t="array" ref="C546">INDEX('Enriched Data'!G:G,A546+1)</f>
        <v>92250</v>
      </c>
      <c r="D546" s="11">
        <f t="shared" si="25"/>
        <v>913521304.93999887</v>
      </c>
      <c r="E546" s="10">
        <f t="shared" si="26"/>
        <v>0.97644214899102222</v>
      </c>
    </row>
    <row r="547" spans="1:5">
      <c r="A547">
        <f t="shared" si="24"/>
        <v>546</v>
      </c>
      <c r="B547" t="str" cm="1">
        <f t="array" ref="B547">INDEX('Enriched Data'!C:C,A547+1)</f>
        <v>Catherine Associates</v>
      </c>
      <c r="C547" s="11" cm="1">
        <f t="array" ref="C547">INDEX('Enriched Data'!G:G,A547+1)</f>
        <v>90202.23</v>
      </c>
      <c r="D547" s="11">
        <f t="shared" si="25"/>
        <v>913611507.16999888</v>
      </c>
      <c r="E547" s="10">
        <f t="shared" si="26"/>
        <v>0.97653856410343254</v>
      </c>
    </row>
    <row r="548" spans="1:5">
      <c r="A548">
        <f t="shared" si="24"/>
        <v>547</v>
      </c>
      <c r="B548" t="str" cm="1">
        <f t="array" ref="B548">INDEX('Enriched Data'!C:C,A548+1)</f>
        <v>Amsoes Bia</v>
      </c>
      <c r="C548" s="11" cm="1">
        <f t="array" ref="C548">INDEX('Enriched Data'!G:G,A548+1)</f>
        <v>90000</v>
      </c>
      <c r="D548" s="11">
        <f t="shared" si="25"/>
        <v>913701507.16999888</v>
      </c>
      <c r="E548" s="10">
        <f t="shared" si="26"/>
        <v>0.97663476305679464</v>
      </c>
    </row>
    <row r="549" spans="1:5">
      <c r="A549">
        <f t="shared" si="24"/>
        <v>548</v>
      </c>
      <c r="B549" t="str" cm="1">
        <f t="array" ref="B549">INDEX('Enriched Data'!C:C,A549+1)</f>
        <v>BrightEdge Technologies Inc.</v>
      </c>
      <c r="C549" s="11" cm="1">
        <f t="array" ref="C549">INDEX('Enriched Data'!G:G,A549+1)</f>
        <v>90000</v>
      </c>
      <c r="D549" s="11">
        <f t="shared" si="25"/>
        <v>913791507.16999888</v>
      </c>
      <c r="E549" s="10">
        <f t="shared" si="26"/>
        <v>0.97673096201015674</v>
      </c>
    </row>
    <row r="550" spans="1:5">
      <c r="A550">
        <f t="shared" si="24"/>
        <v>549</v>
      </c>
      <c r="B550" t="str" cm="1">
        <f t="array" ref="B550">INDEX('Enriched Data'!C:C,A550+1)</f>
        <v>Clear Link Technologies, LLC</v>
      </c>
      <c r="C550" s="11" cm="1">
        <f t="array" ref="C550">INDEX('Enriched Data'!G:G,A550+1)</f>
        <v>88954.98</v>
      </c>
      <c r="D550" s="11">
        <f t="shared" si="25"/>
        <v>913880462.1499989</v>
      </c>
      <c r="E550" s="10">
        <f t="shared" si="26"/>
        <v>0.97682604396540507</v>
      </c>
    </row>
    <row r="551" spans="1:5">
      <c r="A551">
        <f t="shared" si="24"/>
        <v>550</v>
      </c>
      <c r="B551" t="str" cm="1">
        <f t="array" ref="B551">INDEX('Enriched Data'!C:C,A551+1)</f>
        <v>The Peterbilt Store Hagerstown</v>
      </c>
      <c r="C551" s="11" cm="1">
        <f t="array" ref="C551">INDEX('Enriched Data'!G:G,A551+1)</f>
        <v>88521.23</v>
      </c>
      <c r="D551" s="11">
        <f t="shared" si="25"/>
        <v>913968983.37999892</v>
      </c>
      <c r="E551" s="10">
        <f t="shared" si="26"/>
        <v>0.97692066229514196</v>
      </c>
    </row>
    <row r="552" spans="1:5">
      <c r="A552">
        <f t="shared" si="24"/>
        <v>551</v>
      </c>
      <c r="B552" t="str" cm="1">
        <f t="array" ref="B552">INDEX('Enriched Data'!C:C,A552+1)</f>
        <v>Superior Protection Professionals</v>
      </c>
      <c r="C552" s="11" cm="1">
        <f t="array" ref="C552">INDEX('Enriched Data'!G:G,A552+1)</f>
        <v>88495</v>
      </c>
      <c r="D552" s="11">
        <f t="shared" si="25"/>
        <v>914057478.37999892</v>
      </c>
      <c r="E552" s="10">
        <f t="shared" si="26"/>
        <v>0.97701525258822841</v>
      </c>
    </row>
    <row r="553" spans="1:5">
      <c r="A553">
        <f t="shared" si="24"/>
        <v>552</v>
      </c>
      <c r="B553" t="str" cm="1">
        <f t="array" ref="B553">INDEX('Enriched Data'!C:C,A553+1)</f>
        <v>S.A. White Oil Company, Inc.</v>
      </c>
      <c r="C553" s="11" cm="1">
        <f t="array" ref="C553">INDEX('Enriched Data'!G:G,A553+1)</f>
        <v>87892.28</v>
      </c>
      <c r="D553" s="11">
        <f t="shared" si="25"/>
        <v>914145370.65999889</v>
      </c>
      <c r="E553" s="10">
        <f t="shared" si="26"/>
        <v>0.97710919864761292</v>
      </c>
    </row>
    <row r="554" spans="1:5">
      <c r="A554">
        <f t="shared" si="24"/>
        <v>553</v>
      </c>
      <c r="B554" t="str" cm="1">
        <f t="array" ref="B554">INDEX('Enriched Data'!C:C,A554+1)</f>
        <v>Grainger</v>
      </c>
      <c r="C554" s="11" cm="1">
        <f t="array" ref="C554">INDEX('Enriched Data'!G:G,A554+1)</f>
        <v>86849.33</v>
      </c>
      <c r="D554" s="11">
        <f t="shared" si="25"/>
        <v>914232219.98999894</v>
      </c>
      <c r="E554" s="10">
        <f t="shared" si="26"/>
        <v>0.97720202992145955</v>
      </c>
    </row>
    <row r="555" spans="1:5">
      <c r="A555">
        <f t="shared" si="24"/>
        <v>554</v>
      </c>
      <c r="B555" t="str" cm="1">
        <f t="array" ref="B555">INDEX('Enriched Data'!C:C,A555+1)</f>
        <v>Lift North America, Inc.</v>
      </c>
      <c r="C555" s="11" cm="1">
        <f t="array" ref="C555">INDEX('Enriched Data'!G:G,A555+1)</f>
        <v>86842.98</v>
      </c>
      <c r="D555" s="11">
        <f t="shared" si="25"/>
        <v>914319062.96999896</v>
      </c>
      <c r="E555" s="10">
        <f t="shared" si="26"/>
        <v>0.97729485440793562</v>
      </c>
    </row>
    <row r="556" spans="1:5">
      <c r="A556">
        <f t="shared" si="24"/>
        <v>555</v>
      </c>
      <c r="B556" t="str" cm="1">
        <f t="array" ref="B556">INDEX('Enriched Data'!C:C,A556+1)</f>
        <v>Troys Towing LLC</v>
      </c>
      <c r="C556" s="11" cm="1">
        <f t="array" ref="C556">INDEX('Enriched Data'!G:G,A556+1)</f>
        <v>86805</v>
      </c>
      <c r="D556" s="11">
        <f t="shared" si="25"/>
        <v>914405867.96999896</v>
      </c>
      <c r="E556" s="10">
        <f t="shared" si="26"/>
        <v>0.97738763829845332</v>
      </c>
    </row>
    <row r="557" spans="1:5">
      <c r="A557">
        <f t="shared" si="24"/>
        <v>556</v>
      </c>
      <c r="B557" t="str" cm="1">
        <f t="array" ref="B557">INDEX('Enriched Data'!C:C,A557+1)</f>
        <v>Areit Operating Partnership LP</v>
      </c>
      <c r="C557" s="11" cm="1">
        <f t="array" ref="C557">INDEX('Enriched Data'!G:G,A557+1)</f>
        <v>86342.18</v>
      </c>
      <c r="D557" s="11">
        <f t="shared" si="25"/>
        <v>914492210.1499989</v>
      </c>
      <c r="E557" s="10">
        <f t="shared" si="26"/>
        <v>0.97747992749119772</v>
      </c>
    </row>
    <row r="558" spans="1:5">
      <c r="A558">
        <f t="shared" si="24"/>
        <v>557</v>
      </c>
      <c r="B558" t="str" cm="1">
        <f t="array" ref="B558">INDEX('Enriched Data'!C:C,A558+1)</f>
        <v>RBG Lonestar Partners, LLC</v>
      </c>
      <c r="C558" s="11" cm="1">
        <f t="array" ref="C558">INDEX('Enriched Data'!G:G,A558+1)</f>
        <v>85885.29</v>
      </c>
      <c r="D558" s="11">
        <f t="shared" si="25"/>
        <v>914578095.43999887</v>
      </c>
      <c r="E558" s="10">
        <f t="shared" si="26"/>
        <v>0.97757172832461103</v>
      </c>
    </row>
    <row r="559" spans="1:5">
      <c r="A559">
        <f t="shared" si="24"/>
        <v>558</v>
      </c>
      <c r="B559" t="str" cm="1">
        <f t="array" ref="B559">INDEX('Enriched Data'!C:C,A559+1)</f>
        <v>Canteen Refreshment Services</v>
      </c>
      <c r="C559" s="11" cm="1">
        <f t="array" ref="C559">INDEX('Enriched Data'!G:G,A559+1)</f>
        <v>85610.57</v>
      </c>
      <c r="D559" s="11">
        <f t="shared" si="25"/>
        <v>914663706.00999892</v>
      </c>
      <c r="E559" s="10">
        <f t="shared" si="26"/>
        <v>0.97766323551606371</v>
      </c>
    </row>
    <row r="560" spans="1:5">
      <c r="A560">
        <f t="shared" si="24"/>
        <v>559</v>
      </c>
      <c r="B560" t="str" cm="1">
        <f t="array" ref="B560">INDEX('Enriched Data'!C:C,A560+1)</f>
        <v>CD Automotive Enterprises Inc</v>
      </c>
      <c r="C560" s="11" cm="1">
        <f t="array" ref="C560">INDEX('Enriched Data'!G:G,A560+1)</f>
        <v>85415.81</v>
      </c>
      <c r="D560" s="11">
        <f t="shared" si="25"/>
        <v>914749121.81999886</v>
      </c>
      <c r="E560" s="10">
        <f t="shared" si="26"/>
        <v>0.97775453453298111</v>
      </c>
    </row>
    <row r="561" spans="1:5">
      <c r="A561">
        <f t="shared" si="24"/>
        <v>560</v>
      </c>
      <c r="B561" t="str" cm="1">
        <f t="array" ref="B561">INDEX('Enriched Data'!C:C,A561+1)</f>
        <v>Key Trucking</v>
      </c>
      <c r="C561" s="11" cm="1">
        <f t="array" ref="C561">INDEX('Enriched Data'!G:G,A561+1)</f>
        <v>85266.31</v>
      </c>
      <c r="D561" s="11">
        <f t="shared" si="25"/>
        <v>914834388.1299988</v>
      </c>
      <c r="E561" s="10">
        <f t="shared" si="26"/>
        <v>0.97784567375274822</v>
      </c>
    </row>
    <row r="562" spans="1:5">
      <c r="A562">
        <f t="shared" si="24"/>
        <v>561</v>
      </c>
      <c r="B562" t="str" cm="1">
        <f t="array" ref="B562">INDEX('Enriched Data'!C:C,A562+1)</f>
        <v>Hollweg Assessment Partners LLC</v>
      </c>
      <c r="C562" s="11" cm="1">
        <f t="array" ref="C562">INDEX('Enriched Data'!G:G,A562+1)</f>
        <v>85024.72</v>
      </c>
      <c r="D562" s="11">
        <f t="shared" si="25"/>
        <v>914919412.84999883</v>
      </c>
      <c r="E562" s="10">
        <f t="shared" si="26"/>
        <v>0.97793655474245833</v>
      </c>
    </row>
    <row r="563" spans="1:5">
      <c r="A563">
        <f t="shared" si="24"/>
        <v>562</v>
      </c>
      <c r="B563" t="str" cm="1">
        <f t="array" ref="B563">INDEX('Enriched Data'!C:C,A563+1)</f>
        <v>Nielsen Merksamer Parrinello Gross</v>
      </c>
      <c r="C563" s="11" cm="1">
        <f t="array" ref="C563">INDEX('Enriched Data'!G:G,A563+1)</f>
        <v>84053.5</v>
      </c>
      <c r="D563" s="11">
        <f t="shared" si="25"/>
        <v>915003466.34999883</v>
      </c>
      <c r="E563" s="10">
        <f t="shared" si="26"/>
        <v>0.97802639761719634</v>
      </c>
    </row>
    <row r="564" spans="1:5">
      <c r="A564">
        <f t="shared" si="24"/>
        <v>563</v>
      </c>
      <c r="B564" t="str" cm="1">
        <f t="array" ref="B564">INDEX('Enriched Data'!C:C,A564+1)</f>
        <v>Medallia, Inc.</v>
      </c>
      <c r="C564" s="11" cm="1">
        <f t="array" ref="C564">INDEX('Enriched Data'!G:G,A564+1)</f>
        <v>84000</v>
      </c>
      <c r="D564" s="11">
        <f t="shared" si="25"/>
        <v>915087466.34999883</v>
      </c>
      <c r="E564" s="10">
        <f t="shared" si="26"/>
        <v>0.9781161833070009</v>
      </c>
    </row>
    <row r="565" spans="1:5">
      <c r="A565">
        <f t="shared" si="24"/>
        <v>564</v>
      </c>
      <c r="B565" t="str" cm="1">
        <f t="array" ref="B565">INDEX('Enriched Data'!C:C,A565+1)</f>
        <v>Alison Kendall</v>
      </c>
      <c r="C565" s="11" cm="1">
        <f t="array" ref="C565">INDEX('Enriched Data'!G:G,A565+1)</f>
        <v>83575</v>
      </c>
      <c r="D565" s="11">
        <f t="shared" si="25"/>
        <v>915171041.34999883</v>
      </c>
      <c r="E565" s="10">
        <f t="shared" si="26"/>
        <v>0.97820551472397022</v>
      </c>
    </row>
    <row r="566" spans="1:5">
      <c r="A566">
        <f t="shared" si="24"/>
        <v>565</v>
      </c>
      <c r="B566" t="str" cm="1">
        <f t="array" ref="B566">INDEX('Enriched Data'!C:C,A566+1)</f>
        <v>US Federal Contractor Registration, Inc.</v>
      </c>
      <c r="C566" s="11" cm="1">
        <f t="array" ref="C566">INDEX('Enriched Data'!G:G,A566+1)</f>
        <v>83318.19</v>
      </c>
      <c r="D566" s="11">
        <f t="shared" si="25"/>
        <v>915254359.53999889</v>
      </c>
      <c r="E566" s="10">
        <f t="shared" si="26"/>
        <v>0.9782945716425705</v>
      </c>
    </row>
    <row r="567" spans="1:5">
      <c r="A567">
        <f t="shared" si="24"/>
        <v>566</v>
      </c>
      <c r="B567" t="str" cm="1">
        <f t="array" ref="B567">INDEX('Enriched Data'!C:C,A567+1)</f>
        <v>Pacific States Petroleum, Inc.</v>
      </c>
      <c r="C567" s="11" cm="1">
        <f t="array" ref="C567">INDEX('Enriched Data'!G:G,A567+1)</f>
        <v>82507.16</v>
      </c>
      <c r="D567" s="11">
        <f t="shared" si="25"/>
        <v>915336866.69999886</v>
      </c>
      <c r="E567" s="10">
        <f t="shared" si="26"/>
        <v>0.97838276166964688</v>
      </c>
    </row>
    <row r="568" spans="1:5">
      <c r="A568">
        <f t="shared" si="24"/>
        <v>567</v>
      </c>
      <c r="B568" t="str" cm="1">
        <f t="array" ref="B568">INDEX('Enriched Data'!C:C,A568+1)</f>
        <v>Sanderson Concrete, LLC</v>
      </c>
      <c r="C568" s="11" cm="1">
        <f t="array" ref="C568">INDEX('Enriched Data'!G:G,A568+1)</f>
        <v>81656</v>
      </c>
      <c r="D568" s="11">
        <f t="shared" si="25"/>
        <v>915418522.69999886</v>
      </c>
      <c r="E568" s="10">
        <f t="shared" si="26"/>
        <v>0.97847004191115505</v>
      </c>
    </row>
    <row r="569" spans="1:5">
      <c r="A569">
        <f t="shared" si="24"/>
        <v>568</v>
      </c>
      <c r="B569" t="str" cm="1">
        <f t="array" ref="B569">INDEX('Enriched Data'!C:C,A569+1)</f>
        <v>Scott Transportation</v>
      </c>
      <c r="C569" s="11" cm="1">
        <f t="array" ref="C569">INDEX('Enriched Data'!G:G,A569+1)</f>
        <v>81475</v>
      </c>
      <c r="D569" s="11">
        <f t="shared" si="25"/>
        <v>915499997.69999886</v>
      </c>
      <c r="E569" s="10">
        <f t="shared" si="26"/>
        <v>0.97855712868587919</v>
      </c>
    </row>
    <row r="570" spans="1:5">
      <c r="A570">
        <f t="shared" si="24"/>
        <v>569</v>
      </c>
      <c r="B570" t="str" cm="1">
        <f t="array" ref="B570">INDEX('Enriched Data'!C:C,A570+1)</f>
        <v>BIP Reilly Property LLC</v>
      </c>
      <c r="C570" s="11" cm="1">
        <f t="array" ref="C570">INDEX('Enriched Data'!G:G,A570+1)</f>
        <v>80921.919999999998</v>
      </c>
      <c r="D570" s="11">
        <f t="shared" si="25"/>
        <v>915580919.61999881</v>
      </c>
      <c r="E570" s="10">
        <f t="shared" si="26"/>
        <v>0.97864362428596863</v>
      </c>
    </row>
    <row r="571" spans="1:5">
      <c r="A571">
        <f t="shared" si="24"/>
        <v>570</v>
      </c>
      <c r="B571" t="str" cm="1">
        <f t="array" ref="B571">INDEX('Enriched Data'!C:C,A571+1)</f>
        <v>IT Resources Corp</v>
      </c>
      <c r="C571" s="11" cm="1">
        <f t="array" ref="C571">INDEX('Enriched Data'!G:G,A571+1)</f>
        <v>80388</v>
      </c>
      <c r="D571" s="11">
        <f t="shared" si="25"/>
        <v>915661307.61999881</v>
      </c>
      <c r="E571" s="10">
        <f t="shared" si="26"/>
        <v>0.97872954919111166</v>
      </c>
    </row>
    <row r="572" spans="1:5">
      <c r="A572">
        <f t="shared" si="24"/>
        <v>571</v>
      </c>
      <c r="B572" t="str" cm="1">
        <f t="array" ref="B572">INDEX('Enriched Data'!C:C,A572+1)</f>
        <v>Anne B Shahan</v>
      </c>
      <c r="C572" s="11" cm="1">
        <f t="array" ref="C572">INDEX('Enriched Data'!G:G,A572+1)</f>
        <v>80211.350000000006</v>
      </c>
      <c r="D572" s="11">
        <f t="shared" si="25"/>
        <v>915741518.96999884</v>
      </c>
      <c r="E572" s="10">
        <f t="shared" si="26"/>
        <v>0.97881528527908679</v>
      </c>
    </row>
    <row r="573" spans="1:5">
      <c r="A573">
        <f t="shared" si="24"/>
        <v>572</v>
      </c>
      <c r="B573" t="str" cm="1">
        <f t="array" ref="B573">INDEX('Enriched Data'!C:C,A573+1)</f>
        <v>The Earnest Analytics Company</v>
      </c>
      <c r="C573" s="11" cm="1">
        <f t="array" ref="C573">INDEX('Enriched Data'!G:G,A573+1)</f>
        <v>80000</v>
      </c>
      <c r="D573" s="11">
        <f t="shared" si="25"/>
        <v>915821518.96999884</v>
      </c>
      <c r="E573" s="10">
        <f t="shared" si="26"/>
        <v>0.97890079545985309</v>
      </c>
    </row>
    <row r="574" spans="1:5">
      <c r="A574">
        <f t="shared" si="24"/>
        <v>573</v>
      </c>
      <c r="B574" t="str" cm="1">
        <f t="array" ref="B574">INDEX('Enriched Data'!C:C,A574+1)</f>
        <v>Cool Aid AC</v>
      </c>
      <c r="C574" s="11" cm="1">
        <f t="array" ref="C574">INDEX('Enriched Data'!G:G,A574+1)</f>
        <v>79489.37</v>
      </c>
      <c r="D574" s="11">
        <f t="shared" si="25"/>
        <v>915901008.33999884</v>
      </c>
      <c r="E574" s="10">
        <f t="shared" si="26"/>
        <v>0.97898575983982428</v>
      </c>
    </row>
    <row r="575" spans="1:5">
      <c r="A575">
        <f t="shared" si="24"/>
        <v>574</v>
      </c>
      <c r="B575" t="str" cm="1">
        <f t="array" ref="B575">INDEX('Enriched Data'!C:C,A575+1)</f>
        <v>John Perkins Industries Inc.</v>
      </c>
      <c r="C575" s="11" cm="1">
        <f t="array" ref="C575">INDEX('Enriched Data'!G:G,A575+1)</f>
        <v>78989.58</v>
      </c>
      <c r="D575" s="11">
        <f t="shared" si="25"/>
        <v>915979997.91999888</v>
      </c>
      <c r="E575" s="10">
        <f t="shared" si="26"/>
        <v>0.97907019000563</v>
      </c>
    </row>
    <row r="576" spans="1:5">
      <c r="A576">
        <f t="shared" si="24"/>
        <v>575</v>
      </c>
      <c r="B576" t="str" cm="1">
        <f t="array" ref="B576">INDEX('Enriched Data'!C:C,A576+1)</f>
        <v>JLB NETA LLC</v>
      </c>
      <c r="C576" s="11" cm="1">
        <f t="array" ref="C576">INDEX('Enriched Data'!G:G,A576+1)</f>
        <v>78936</v>
      </c>
      <c r="D576" s="11">
        <f t="shared" si="25"/>
        <v>916058933.91999888</v>
      </c>
      <c r="E576" s="10">
        <f t="shared" si="26"/>
        <v>0.97915456290099212</v>
      </c>
    </row>
    <row r="577" spans="1:5">
      <c r="A577">
        <f t="shared" si="24"/>
        <v>576</v>
      </c>
      <c r="B577" t="str" cm="1">
        <f t="array" ref="B577">INDEX('Enriched Data'!C:C,A577+1)</f>
        <v>Select Equipment Sales, Inc.</v>
      </c>
      <c r="C577" s="11" cm="1">
        <f t="array" ref="C577">INDEX('Enriched Data'!G:G,A577+1)</f>
        <v>77952.72</v>
      </c>
      <c r="D577" s="11">
        <f t="shared" si="25"/>
        <v>916136886.63999891</v>
      </c>
      <c r="E577" s="10">
        <f t="shared" si="26"/>
        <v>0.97923788479072249</v>
      </c>
    </row>
    <row r="578" spans="1:5">
      <c r="A578">
        <f t="shared" si="24"/>
        <v>577</v>
      </c>
      <c r="B578" t="str" cm="1">
        <f t="array" ref="B578">INDEX('Enriched Data'!C:C,A578+1)</f>
        <v>Rosendo Zamudio</v>
      </c>
      <c r="C578" s="11" cm="1">
        <f t="array" ref="C578">INDEX('Enriched Data'!G:G,A578+1)</f>
        <v>76700</v>
      </c>
      <c r="D578" s="11">
        <f t="shared" si="25"/>
        <v>916213586.63999891</v>
      </c>
      <c r="E578" s="10">
        <f t="shared" si="26"/>
        <v>0.97931986767653212</v>
      </c>
    </row>
    <row r="579" spans="1:5">
      <c r="A579">
        <f t="shared" si="24"/>
        <v>578</v>
      </c>
      <c r="B579" t="str" cm="1">
        <f t="array" ref="B579">INDEX('Enriched Data'!C:C,A579+1)</f>
        <v>Teamster Local Union No 671 - Dues Fees</v>
      </c>
      <c r="C579" s="11" cm="1">
        <f t="array" ref="C579">INDEX('Enriched Data'!G:G,A579+1)</f>
        <v>76651</v>
      </c>
      <c r="D579" s="11">
        <f t="shared" si="25"/>
        <v>916290237.63999891</v>
      </c>
      <c r="E579" s="10">
        <f t="shared" si="26"/>
        <v>0.97940179818735618</v>
      </c>
    </row>
    <row r="580" spans="1:5">
      <c r="A580">
        <f t="shared" ref="A580:A643" si="27">A579+1</f>
        <v>579</v>
      </c>
      <c r="B580" t="str" cm="1">
        <f t="array" ref="B580">INDEX('Enriched Data'!C:C,A580+1)</f>
        <v>ADESA Auctions Canada dba ADESA Calgary</v>
      </c>
      <c r="C580" s="11" cm="1">
        <f t="array" ref="C580">INDEX('Enriched Data'!G:G,A580+1)</f>
        <v>76230</v>
      </c>
      <c r="D580" s="11">
        <f t="shared" ref="D580:D643" si="28">D579+C580</f>
        <v>916366467.63999891</v>
      </c>
      <c r="E580" s="10">
        <f t="shared" ref="E580:E643" si="29">D580/$F$2</f>
        <v>0.97948327870085383</v>
      </c>
    </row>
    <row r="581" spans="1:5">
      <c r="A581">
        <f t="shared" si="27"/>
        <v>580</v>
      </c>
      <c r="B581" t="str" cm="1">
        <f t="array" ref="B581">INDEX('Enriched Data'!C:C,A581+1)</f>
        <v>Metlife</v>
      </c>
      <c r="C581" s="11" cm="1">
        <f t="array" ref="C581">INDEX('Enriched Data'!G:G,A581+1)</f>
        <v>76194</v>
      </c>
      <c r="D581" s="11">
        <f t="shared" si="28"/>
        <v>916442661.63999891</v>
      </c>
      <c r="E581" s="10">
        <f t="shared" si="29"/>
        <v>0.97956472073477019</v>
      </c>
    </row>
    <row r="582" spans="1:5">
      <c r="A582">
        <f t="shared" si="27"/>
        <v>581</v>
      </c>
      <c r="B582" t="str" cm="1">
        <f t="array" ref="B582">INDEX('Enriched Data'!C:C,A582+1)</f>
        <v>2849933 Ontario Inc.</v>
      </c>
      <c r="C582" s="11" cm="1">
        <f t="array" ref="C582">INDEX('Enriched Data'!G:G,A582+1)</f>
        <v>76087.740000000005</v>
      </c>
      <c r="D582" s="11">
        <f t="shared" si="28"/>
        <v>916518749.37999892</v>
      </c>
      <c r="E582" s="10">
        <f t="shared" si="29"/>
        <v>0.97964604918978893</v>
      </c>
    </row>
    <row r="583" spans="1:5">
      <c r="A583">
        <f t="shared" si="27"/>
        <v>582</v>
      </c>
      <c r="B583" t="str" cm="1">
        <f t="array" ref="B583">INDEX('Enriched Data'!C:C,A583+1)</f>
        <v>Atlanta ForkLifts</v>
      </c>
      <c r="C583" s="11" cm="1">
        <f t="array" ref="C583">INDEX('Enriched Data'!G:G,A583+1)</f>
        <v>75616.179999999993</v>
      </c>
      <c r="D583" s="11">
        <f t="shared" si="28"/>
        <v>916594365.55999887</v>
      </c>
      <c r="E583" s="10">
        <f t="shared" si="29"/>
        <v>0.97972687360504707</v>
      </c>
    </row>
    <row r="584" spans="1:5">
      <c r="A584">
        <f t="shared" si="27"/>
        <v>583</v>
      </c>
      <c r="B584" t="str" cm="1">
        <f t="array" ref="B584">INDEX('Enriched Data'!C:C,A584+1)</f>
        <v>Yelp, Inc.</v>
      </c>
      <c r="C584" s="11" cm="1">
        <f t="array" ref="C584">INDEX('Enriched Data'!G:G,A584+1)</f>
        <v>74892.5</v>
      </c>
      <c r="D584" s="11">
        <f t="shared" si="28"/>
        <v>916669258.05999887</v>
      </c>
      <c r="E584" s="10">
        <f t="shared" si="29"/>
        <v>0.97980692449521001</v>
      </c>
    </row>
    <row r="585" spans="1:5">
      <c r="A585">
        <f t="shared" si="27"/>
        <v>584</v>
      </c>
      <c r="B585" t="str" cm="1">
        <f t="array" ref="B585">INDEX('Enriched Data'!C:C,A585+1)</f>
        <v>Neon Logistics LLC</v>
      </c>
      <c r="C585" s="11" cm="1">
        <f t="array" ref="C585">INDEX('Enriched Data'!G:G,A585+1)</f>
        <v>72697</v>
      </c>
      <c r="D585" s="11">
        <f t="shared" si="28"/>
        <v>916741955.05999887</v>
      </c>
      <c r="E585" s="10">
        <f t="shared" si="29"/>
        <v>0.97988462866534964</v>
      </c>
    </row>
    <row r="586" spans="1:5">
      <c r="A586">
        <f t="shared" si="27"/>
        <v>585</v>
      </c>
      <c r="B586" t="str" cm="1">
        <f t="array" ref="B586">INDEX('Enriched Data'!C:C,A586+1)</f>
        <v>Lighting Expertise and Design Ser</v>
      </c>
      <c r="C586" s="11" cm="1">
        <f t="array" ref="C586">INDEX('Enriched Data'!G:G,A586+1)</f>
        <v>70892.73</v>
      </c>
      <c r="D586" s="11">
        <f t="shared" si="28"/>
        <v>916812847.78999889</v>
      </c>
      <c r="E586" s="10">
        <f t="shared" si="29"/>
        <v>0.97996040429231612</v>
      </c>
    </row>
    <row r="587" spans="1:5">
      <c r="A587">
        <f t="shared" si="27"/>
        <v>586</v>
      </c>
      <c r="B587" t="str" cm="1">
        <f t="array" ref="B587">INDEX('Enriched Data'!C:C,A587+1)</f>
        <v>Traject Reviews LLC</v>
      </c>
      <c r="C587" s="11" cm="1">
        <f t="array" ref="C587">INDEX('Enriched Data'!G:G,A587+1)</f>
        <v>70192.5</v>
      </c>
      <c r="D587" s="11">
        <f t="shared" si="28"/>
        <v>916883040.28999889</v>
      </c>
      <c r="E587" s="10">
        <f t="shared" si="29"/>
        <v>0.98003543145935912</v>
      </c>
    </row>
    <row r="588" spans="1:5">
      <c r="A588">
        <f t="shared" si="27"/>
        <v>587</v>
      </c>
      <c r="B588" t="str" cm="1">
        <f t="array" ref="B588">INDEX('Enriched Data'!C:C,A588+1)</f>
        <v>Cost Control Associates, Inc.</v>
      </c>
      <c r="C588" s="11" cm="1">
        <f t="array" ref="C588">INDEX('Enriched Data'!G:G,A588+1)</f>
        <v>69790.36</v>
      </c>
      <c r="D588" s="11">
        <f t="shared" si="28"/>
        <v>916952830.6499989</v>
      </c>
      <c r="E588" s="10">
        <f t="shared" si="29"/>
        <v>0.98011002878810094</v>
      </c>
    </row>
    <row r="589" spans="1:5">
      <c r="A589">
        <f t="shared" si="27"/>
        <v>588</v>
      </c>
      <c r="B589" t="str" cm="1">
        <f t="array" ref="B589">INDEX('Enriched Data'!C:C,A589+1)</f>
        <v>K &amp; T Transport LTD</v>
      </c>
      <c r="C589" s="11" cm="1">
        <f t="array" ref="C589">INDEX('Enriched Data'!G:G,A589+1)</f>
        <v>69721</v>
      </c>
      <c r="D589" s="11">
        <f t="shared" si="28"/>
        <v>917022551.6499989</v>
      </c>
      <c r="E589" s="10">
        <f t="shared" si="29"/>
        <v>0.98018455197951604</v>
      </c>
    </row>
    <row r="590" spans="1:5">
      <c r="A590">
        <f t="shared" si="27"/>
        <v>589</v>
      </c>
      <c r="B590" t="str" cm="1">
        <f t="array" ref="B590">INDEX('Enriched Data'!C:C,A590+1)</f>
        <v>SL Industrial, LP</v>
      </c>
      <c r="C590" s="11" cm="1">
        <f t="array" ref="C590">INDEX('Enriched Data'!G:G,A590+1)</f>
        <v>69289.919999999998</v>
      </c>
      <c r="D590" s="11">
        <f t="shared" si="28"/>
        <v>917091841.56999886</v>
      </c>
      <c r="E590" s="10">
        <f t="shared" si="29"/>
        <v>0.98025861439932205</v>
      </c>
    </row>
    <row r="591" spans="1:5">
      <c r="A591">
        <f t="shared" si="27"/>
        <v>590</v>
      </c>
      <c r="B591" t="str" cm="1">
        <f t="array" ref="B591">INDEX('Enriched Data'!C:C,A591+1)</f>
        <v>S and S Morris LLC</v>
      </c>
      <c r="C591" s="11" cm="1">
        <f t="array" ref="C591">INDEX('Enriched Data'!G:G,A591+1)</f>
        <v>68934.12</v>
      </c>
      <c r="D591" s="11">
        <f t="shared" si="28"/>
        <v>917160775.68999887</v>
      </c>
      <c r="E591" s="10">
        <f t="shared" si="29"/>
        <v>0.98033229651259912</v>
      </c>
    </row>
    <row r="592" spans="1:5">
      <c r="A592">
        <f t="shared" si="27"/>
        <v>591</v>
      </c>
      <c r="B592" t="str" cm="1">
        <f t="array" ref="B592">INDEX('Enriched Data'!C:C,A592+1)</f>
        <v>Brainlabs Digital, Inc.</v>
      </c>
      <c r="C592" s="11" cm="1">
        <f t="array" ref="C592">INDEX('Enriched Data'!G:G,A592+1)</f>
        <v>68789.919999999998</v>
      </c>
      <c r="D592" s="11">
        <f t="shared" si="28"/>
        <v>917229565.60999882</v>
      </c>
      <c r="E592" s="10">
        <f t="shared" si="29"/>
        <v>0.98040582449377522</v>
      </c>
    </row>
    <row r="593" spans="1:5">
      <c r="A593">
        <f t="shared" si="27"/>
        <v>592</v>
      </c>
      <c r="B593" t="str" cm="1">
        <f t="array" ref="B593">INDEX('Enriched Data'!C:C,A593+1)</f>
        <v>Melling Partners, LL</v>
      </c>
      <c r="C593" s="11" cm="1">
        <f t="array" ref="C593">INDEX('Enriched Data'!G:G,A593+1)</f>
        <v>68540.240000000005</v>
      </c>
      <c r="D593" s="11">
        <f t="shared" si="28"/>
        <v>917298105.84999883</v>
      </c>
      <c r="E593" s="10">
        <f t="shared" si="29"/>
        <v>0.98047908559767738</v>
      </c>
    </row>
    <row r="594" spans="1:5">
      <c r="A594">
        <f t="shared" si="27"/>
        <v>593</v>
      </c>
      <c r="B594" t="str" cm="1">
        <f t="array" ref="B594">INDEX('Enriched Data'!C:C,A594+1)</f>
        <v>Cheetah Software Systems Inc.</v>
      </c>
      <c r="C594" s="11" cm="1">
        <f t="array" ref="C594">INDEX('Enriched Data'!G:G,A594+1)</f>
        <v>68266</v>
      </c>
      <c r="D594" s="11">
        <f t="shared" si="28"/>
        <v>917366371.84999883</v>
      </c>
      <c r="E594" s="10">
        <f t="shared" si="29"/>
        <v>0.98055205357267972</v>
      </c>
    </row>
    <row r="595" spans="1:5">
      <c r="A595">
        <f t="shared" si="27"/>
        <v>594</v>
      </c>
      <c r="B595" t="str" cm="1">
        <f t="array" ref="B595">INDEX('Enriched Data'!C:C,A595+1)</f>
        <v>Appcast Inc</v>
      </c>
      <c r="C595" s="11" cm="1">
        <f t="array" ref="C595">INDEX('Enriched Data'!G:G,A595+1)</f>
        <v>67842.14</v>
      </c>
      <c r="D595" s="11">
        <f t="shared" si="28"/>
        <v>917434213.98999882</v>
      </c>
      <c r="E595" s="10">
        <f t="shared" si="29"/>
        <v>0.98062456849336688</v>
      </c>
    </row>
    <row r="596" spans="1:5">
      <c r="A596">
        <f t="shared" si="27"/>
        <v>595</v>
      </c>
      <c r="B596" t="str" cm="1">
        <f t="array" ref="B596">INDEX('Enriched Data'!C:C,A596+1)</f>
        <v>Professional Drivers of Georgia,</v>
      </c>
      <c r="C596" s="11" cm="1">
        <f t="array" ref="C596">INDEX('Enriched Data'!G:G,A596+1)</f>
        <v>66928.63</v>
      </c>
      <c r="D596" s="11">
        <f t="shared" si="28"/>
        <v>917501142.61999881</v>
      </c>
      <c r="E596" s="10">
        <f t="shared" si="29"/>
        <v>0.98069610698398868</v>
      </c>
    </row>
    <row r="597" spans="1:5">
      <c r="A597">
        <f t="shared" si="27"/>
        <v>596</v>
      </c>
      <c r="B597" t="str" cm="1">
        <f t="array" ref="B597">INDEX('Enriched Data'!C:C,A597+1)</f>
        <v>Cigniti Technologies, Inc.</v>
      </c>
      <c r="C597" s="11" cm="1">
        <f t="array" ref="C597">INDEX('Enriched Data'!G:G,A597+1)</f>
        <v>66872</v>
      </c>
      <c r="D597" s="11">
        <f t="shared" si="28"/>
        <v>917568014.61999881</v>
      </c>
      <c r="E597" s="10">
        <f t="shared" si="29"/>
        <v>0.98076758494409122</v>
      </c>
    </row>
    <row r="598" spans="1:5">
      <c r="A598">
        <f t="shared" si="27"/>
        <v>597</v>
      </c>
      <c r="B598" t="str" cm="1">
        <f t="array" ref="B598">INDEX('Enriched Data'!C:C,A598+1)</f>
        <v>Samson Trucking Inc.</v>
      </c>
      <c r="C598" s="11" cm="1">
        <f t="array" ref="C598">INDEX('Enriched Data'!G:G,A598+1)</f>
        <v>66573.440000000002</v>
      </c>
      <c r="D598" s="11">
        <f t="shared" si="28"/>
        <v>917634588.05999887</v>
      </c>
      <c r="E598" s="10">
        <f t="shared" si="29"/>
        <v>0.9808387437801992</v>
      </c>
    </row>
    <row r="599" spans="1:5">
      <c r="A599">
        <f t="shared" si="27"/>
        <v>598</v>
      </c>
      <c r="B599" t="str" cm="1">
        <f t="array" ref="B599">INDEX('Enriched Data'!C:C,A599+1)</f>
        <v>DAC Group Chicago Inc..</v>
      </c>
      <c r="C599" s="11" cm="1">
        <f t="array" ref="C599">INDEX('Enriched Data'!G:G,A599+1)</f>
        <v>66417.47</v>
      </c>
      <c r="D599" s="11">
        <f t="shared" si="28"/>
        <v>917701005.5299989</v>
      </c>
      <c r="E599" s="10">
        <f t="shared" si="29"/>
        <v>0.98090973590352093</v>
      </c>
    </row>
    <row r="600" spans="1:5">
      <c r="A600">
        <f t="shared" si="27"/>
        <v>599</v>
      </c>
      <c r="B600" t="str" cm="1">
        <f t="array" ref="B600">INDEX('Enriched Data'!C:C,A600+1)</f>
        <v>Restraint Sales Inc</v>
      </c>
      <c r="C600" s="11" cm="1">
        <f t="array" ref="C600">INDEX('Enriched Data'!G:G,A600+1)</f>
        <v>66282.45</v>
      </c>
      <c r="D600" s="11">
        <f t="shared" si="28"/>
        <v>917767287.97999895</v>
      </c>
      <c r="E600" s="10">
        <f t="shared" si="29"/>
        <v>0.98098058370703511</v>
      </c>
    </row>
    <row r="601" spans="1:5">
      <c r="A601">
        <f t="shared" si="27"/>
        <v>600</v>
      </c>
      <c r="B601" t="str" cm="1">
        <f t="array" ref="B601">INDEX('Enriched Data'!C:C,A601+1)</f>
        <v>Russo Propane Inc</v>
      </c>
      <c r="C601" s="11" cm="1">
        <f t="array" ref="C601">INDEX('Enriched Data'!G:G,A601+1)</f>
        <v>66052.83</v>
      </c>
      <c r="D601" s="11">
        <f t="shared" si="28"/>
        <v>917833340.80999899</v>
      </c>
      <c r="E601" s="10">
        <f t="shared" si="29"/>
        <v>0.98105118607495301</v>
      </c>
    </row>
    <row r="602" spans="1:5">
      <c r="A602">
        <f t="shared" si="27"/>
        <v>601</v>
      </c>
      <c r="B602" t="str" cm="1">
        <f t="array" ref="B602">INDEX('Enriched Data'!C:C,A602+1)</f>
        <v>Winson Park 520 West LLc</v>
      </c>
      <c r="C602" s="11" cm="1">
        <f t="array" ref="C602">INDEX('Enriched Data'!G:G,A602+1)</f>
        <v>66000</v>
      </c>
      <c r="D602" s="11">
        <f t="shared" si="28"/>
        <v>917899340.80999899</v>
      </c>
      <c r="E602" s="10">
        <f t="shared" si="29"/>
        <v>0.98112173197408525</v>
      </c>
    </row>
    <row r="603" spans="1:5">
      <c r="A603">
        <f t="shared" si="27"/>
        <v>602</v>
      </c>
      <c r="B603" t="str" cm="1">
        <f t="array" ref="B603">INDEX('Enriched Data'!C:C,A603+1)</f>
        <v>Rimini Street Inc.</v>
      </c>
      <c r="C603" s="11" cm="1">
        <f t="array" ref="C603">INDEX('Enriched Data'!G:G,A603+1)</f>
        <v>65934</v>
      </c>
      <c r="D603" s="11">
        <f t="shared" si="28"/>
        <v>917965274.80999899</v>
      </c>
      <c r="E603" s="10">
        <f t="shared" si="29"/>
        <v>0.98119220732731827</v>
      </c>
    </row>
    <row r="604" spans="1:5">
      <c r="A604">
        <f t="shared" si="27"/>
        <v>603</v>
      </c>
      <c r="B604" t="str" cm="1">
        <f t="array" ref="B604">INDEX('Enriched Data'!C:C,A604+1)</f>
        <v>Manus Products, Inc</v>
      </c>
      <c r="C604" s="11" cm="1">
        <f t="array" ref="C604">INDEX('Enriched Data'!G:G,A604+1)</f>
        <v>65607.89</v>
      </c>
      <c r="D604" s="11">
        <f t="shared" si="28"/>
        <v>918030882.69999897</v>
      </c>
      <c r="E604" s="10">
        <f t="shared" si="29"/>
        <v>0.98126233410898822</v>
      </c>
    </row>
    <row r="605" spans="1:5">
      <c r="A605">
        <f t="shared" si="27"/>
        <v>604</v>
      </c>
      <c r="B605" t="str" cm="1">
        <f t="array" ref="B605">INDEX('Enriched Data'!C:C,A605+1)</f>
        <v>Claire Huang</v>
      </c>
      <c r="C605" s="11" cm="1">
        <f t="array" ref="C605">INDEX('Enriched Data'!G:G,A605+1)</f>
        <v>65552.47</v>
      </c>
      <c r="D605" s="11">
        <f t="shared" si="28"/>
        <v>918096435.169999</v>
      </c>
      <c r="E605" s="10">
        <f t="shared" si="29"/>
        <v>0.98133240165348046</v>
      </c>
    </row>
    <row r="606" spans="1:5">
      <c r="A606">
        <f t="shared" si="27"/>
        <v>605</v>
      </c>
      <c r="B606" t="str" cm="1">
        <f t="array" ref="B606">INDEX('Enriched Data'!C:C,A606+1)</f>
        <v>3G Portable Storage LLC</v>
      </c>
      <c r="C606" s="11" cm="1">
        <f t="array" ref="C606">INDEX('Enriched Data'!G:G,A606+1)</f>
        <v>64893.73</v>
      </c>
      <c r="D606" s="11">
        <f t="shared" si="28"/>
        <v>918161328.89999902</v>
      </c>
      <c r="E606" s="10">
        <f t="shared" si="29"/>
        <v>0.98140176508576671</v>
      </c>
    </row>
    <row r="607" spans="1:5">
      <c r="A607">
        <f t="shared" si="27"/>
        <v>606</v>
      </c>
      <c r="B607" t="str" cm="1">
        <f t="array" ref="B607">INDEX('Enriched Data'!C:C,A607+1)</f>
        <v>InterCity Direct LLC</v>
      </c>
      <c r="C607" s="11" cm="1">
        <f t="array" ref="C607">INDEX('Enriched Data'!G:G,A607+1)</f>
        <v>64841</v>
      </c>
      <c r="D607" s="11">
        <f t="shared" si="28"/>
        <v>918226169.89999902</v>
      </c>
      <c r="E607" s="10">
        <f t="shared" si="29"/>
        <v>0.98147107215615503</v>
      </c>
    </row>
    <row r="608" spans="1:5">
      <c r="A608">
        <f t="shared" si="27"/>
        <v>607</v>
      </c>
      <c r="B608" t="str" cm="1">
        <f t="array" ref="B608">INDEX('Enriched Data'!C:C,A608+1)</f>
        <v>Suzette M Deering</v>
      </c>
      <c r="C608" s="11" cm="1">
        <f t="array" ref="C608">INDEX('Enriched Data'!G:G,A608+1)</f>
        <v>64802.49</v>
      </c>
      <c r="D608" s="11">
        <f t="shared" si="28"/>
        <v>918290972.38999903</v>
      </c>
      <c r="E608" s="10">
        <f t="shared" si="29"/>
        <v>0.98154033806408014</v>
      </c>
    </row>
    <row r="609" spans="1:5">
      <c r="A609">
        <f t="shared" si="27"/>
        <v>608</v>
      </c>
      <c r="B609" t="str" cm="1">
        <f t="array" ref="B609">INDEX('Enriched Data'!C:C,A609+1)</f>
        <v>Consumer Unified LLC</v>
      </c>
      <c r="C609" s="11" cm="1">
        <f t="array" ref="C609">INDEX('Enriched Data'!G:G,A609+1)</f>
        <v>64800</v>
      </c>
      <c r="D609" s="11">
        <f t="shared" si="28"/>
        <v>918355772.38999903</v>
      </c>
      <c r="E609" s="10">
        <f t="shared" si="29"/>
        <v>0.98160960131050079</v>
      </c>
    </row>
    <row r="610" spans="1:5">
      <c r="A610">
        <f t="shared" si="27"/>
        <v>609</v>
      </c>
      <c r="B610" t="str" cm="1">
        <f t="array" ref="B610">INDEX('Enriched Data'!C:C,A610+1)</f>
        <v>Lease Harbor LLC</v>
      </c>
      <c r="C610" s="11" cm="1">
        <f t="array" ref="C610">INDEX('Enriched Data'!G:G,A610+1)</f>
        <v>64380.4</v>
      </c>
      <c r="D610" s="11">
        <f t="shared" si="28"/>
        <v>918420152.78999901</v>
      </c>
      <c r="E610" s="10">
        <f t="shared" si="29"/>
        <v>0.98167841605602335</v>
      </c>
    </row>
    <row r="611" spans="1:5">
      <c r="A611">
        <f t="shared" si="27"/>
        <v>610</v>
      </c>
      <c r="B611" t="str" cm="1">
        <f t="array" ref="B611">INDEX('Enriched Data'!C:C,A611+1)</f>
        <v>Fleetpride</v>
      </c>
      <c r="C611" s="11" cm="1">
        <f t="array" ref="C611">INDEX('Enriched Data'!G:G,A611+1)</f>
        <v>64357.19</v>
      </c>
      <c r="D611" s="11">
        <f t="shared" si="28"/>
        <v>918484509.97999907</v>
      </c>
      <c r="E611" s="10">
        <f t="shared" si="29"/>
        <v>0.98174720599290488</v>
      </c>
    </row>
    <row r="612" spans="1:5">
      <c r="A612">
        <f t="shared" si="27"/>
        <v>611</v>
      </c>
      <c r="B612" t="str" cm="1">
        <f t="array" ref="B612">INDEX('Enriched Data'!C:C,A612+1)</f>
        <v>Rocke Mclean &amp; Sbar, PA Trust Acc</v>
      </c>
      <c r="C612" s="11" cm="1">
        <f t="array" ref="C612">INDEX('Enriched Data'!G:G,A612+1)</f>
        <v>63999.47</v>
      </c>
      <c r="D612" s="11">
        <f t="shared" si="28"/>
        <v>918548509.44999909</v>
      </c>
      <c r="E612" s="10">
        <f t="shared" si="29"/>
        <v>0.98181561357101299</v>
      </c>
    </row>
    <row r="613" spans="1:5">
      <c r="A613">
        <f t="shared" si="27"/>
        <v>612</v>
      </c>
      <c r="B613" t="str" cm="1">
        <f t="array" ref="B613">INDEX('Enriched Data'!C:C,A613+1)</f>
        <v>Livingston International</v>
      </c>
      <c r="C613" s="11" cm="1">
        <f t="array" ref="C613">INDEX('Enriched Data'!G:G,A613+1)</f>
        <v>63960.32</v>
      </c>
      <c r="D613" s="11">
        <f t="shared" si="28"/>
        <v>918612469.76999915</v>
      </c>
      <c r="E613" s="10">
        <f t="shared" si="29"/>
        <v>0.98188397930257643</v>
      </c>
    </row>
    <row r="614" spans="1:5">
      <c r="A614">
        <f t="shared" si="27"/>
        <v>613</v>
      </c>
      <c r="B614" t="str" cm="1">
        <f t="array" ref="B614">INDEX('Enriched Data'!C:C,A614+1)</f>
        <v>Canon Financial Services</v>
      </c>
      <c r="C614" s="11" cm="1">
        <f t="array" ref="C614">INDEX('Enriched Data'!G:G,A614+1)</f>
        <v>63789.56</v>
      </c>
      <c r="D614" s="11">
        <f t="shared" si="28"/>
        <v>918676259.32999909</v>
      </c>
      <c r="E614" s="10">
        <f t="shared" si="29"/>
        <v>0.98195216251265882</v>
      </c>
    </row>
    <row r="615" spans="1:5">
      <c r="A615">
        <f t="shared" si="27"/>
        <v>614</v>
      </c>
      <c r="B615" t="str" cm="1">
        <f t="array" ref="B615">INDEX('Enriched Data'!C:C,A615+1)</f>
        <v>Bianca Bartell dba Ambianc Cleaning</v>
      </c>
      <c r="C615" s="11" cm="1">
        <f t="array" ref="C615">INDEX('Enriched Data'!G:G,A615+1)</f>
        <v>63000</v>
      </c>
      <c r="D615" s="11">
        <f t="shared" si="28"/>
        <v>918739259.32999909</v>
      </c>
      <c r="E615" s="10">
        <f t="shared" si="29"/>
        <v>0.98201950178001229</v>
      </c>
    </row>
    <row r="616" spans="1:5">
      <c r="A616">
        <f t="shared" si="27"/>
        <v>615</v>
      </c>
      <c r="B616" t="str" cm="1">
        <f t="array" ref="B616">INDEX('Enriched Data'!C:C,A616+1)</f>
        <v>Phenom People, Inc.</v>
      </c>
      <c r="C616" s="11" cm="1">
        <f t="array" ref="C616">INDEX('Enriched Data'!G:G,A616+1)</f>
        <v>62150</v>
      </c>
      <c r="D616" s="11">
        <f t="shared" si="28"/>
        <v>918801409.32999909</v>
      </c>
      <c r="E616" s="10">
        <f t="shared" si="29"/>
        <v>0.98208593250169518</v>
      </c>
    </row>
    <row r="617" spans="1:5">
      <c r="A617">
        <f t="shared" si="27"/>
        <v>616</v>
      </c>
      <c r="B617" t="str" cm="1">
        <f t="array" ref="B617">INDEX('Enriched Data'!C:C,A617+1)</f>
        <v>Denver Propane Exchange</v>
      </c>
      <c r="C617" s="11" cm="1">
        <f t="array" ref="C617">INDEX('Enriched Data'!G:G,A617+1)</f>
        <v>61936.69</v>
      </c>
      <c r="D617" s="11">
        <f t="shared" si="28"/>
        <v>918863346.01999915</v>
      </c>
      <c r="E617" s="10">
        <f t="shared" si="29"/>
        <v>0.98215213522116973</v>
      </c>
    </row>
    <row r="618" spans="1:5">
      <c r="A618">
        <f t="shared" si="27"/>
        <v>617</v>
      </c>
      <c r="B618" t="str" cm="1">
        <f t="array" ref="B618">INDEX('Enriched Data'!C:C,A618+1)</f>
        <v>DuraServ Corp dba Southern Dock Products</v>
      </c>
      <c r="C618" s="11" cm="1">
        <f t="array" ref="C618">INDEX('Enriched Data'!G:G,A618+1)</f>
        <v>61869.34</v>
      </c>
      <c r="D618" s="11">
        <f t="shared" si="28"/>
        <v>918925215.35999918</v>
      </c>
      <c r="E618" s="10">
        <f t="shared" si="29"/>
        <v>0.98221826595176098</v>
      </c>
    </row>
    <row r="619" spans="1:5">
      <c r="A619">
        <f t="shared" si="27"/>
        <v>618</v>
      </c>
      <c r="B619" t="str" cm="1">
        <f t="array" ref="B619">INDEX('Enriched Data'!C:C,A619+1)</f>
        <v>DISA Global Solutions, Inc</v>
      </c>
      <c r="C619" s="11" cm="1">
        <f t="array" ref="C619">INDEX('Enriched Data'!G:G,A619+1)</f>
        <v>60550</v>
      </c>
      <c r="D619" s="11">
        <f t="shared" si="28"/>
        <v>918985765.35999918</v>
      </c>
      <c r="E619" s="10">
        <f t="shared" si="29"/>
        <v>0.98228298646982848</v>
      </c>
    </row>
    <row r="620" spans="1:5">
      <c r="A620">
        <f t="shared" si="27"/>
        <v>619</v>
      </c>
      <c r="B620" t="str" cm="1">
        <f t="array" ref="B620">INDEX('Enriched Data'!C:C,A620+1)</f>
        <v>Protiviti Inc-knowledge Leader</v>
      </c>
      <c r="C620" s="11" cm="1">
        <f t="array" ref="C620">INDEX('Enriched Data'!G:G,A620+1)</f>
        <v>60000</v>
      </c>
      <c r="D620" s="11">
        <f t="shared" si="28"/>
        <v>919045765.35999918</v>
      </c>
      <c r="E620" s="10">
        <f t="shared" si="29"/>
        <v>0.98234711910540318</v>
      </c>
    </row>
    <row r="621" spans="1:5">
      <c r="A621">
        <f t="shared" si="27"/>
        <v>620</v>
      </c>
      <c r="B621" t="str" cm="1">
        <f t="array" ref="B621">INDEX('Enriched Data'!C:C,A621+1)</f>
        <v>EFL Properties LP</v>
      </c>
      <c r="C621" s="11" cm="1">
        <f t="array" ref="C621">INDEX('Enriched Data'!G:G,A621+1)</f>
        <v>59434.44</v>
      </c>
      <c r="D621" s="11">
        <f t="shared" si="28"/>
        <v>919105199.79999924</v>
      </c>
      <c r="E621" s="10">
        <f t="shared" si="29"/>
        <v>0.98241064722675497</v>
      </c>
    </row>
    <row r="622" spans="1:5">
      <c r="A622">
        <f t="shared" si="27"/>
        <v>621</v>
      </c>
      <c r="B622" t="str" cm="1">
        <f t="array" ref="B622">INDEX('Enriched Data'!C:C,A622+1)</f>
        <v>Suncoast Drivers LLC</v>
      </c>
      <c r="C622" s="11" cm="1">
        <f t="array" ref="C622">INDEX('Enriched Data'!G:G,A622+1)</f>
        <v>59281.279999999999</v>
      </c>
      <c r="D622" s="11">
        <f t="shared" si="28"/>
        <v>919164481.07999921</v>
      </c>
      <c r="E622" s="10">
        <f t="shared" si="29"/>
        <v>0.98247401163886572</v>
      </c>
    </row>
    <row r="623" spans="1:5">
      <c r="A623">
        <f t="shared" si="27"/>
        <v>622</v>
      </c>
      <c r="B623" t="str" cm="1">
        <f t="array" ref="B623">INDEX('Enriched Data'!C:C,A623+1)</f>
        <v>Monomoy UpReit, LLC</v>
      </c>
      <c r="C623" s="11" cm="1">
        <f t="array" ref="C623">INDEX('Enriched Data'!G:G,A623+1)</f>
        <v>59274.54</v>
      </c>
      <c r="D623" s="11">
        <f t="shared" si="28"/>
        <v>919223755.61999917</v>
      </c>
      <c r="E623" s="10">
        <f t="shared" si="29"/>
        <v>0.9825373688467437</v>
      </c>
    </row>
    <row r="624" spans="1:5">
      <c r="A624">
        <f t="shared" si="27"/>
        <v>623</v>
      </c>
      <c r="B624" t="str" cm="1">
        <f t="array" ref="B624">INDEX('Enriched Data'!C:C,A624+1)</f>
        <v>Anago Of Tampa</v>
      </c>
      <c r="C624" s="11" cm="1">
        <f t="array" ref="C624">INDEX('Enriched Data'!G:G,A624+1)</f>
        <v>58668.1</v>
      </c>
      <c r="D624" s="11">
        <f t="shared" si="28"/>
        <v>919282423.71999919</v>
      </c>
      <c r="E624" s="10">
        <f t="shared" si="29"/>
        <v>0.98260007784469638</v>
      </c>
    </row>
    <row r="625" spans="1:5">
      <c r="A625">
        <f t="shared" si="27"/>
        <v>624</v>
      </c>
      <c r="B625" t="str" cm="1">
        <f t="array" ref="B625">INDEX('Enriched Data'!C:C,A625+1)</f>
        <v>Fountain Fuller of SC LLC</v>
      </c>
      <c r="C625" s="11" cm="1">
        <f t="array" ref="C625">INDEX('Enriched Data'!G:G,A625+1)</f>
        <v>57766.99</v>
      </c>
      <c r="D625" s="11">
        <f t="shared" si="28"/>
        <v>919340190.7099992</v>
      </c>
      <c r="E625" s="10">
        <f t="shared" si="29"/>
        <v>0.98266182366666166</v>
      </c>
    </row>
    <row r="626" spans="1:5">
      <c r="A626">
        <f t="shared" si="27"/>
        <v>625</v>
      </c>
      <c r="B626" t="str" cm="1">
        <f t="array" ref="B626">INDEX('Enriched Data'!C:C,A626+1)</f>
        <v>Paul Hammer</v>
      </c>
      <c r="C626" s="11" cm="1">
        <f t="array" ref="C626">INDEX('Enriched Data'!G:G,A626+1)</f>
        <v>57625.84</v>
      </c>
      <c r="D626" s="11">
        <f t="shared" si="28"/>
        <v>919397816.54999924</v>
      </c>
      <c r="E626" s="10">
        <f t="shared" si="29"/>
        <v>0.98272341861660184</v>
      </c>
    </row>
    <row r="627" spans="1:5">
      <c r="A627">
        <f t="shared" si="27"/>
        <v>626</v>
      </c>
      <c r="B627" t="str" cm="1">
        <f t="array" ref="B627">INDEX('Enriched Data'!C:C,A627+1)</f>
        <v>Australian Portable Storage LLC</v>
      </c>
      <c r="C627" s="11" cm="1">
        <f t="array" ref="C627">INDEX('Enriched Data'!G:G,A627+1)</f>
        <v>57475</v>
      </c>
      <c r="D627" s="11">
        <f t="shared" si="28"/>
        <v>919455291.54999924</v>
      </c>
      <c r="E627" s="10">
        <f t="shared" si="29"/>
        <v>0.98278485233709612</v>
      </c>
    </row>
    <row r="628" spans="1:5">
      <c r="A628">
        <f t="shared" si="27"/>
        <v>627</v>
      </c>
      <c r="B628" t="str" cm="1">
        <f t="array" ref="B628">INDEX('Enriched Data'!C:C,A628+1)</f>
        <v>Lino Sienna</v>
      </c>
      <c r="C628" s="11" cm="1">
        <f t="array" ref="C628">INDEX('Enriched Data'!G:G,A628+1)</f>
        <v>57444.81</v>
      </c>
      <c r="D628" s="11">
        <f t="shared" si="28"/>
        <v>919512736.35999918</v>
      </c>
      <c r="E628" s="10">
        <f t="shared" si="29"/>
        <v>0.98284625378818591</v>
      </c>
    </row>
    <row r="629" spans="1:5">
      <c r="A629">
        <f t="shared" si="27"/>
        <v>628</v>
      </c>
      <c r="B629" t="str" cm="1">
        <f t="array" ref="B629">INDEX('Enriched Data'!C:C,A629+1)</f>
        <v>12th Leewick Holdings</v>
      </c>
      <c r="C629" s="11" cm="1">
        <f t="array" ref="C629">INDEX('Enriched Data'!G:G,A629+1)</f>
        <v>57000</v>
      </c>
      <c r="D629" s="11">
        <f t="shared" si="28"/>
        <v>919569736.35999918</v>
      </c>
      <c r="E629" s="10">
        <f t="shared" si="29"/>
        <v>0.98290717979198183</v>
      </c>
    </row>
    <row r="630" spans="1:5">
      <c r="A630">
        <f t="shared" si="27"/>
        <v>629</v>
      </c>
      <c r="B630" t="str" cm="1">
        <f t="array" ref="B630">INDEX('Enriched Data'!C:C,A630+1)</f>
        <v>CBIZ CMF</v>
      </c>
      <c r="C630" s="11" cm="1">
        <f t="array" ref="C630">INDEX('Enriched Data'!G:G,A630+1)</f>
        <v>56022</v>
      </c>
      <c r="D630" s="11">
        <f t="shared" si="28"/>
        <v>919625758.35999918</v>
      </c>
      <c r="E630" s="10">
        <f t="shared" si="29"/>
        <v>0.98296706043381799</v>
      </c>
    </row>
    <row r="631" spans="1:5">
      <c r="A631">
        <f t="shared" si="27"/>
        <v>630</v>
      </c>
      <c r="B631" t="str" cm="1">
        <f t="array" ref="B631">INDEX('Enriched Data'!C:C,A631+1)</f>
        <v>Welch Equipment CO</v>
      </c>
      <c r="C631" s="11" cm="1">
        <f t="array" ref="C631">INDEX('Enriched Data'!G:G,A631+1)</f>
        <v>55064.69</v>
      </c>
      <c r="D631" s="11">
        <f t="shared" si="28"/>
        <v>919680823.04999924</v>
      </c>
      <c r="E631" s="10">
        <f t="shared" si="29"/>
        <v>0.98302591782876481</v>
      </c>
    </row>
    <row r="632" spans="1:5">
      <c r="A632">
        <f t="shared" si="27"/>
        <v>631</v>
      </c>
      <c r="B632" t="str" cm="1">
        <f t="array" ref="B632">INDEX('Enriched Data'!C:C,A632+1)</f>
        <v>On Point Repairs LLC</v>
      </c>
      <c r="C632" s="11" cm="1">
        <f t="array" ref="C632">INDEX('Enriched Data'!G:G,A632+1)</f>
        <v>54728.12</v>
      </c>
      <c r="D632" s="11">
        <f t="shared" si="28"/>
        <v>919735551.16999924</v>
      </c>
      <c r="E632" s="10">
        <f t="shared" si="29"/>
        <v>0.98308441547169234</v>
      </c>
    </row>
    <row r="633" spans="1:5">
      <c r="A633">
        <f t="shared" si="27"/>
        <v>632</v>
      </c>
      <c r="B633" t="str" cm="1">
        <f t="array" ref="B633">INDEX('Enriched Data'!C:C,A633+1)</f>
        <v>Mustang Investments</v>
      </c>
      <c r="C633" s="11" cm="1">
        <f t="array" ref="C633">INDEX('Enriched Data'!G:G,A633+1)</f>
        <v>53901.120000000003</v>
      </c>
      <c r="D633" s="11">
        <f t="shared" si="28"/>
        <v>919789452.28999925</v>
      </c>
      <c r="E633" s="10">
        <f t="shared" si="29"/>
        <v>0.9831420291531261</v>
      </c>
    </row>
    <row r="634" spans="1:5">
      <c r="A634">
        <f t="shared" si="27"/>
        <v>633</v>
      </c>
      <c r="B634" t="str" cm="1">
        <f t="array" ref="B634">INDEX('Enriched Data'!C:C,A634+1)</f>
        <v>Cannonball Trucking, Inc.</v>
      </c>
      <c r="C634" s="11" cm="1">
        <f t="array" ref="C634">INDEX('Enriched Data'!G:G,A634+1)</f>
        <v>53797.55</v>
      </c>
      <c r="D634" s="11">
        <f t="shared" si="28"/>
        <v>919843249.8399992</v>
      </c>
      <c r="E634" s="10">
        <f t="shared" si="29"/>
        <v>0.98319953213094213</v>
      </c>
    </row>
    <row r="635" spans="1:5">
      <c r="A635">
        <f t="shared" si="27"/>
        <v>634</v>
      </c>
      <c r="B635" t="str" cm="1">
        <f t="array" ref="B635">INDEX('Enriched Data'!C:C,A635+1)</f>
        <v>Wiginton Fire Systems</v>
      </c>
      <c r="C635" s="11" cm="1">
        <f t="array" ref="C635">INDEX('Enriched Data'!G:G,A635+1)</f>
        <v>53549.65</v>
      </c>
      <c r="D635" s="11">
        <f t="shared" si="28"/>
        <v>919896799.48999918</v>
      </c>
      <c r="E635" s="10">
        <f t="shared" si="29"/>
        <v>0.98325677013408552</v>
      </c>
    </row>
    <row r="636" spans="1:5">
      <c r="A636">
        <f t="shared" si="27"/>
        <v>635</v>
      </c>
      <c r="B636" t="str" cm="1">
        <f t="array" ref="B636">INDEX('Enriched Data'!C:C,A636+1)</f>
        <v>Sunbelt Material Handling</v>
      </c>
      <c r="C636" s="11" cm="1">
        <f t="array" ref="C636">INDEX('Enriched Data'!G:G,A636+1)</f>
        <v>53465.35</v>
      </c>
      <c r="D636" s="11">
        <f t="shared" si="28"/>
        <v>919950264.8399992</v>
      </c>
      <c r="E636" s="10">
        <f t="shared" si="29"/>
        <v>0.98331391803087598</v>
      </c>
    </row>
    <row r="637" spans="1:5">
      <c r="A637">
        <f t="shared" si="27"/>
        <v>636</v>
      </c>
      <c r="B637" t="str" cm="1">
        <f t="array" ref="B637">INDEX('Enriched Data'!C:C,A637+1)</f>
        <v>New England Truck Solutions</v>
      </c>
      <c r="C637" s="11" cm="1">
        <f t="array" ref="C637">INDEX('Enriched Data'!G:G,A637+1)</f>
        <v>53446.1</v>
      </c>
      <c r="D637" s="11">
        <f t="shared" si="28"/>
        <v>920003710.93999922</v>
      </c>
      <c r="E637" s="10">
        <f t="shared" si="29"/>
        <v>0.98337104535177911</v>
      </c>
    </row>
    <row r="638" spans="1:5">
      <c r="A638">
        <f t="shared" si="27"/>
        <v>637</v>
      </c>
      <c r="B638" t="str" cm="1">
        <f t="array" ref="B638">INDEX('Enriched Data'!C:C,A638+1)</f>
        <v>Aires</v>
      </c>
      <c r="C638" s="11" cm="1">
        <f t="array" ref="C638">INDEX('Enriched Data'!G:G,A638+1)</f>
        <v>52857.82</v>
      </c>
      <c r="D638" s="11">
        <f t="shared" si="28"/>
        <v>920056568.75999928</v>
      </c>
      <c r="E638" s="10">
        <f t="shared" si="29"/>
        <v>0.98342754387356812</v>
      </c>
    </row>
    <row r="639" spans="1:5">
      <c r="A639">
        <f t="shared" si="27"/>
        <v>638</v>
      </c>
      <c r="B639" t="str" cm="1">
        <f t="array" ref="B639">INDEX('Enriched Data'!C:C,A639+1)</f>
        <v>Ohio Bureau Of Workers Compensation</v>
      </c>
      <c r="C639" s="11" cm="1">
        <f t="array" ref="C639">INDEX('Enriched Data'!G:G,A639+1)</f>
        <v>52846</v>
      </c>
      <c r="D639" s="11">
        <f t="shared" si="28"/>
        <v>920109414.75999928</v>
      </c>
      <c r="E639" s="10">
        <f t="shared" si="29"/>
        <v>0.98348402976122784</v>
      </c>
    </row>
    <row r="640" spans="1:5">
      <c r="A640">
        <f t="shared" si="27"/>
        <v>639</v>
      </c>
      <c r="B640" t="str" cm="1">
        <f t="array" ref="B640">INDEX('Enriched Data'!C:C,A640+1)</f>
        <v>Oliver Wyman</v>
      </c>
      <c r="C640" s="11" cm="1">
        <f t="array" ref="C640">INDEX('Enriched Data'!G:G,A640+1)</f>
        <v>52300</v>
      </c>
      <c r="D640" s="11">
        <f t="shared" si="28"/>
        <v>920161714.75999928</v>
      </c>
      <c r="E640" s="10">
        <f t="shared" si="29"/>
        <v>0.98353993204190371</v>
      </c>
    </row>
    <row r="641" spans="1:5">
      <c r="A641">
        <f t="shared" si="27"/>
        <v>640</v>
      </c>
      <c r="B641" t="str" cm="1">
        <f t="array" ref="B641">INDEX('Enriched Data'!C:C,A641+1)</f>
        <v>Keener Lumber Company, Inc</v>
      </c>
      <c r="C641" s="11" cm="1">
        <f t="array" ref="C641">INDEX('Enriched Data'!G:G,A641+1)</f>
        <v>52012.7</v>
      </c>
      <c r="D641" s="11">
        <f t="shared" si="28"/>
        <v>920213727.45999932</v>
      </c>
      <c r="E641" s="10">
        <f t="shared" si="29"/>
        <v>0.98359552723414312</v>
      </c>
    </row>
    <row r="642" spans="1:5">
      <c r="A642">
        <f t="shared" si="27"/>
        <v>641</v>
      </c>
      <c r="B642" t="str" cm="1">
        <f t="array" ref="B642">INDEX('Enriched Data'!C:C,A642+1)</f>
        <v>Carlton Fields Atty At Law</v>
      </c>
      <c r="C642" s="11" cm="1">
        <f t="array" ref="C642">INDEX('Enriched Data'!G:G,A642+1)</f>
        <v>51893.29</v>
      </c>
      <c r="D642" s="11">
        <f t="shared" si="28"/>
        <v>920265620.74999928</v>
      </c>
      <c r="E642" s="10">
        <f t="shared" si="29"/>
        <v>0.98365099479174878</v>
      </c>
    </row>
    <row r="643" spans="1:5">
      <c r="A643">
        <f t="shared" si="27"/>
        <v>642</v>
      </c>
      <c r="B643" t="str" cm="1">
        <f t="array" ref="B643">INDEX('Enriched Data'!C:C,A643+1)</f>
        <v>GEM Group Inc</v>
      </c>
      <c r="C643" s="11" cm="1">
        <f t="array" ref="C643">INDEX('Enriched Data'!G:G,A643+1)</f>
        <v>51851.4</v>
      </c>
      <c r="D643" s="11">
        <f t="shared" si="28"/>
        <v>920317472.14999926</v>
      </c>
      <c r="E643" s="10">
        <f t="shared" si="29"/>
        <v>0.98370641757408606</v>
      </c>
    </row>
    <row r="644" spans="1:5">
      <c r="A644">
        <f t="shared" ref="A644:A707" si="30">A643+1</f>
        <v>643</v>
      </c>
      <c r="B644" t="str" cm="1">
        <f t="array" ref="B644">INDEX('Enriched Data'!C:C,A644+1)</f>
        <v>Mercer Health &amp; Benefits</v>
      </c>
      <c r="C644" s="11" cm="1">
        <f t="array" ref="C644">INDEX('Enriched Data'!G:G,A644+1)</f>
        <v>51527</v>
      </c>
      <c r="D644" s="11">
        <f t="shared" ref="D644:D707" si="31">D643+C644</f>
        <v>920368999.14999926</v>
      </c>
      <c r="E644" s="10">
        <f t="shared" ref="E644:E707" si="32">D644/$F$2</f>
        <v>0.98376149361264043</v>
      </c>
    </row>
    <row r="645" spans="1:5">
      <c r="A645">
        <f t="shared" si="30"/>
        <v>644</v>
      </c>
      <c r="B645" t="str" cm="1">
        <f t="array" ref="B645">INDEX('Enriched Data'!C:C,A645+1)</f>
        <v>Shippers Preferred Express, Inc</v>
      </c>
      <c r="C645" s="11" cm="1">
        <f t="array" ref="C645">INDEX('Enriched Data'!G:G,A645+1)</f>
        <v>50707</v>
      </c>
      <c r="D645" s="11">
        <f t="shared" si="31"/>
        <v>920419706.14999926</v>
      </c>
      <c r="E645" s="10">
        <f t="shared" si="32"/>
        <v>0.98381569317184181</v>
      </c>
    </row>
    <row r="646" spans="1:5">
      <c r="A646">
        <f t="shared" si="30"/>
        <v>645</v>
      </c>
      <c r="B646" t="str" cm="1">
        <f t="array" ref="B646">INDEX('Enriched Data'!C:C,A646+1)</f>
        <v>GDN Infotech Inc</v>
      </c>
      <c r="C646" s="11" cm="1">
        <f t="array" ref="C646">INDEX('Enriched Data'!G:G,A646+1)</f>
        <v>50260</v>
      </c>
      <c r="D646" s="11">
        <f t="shared" si="31"/>
        <v>920469966.14999926</v>
      </c>
      <c r="E646" s="10">
        <f t="shared" si="32"/>
        <v>0.98386941494290825</v>
      </c>
    </row>
    <row r="647" spans="1:5">
      <c r="A647">
        <f t="shared" si="30"/>
        <v>646</v>
      </c>
      <c r="B647" t="str" cm="1">
        <f t="array" ref="B647">INDEX('Enriched Data'!C:C,A647+1)</f>
        <v>Shahram Farhoudi</v>
      </c>
      <c r="C647" s="11" cm="1">
        <f t="array" ref="C647">INDEX('Enriched Data'!G:G,A647+1)</f>
        <v>50250</v>
      </c>
      <c r="D647" s="11">
        <f t="shared" si="31"/>
        <v>920520216.14999926</v>
      </c>
      <c r="E647" s="10">
        <f t="shared" si="32"/>
        <v>0.98392312602520204</v>
      </c>
    </row>
    <row r="648" spans="1:5">
      <c r="A648">
        <f t="shared" si="30"/>
        <v>647</v>
      </c>
      <c r="B648" t="str" cm="1">
        <f t="array" ref="B648">INDEX('Enriched Data'!C:C,A648+1)</f>
        <v>Gordon Rees Scully Mansukhani LLP</v>
      </c>
      <c r="C648" s="11" cm="1">
        <f t="array" ref="C648">INDEX('Enriched Data'!G:G,A648+1)</f>
        <v>50000</v>
      </c>
      <c r="D648" s="11">
        <f t="shared" si="31"/>
        <v>920570216.14999926</v>
      </c>
      <c r="E648" s="10">
        <f t="shared" si="32"/>
        <v>0.98397656988818105</v>
      </c>
    </row>
    <row r="649" spans="1:5">
      <c r="A649">
        <f t="shared" si="30"/>
        <v>648</v>
      </c>
      <c r="B649" t="str" cm="1">
        <f t="array" ref="B649">INDEX('Enriched Data'!C:C,A649+1)</f>
        <v>AddShoppers, Inc.</v>
      </c>
      <c r="C649" s="11" cm="1">
        <f t="array" ref="C649">INDEX('Enriched Data'!G:G,A649+1)</f>
        <v>50000</v>
      </c>
      <c r="D649" s="11">
        <f t="shared" si="31"/>
        <v>920620216.14999926</v>
      </c>
      <c r="E649" s="10">
        <f t="shared" si="32"/>
        <v>0.98403001375115995</v>
      </c>
    </row>
    <row r="650" spans="1:5">
      <c r="A650">
        <f t="shared" si="30"/>
        <v>649</v>
      </c>
      <c r="B650" t="str" cm="1">
        <f t="array" ref="B650">INDEX('Enriched Data'!C:C,A650+1)</f>
        <v>Elrod Pope Law Firm PA Attorneys Law</v>
      </c>
      <c r="C650" s="11" cm="1">
        <f t="array" ref="C650">INDEX('Enriched Data'!G:G,A650+1)</f>
        <v>50000</v>
      </c>
      <c r="D650" s="11">
        <f t="shared" si="31"/>
        <v>920670216.14999926</v>
      </c>
      <c r="E650" s="10">
        <f t="shared" si="32"/>
        <v>0.98408345761413885</v>
      </c>
    </row>
    <row r="651" spans="1:5">
      <c r="A651">
        <f t="shared" si="30"/>
        <v>650</v>
      </c>
      <c r="B651" t="str" cm="1">
        <f t="array" ref="B651">INDEX('Enriched Data'!C:C,A651+1)</f>
        <v>AAA Northeast</v>
      </c>
      <c r="C651" s="11" cm="1">
        <f t="array" ref="C651">INDEX('Enriched Data'!G:G,A651+1)</f>
        <v>50000</v>
      </c>
      <c r="D651" s="11">
        <f t="shared" si="31"/>
        <v>920720216.14999926</v>
      </c>
      <c r="E651" s="10">
        <f t="shared" si="32"/>
        <v>0.98413690147711785</v>
      </c>
    </row>
    <row r="652" spans="1:5">
      <c r="A652">
        <f t="shared" si="30"/>
        <v>651</v>
      </c>
      <c r="B652" t="str" cm="1">
        <f t="array" ref="B652">INDEX('Enriched Data'!C:C,A652+1)</f>
        <v>Docusign, Inc.</v>
      </c>
      <c r="C652" s="11" cm="1">
        <f t="array" ref="C652">INDEX('Enriched Data'!G:G,A652+1)</f>
        <v>49999.13</v>
      </c>
      <c r="D652" s="11">
        <f t="shared" si="31"/>
        <v>920770215.27999926</v>
      </c>
      <c r="E652" s="10">
        <f t="shared" si="32"/>
        <v>0.9841903444101735</v>
      </c>
    </row>
    <row r="653" spans="1:5">
      <c r="A653">
        <f t="shared" si="30"/>
        <v>652</v>
      </c>
      <c r="B653" t="str" cm="1">
        <f t="array" ref="B653">INDEX('Enriched Data'!C:C,A653+1)</f>
        <v>Julia Montalvo Services</v>
      </c>
      <c r="C653" s="11" cm="1">
        <f t="array" ref="C653">INDEX('Enriched Data'!G:G,A653+1)</f>
        <v>49928.21</v>
      </c>
      <c r="D653" s="11">
        <f t="shared" si="31"/>
        <v>920820143.48999929</v>
      </c>
      <c r="E653" s="10">
        <f t="shared" si="32"/>
        <v>0.98424371153845402</v>
      </c>
    </row>
    <row r="654" spans="1:5">
      <c r="A654">
        <f t="shared" si="30"/>
        <v>653</v>
      </c>
      <c r="B654" t="str" cm="1">
        <f t="array" ref="B654">INDEX('Enriched Data'!C:C,A654+1)</f>
        <v>Caine &amp; Weiner</v>
      </c>
      <c r="C654" s="11" cm="1">
        <f t="array" ref="C654">INDEX('Enriched Data'!G:G,A654+1)</f>
        <v>49842.07</v>
      </c>
      <c r="D654" s="11">
        <f t="shared" si="31"/>
        <v>920869985.55999935</v>
      </c>
      <c r="E654" s="10">
        <f t="shared" si="32"/>
        <v>0.98429698659364739</v>
      </c>
    </row>
    <row r="655" spans="1:5">
      <c r="A655">
        <f t="shared" si="30"/>
        <v>654</v>
      </c>
      <c r="B655" t="str" cm="1">
        <f t="array" ref="B655">INDEX('Enriched Data'!C:C,A655+1)</f>
        <v>Empire Landscaping &amp; Snow Plowing</v>
      </c>
      <c r="C655" s="11" cm="1">
        <f t="array" ref="C655">INDEX('Enriched Data'!G:G,A655+1)</f>
        <v>49693.64</v>
      </c>
      <c r="D655" s="11">
        <f t="shared" si="31"/>
        <v>920919679.19999933</v>
      </c>
      <c r="E655" s="10">
        <f t="shared" si="32"/>
        <v>0.98435010299538916</v>
      </c>
    </row>
    <row r="656" spans="1:5">
      <c r="A656">
        <f t="shared" si="30"/>
        <v>655</v>
      </c>
      <c r="B656" t="str" cm="1">
        <f t="array" ref="B656">INDEX('Enriched Data'!C:C,A656+1)</f>
        <v>Concordia Resolve Consulting LLC</v>
      </c>
      <c r="C656" s="11" cm="1">
        <f t="array" ref="C656">INDEX('Enriched Data'!G:G,A656+1)</f>
        <v>49365.84</v>
      </c>
      <c r="D656" s="11">
        <f t="shared" si="31"/>
        <v>920969045.03999937</v>
      </c>
      <c r="E656" s="10">
        <f t="shared" si="32"/>
        <v>0.98440286901916518</v>
      </c>
    </row>
    <row r="657" spans="1:5">
      <c r="A657">
        <f t="shared" si="30"/>
        <v>656</v>
      </c>
      <c r="B657" t="str" cm="1">
        <f t="array" ref="B657">INDEX('Enriched Data'!C:C,A657+1)</f>
        <v>Level Wing Media</v>
      </c>
      <c r="C657" s="11" cm="1">
        <f t="array" ref="C657">INDEX('Enriched Data'!G:G,A657+1)</f>
        <v>49350</v>
      </c>
      <c r="D657" s="11">
        <f t="shared" si="31"/>
        <v>921018395.03999937</v>
      </c>
      <c r="E657" s="10">
        <f t="shared" si="32"/>
        <v>0.98445561811192539</v>
      </c>
    </row>
    <row r="658" spans="1:5">
      <c r="A658">
        <f t="shared" si="30"/>
        <v>657</v>
      </c>
      <c r="B658" t="str" cm="1">
        <f t="array" ref="B658">INDEX('Enriched Data'!C:C,A658+1)</f>
        <v>Leavitt Machinery USA, Inc.</v>
      </c>
      <c r="C658" s="11" cm="1">
        <f t="array" ref="C658">INDEX('Enriched Data'!G:G,A658+1)</f>
        <v>48896.14</v>
      </c>
      <c r="D658" s="11">
        <f t="shared" si="31"/>
        <v>921067291.17999935</v>
      </c>
      <c r="E658" s="10">
        <f t="shared" si="32"/>
        <v>0.98450788208405249</v>
      </c>
    </row>
    <row r="659" spans="1:5">
      <c r="A659">
        <f t="shared" si="30"/>
        <v>658</v>
      </c>
      <c r="B659" t="str" cm="1">
        <f t="array" ref="B659">INDEX('Enriched Data'!C:C,A659+1)</f>
        <v>Tri Lakes Portable Storage, LLC</v>
      </c>
      <c r="C659" s="11" cm="1">
        <f t="array" ref="C659">INDEX('Enriched Data'!G:G,A659+1)</f>
        <v>48750</v>
      </c>
      <c r="D659" s="11">
        <f t="shared" si="31"/>
        <v>921116041.17999935</v>
      </c>
      <c r="E659" s="10">
        <f t="shared" si="32"/>
        <v>0.98455998985045701</v>
      </c>
    </row>
    <row r="660" spans="1:5">
      <c r="A660">
        <f t="shared" si="30"/>
        <v>659</v>
      </c>
      <c r="B660" t="str" cm="1">
        <f t="array" ref="B660">INDEX('Enriched Data'!C:C,A660+1)</f>
        <v>New England Waste Systems, LLC.</v>
      </c>
      <c r="C660" s="11" cm="1">
        <f t="array" ref="C660">INDEX('Enriched Data'!G:G,A660+1)</f>
        <v>48750</v>
      </c>
      <c r="D660" s="11">
        <f t="shared" si="31"/>
        <v>921164791.17999935</v>
      </c>
      <c r="E660" s="10">
        <f t="shared" si="32"/>
        <v>0.98461209761686141</v>
      </c>
    </row>
    <row r="661" spans="1:5">
      <c r="A661">
        <f t="shared" si="30"/>
        <v>660</v>
      </c>
      <c r="B661" t="str" cm="1">
        <f t="array" ref="B661">INDEX('Enriched Data'!C:C,A661+1)</f>
        <v>BenefitHub</v>
      </c>
      <c r="C661" s="11" cm="1">
        <f t="array" ref="C661">INDEX('Enriched Data'!G:G,A661+1)</f>
        <v>48234.52</v>
      </c>
      <c r="D661" s="11">
        <f t="shared" si="31"/>
        <v>921213025.69999933</v>
      </c>
      <c r="E661" s="10">
        <f t="shared" si="32"/>
        <v>0.98466365439841608</v>
      </c>
    </row>
    <row r="662" spans="1:5">
      <c r="A662">
        <f t="shared" si="30"/>
        <v>661</v>
      </c>
      <c r="B662" t="str" cm="1">
        <f t="array" ref="B662">INDEX('Enriched Data'!C:C,A662+1)</f>
        <v>SAMACO Supply</v>
      </c>
      <c r="C662" s="11" cm="1">
        <f t="array" ref="C662">INDEX('Enriched Data'!G:G,A662+1)</f>
        <v>48219.360000000001</v>
      </c>
      <c r="D662" s="11">
        <f t="shared" si="31"/>
        <v>921261245.05999935</v>
      </c>
      <c r="E662" s="10">
        <f t="shared" si="32"/>
        <v>0.98471519497579152</v>
      </c>
    </row>
    <row r="663" spans="1:5">
      <c r="A663">
        <f t="shared" si="30"/>
        <v>662</v>
      </c>
      <c r="B663" t="str" cm="1">
        <f t="array" ref="B663">INDEX('Enriched Data'!C:C,A663+1)</f>
        <v>Jack White FLLC</v>
      </c>
      <c r="C663" s="11" cm="1">
        <f t="array" ref="C663">INDEX('Enriched Data'!G:G,A663+1)</f>
        <v>48000</v>
      </c>
      <c r="D663" s="11">
        <f t="shared" si="31"/>
        <v>921309245.05999935</v>
      </c>
      <c r="E663" s="10">
        <f t="shared" si="32"/>
        <v>0.98476650108425134</v>
      </c>
    </row>
    <row r="664" spans="1:5">
      <c r="A664">
        <f t="shared" si="30"/>
        <v>663</v>
      </c>
      <c r="B664" t="str" cm="1">
        <f t="array" ref="B664">INDEX('Enriched Data'!C:C,A664+1)</f>
        <v>MJB 500, LLC</v>
      </c>
      <c r="C664" s="11" cm="1">
        <f t="array" ref="C664">INDEX('Enriched Data'!G:G,A664+1)</f>
        <v>48000</v>
      </c>
      <c r="D664" s="11">
        <f t="shared" si="31"/>
        <v>921357245.05999935</v>
      </c>
      <c r="E664" s="10">
        <f t="shared" si="32"/>
        <v>0.98481780719271117</v>
      </c>
    </row>
    <row r="665" spans="1:5">
      <c r="A665">
        <f t="shared" si="30"/>
        <v>664</v>
      </c>
      <c r="B665" t="str" cm="1">
        <f t="array" ref="B665">INDEX('Enriched Data'!C:C,A665+1)</f>
        <v>John Hancock Variable Life Ins</v>
      </c>
      <c r="C665" s="11" cm="1">
        <f t="array" ref="C665">INDEX('Enriched Data'!G:G,A665+1)</f>
        <v>47511.42</v>
      </c>
      <c r="D665" s="11">
        <f t="shared" si="31"/>
        <v>921404756.4799993</v>
      </c>
      <c r="E665" s="10">
        <f t="shared" si="32"/>
        <v>0.98486859106911939</v>
      </c>
    </row>
    <row r="666" spans="1:5">
      <c r="A666">
        <f t="shared" si="30"/>
        <v>665</v>
      </c>
      <c r="B666" t="str" cm="1">
        <f t="array" ref="B666">INDEX('Enriched Data'!C:C,A666+1)</f>
        <v>Nationwide-RE, Inc.</v>
      </c>
      <c r="C666" s="11" cm="1">
        <f t="array" ref="C666">INDEX('Enriched Data'!G:G,A666+1)</f>
        <v>47448.959999999999</v>
      </c>
      <c r="D666" s="11">
        <f t="shared" si="31"/>
        <v>921452205.43999934</v>
      </c>
      <c r="E666" s="10">
        <f t="shared" si="32"/>
        <v>0.98491930818345408</v>
      </c>
    </row>
    <row r="667" spans="1:5">
      <c r="A667">
        <f t="shared" si="30"/>
        <v>666</v>
      </c>
      <c r="B667" t="str" cm="1">
        <f t="array" ref="B667">INDEX('Enriched Data'!C:C,A667+1)</f>
        <v>Sprinklr, Inc.</v>
      </c>
      <c r="C667" s="11" cm="1">
        <f t="array" ref="C667">INDEX('Enriched Data'!G:G,A667+1)</f>
        <v>47122.8</v>
      </c>
      <c r="D667" s="11">
        <f t="shared" si="31"/>
        <v>921499328.23999929</v>
      </c>
      <c r="E667" s="10">
        <f t="shared" si="32"/>
        <v>0.98496967667278168</v>
      </c>
    </row>
    <row r="668" spans="1:5">
      <c r="A668">
        <f t="shared" si="30"/>
        <v>667</v>
      </c>
      <c r="B668" t="str" cm="1">
        <f t="array" ref="B668">INDEX('Enriched Data'!C:C,A668+1)</f>
        <v>Red Maple Press, Inc</v>
      </c>
      <c r="C668" s="11" cm="1">
        <f t="array" ref="C668">INDEX('Enriched Data'!G:G,A668+1)</f>
        <v>46992</v>
      </c>
      <c r="D668" s="11">
        <f t="shared" si="31"/>
        <v>921546320.23999929</v>
      </c>
      <c r="E668" s="10">
        <f t="shared" si="32"/>
        <v>0.9850199053529638</v>
      </c>
    </row>
    <row r="669" spans="1:5">
      <c r="A669">
        <f t="shared" si="30"/>
        <v>668</v>
      </c>
      <c r="B669" t="str" cm="1">
        <f t="array" ref="B669">INDEX('Enriched Data'!C:C,A669+1)</f>
        <v>Leavitt Machinery</v>
      </c>
      <c r="C669" s="11" cm="1">
        <f t="array" ref="C669">INDEX('Enriched Data'!G:G,A669+1)</f>
        <v>46518.74</v>
      </c>
      <c r="D669" s="11">
        <f t="shared" si="31"/>
        <v>921592838.9799993</v>
      </c>
      <c r="E669" s="10">
        <f t="shared" si="32"/>
        <v>0.98506962817629407</v>
      </c>
    </row>
    <row r="670" spans="1:5">
      <c r="A670">
        <f t="shared" si="30"/>
        <v>669</v>
      </c>
      <c r="B670" t="str" cm="1">
        <f t="array" ref="B670">INDEX('Enriched Data'!C:C,A670+1)</f>
        <v>Lee E Wells</v>
      </c>
      <c r="C670" s="11" cm="1">
        <f t="array" ref="C670">INDEX('Enriched Data'!G:G,A670+1)</f>
        <v>45500</v>
      </c>
      <c r="D670" s="11">
        <f t="shared" si="31"/>
        <v>921638338.9799993</v>
      </c>
      <c r="E670" s="10">
        <f t="shared" si="32"/>
        <v>0.98511826209160491</v>
      </c>
    </row>
    <row r="671" spans="1:5">
      <c r="A671">
        <f t="shared" si="30"/>
        <v>670</v>
      </c>
      <c r="B671" t="str" cm="1">
        <f t="array" ref="B671">INDEX('Enriched Data'!C:C,A671+1)</f>
        <v>Facility Operation Services, LLC</v>
      </c>
      <c r="C671" s="11" cm="1">
        <f t="array" ref="C671">INDEX('Enriched Data'!G:G,A671+1)</f>
        <v>45242.96</v>
      </c>
      <c r="D671" s="11">
        <f t="shared" si="31"/>
        <v>921683581.93999934</v>
      </c>
      <c r="E671" s="10">
        <f t="shared" si="32"/>
        <v>0.98516662126270493</v>
      </c>
    </row>
    <row r="672" spans="1:5">
      <c r="A672">
        <f t="shared" si="30"/>
        <v>671</v>
      </c>
      <c r="B672" t="str" cm="1">
        <f t="array" ref="B672">INDEX('Enriched Data'!C:C,A672+1)</f>
        <v>JMI Staffing Solutions</v>
      </c>
      <c r="C672" s="11" cm="1">
        <f t="array" ref="C672">INDEX('Enriched Data'!G:G,A672+1)</f>
        <v>44987.25</v>
      </c>
      <c r="D672" s="11">
        <f t="shared" si="31"/>
        <v>921728569.18999934</v>
      </c>
      <c r="E672" s="10">
        <f t="shared" si="32"/>
        <v>0.98521470711120096</v>
      </c>
    </row>
    <row r="673" spans="1:5">
      <c r="A673">
        <f t="shared" si="30"/>
        <v>672</v>
      </c>
      <c r="B673" t="str" cm="1">
        <f t="array" ref="B673">INDEX('Enriched Data'!C:C,A673+1)</f>
        <v>King &amp; Spalding</v>
      </c>
      <c r="C673" s="11" cm="1">
        <f t="array" ref="C673">INDEX('Enriched Data'!G:G,A673+1)</f>
        <v>44958.45</v>
      </c>
      <c r="D673" s="11">
        <f t="shared" si="31"/>
        <v>921773527.63999939</v>
      </c>
      <c r="E673" s="10">
        <f t="shared" si="32"/>
        <v>0.98526276217603193</v>
      </c>
    </row>
    <row r="674" spans="1:5">
      <c r="A674">
        <f t="shared" si="30"/>
        <v>673</v>
      </c>
      <c r="B674" t="str" cm="1">
        <f t="array" ref="B674">INDEX('Enriched Data'!C:C,A674+1)</f>
        <v>Pac West Equities, LP</v>
      </c>
      <c r="C674" s="11" cm="1">
        <f t="array" ref="C674">INDEX('Enriched Data'!G:G,A674+1)</f>
        <v>44750.8</v>
      </c>
      <c r="D674" s="11">
        <f t="shared" si="31"/>
        <v>921818278.43999934</v>
      </c>
      <c r="E674" s="10">
        <f t="shared" si="32"/>
        <v>0.98531059528849985</v>
      </c>
    </row>
    <row r="675" spans="1:5">
      <c r="A675">
        <f t="shared" si="30"/>
        <v>674</v>
      </c>
      <c r="B675" t="str" cm="1">
        <f t="array" ref="B675">INDEX('Enriched Data'!C:C,A675+1)</f>
        <v>Cornerstone Systems, Inc.</v>
      </c>
      <c r="C675" s="11" cm="1">
        <f t="array" ref="C675">INDEX('Enriched Data'!G:G,A675+1)</f>
        <v>44748</v>
      </c>
      <c r="D675" s="11">
        <f t="shared" si="31"/>
        <v>921863026.43999934</v>
      </c>
      <c r="E675" s="10">
        <f t="shared" si="32"/>
        <v>0.98535842540811147</v>
      </c>
    </row>
    <row r="676" spans="1:5">
      <c r="A676">
        <f t="shared" si="30"/>
        <v>675</v>
      </c>
      <c r="B676" t="str" cm="1">
        <f t="array" ref="B676">INDEX('Enriched Data'!C:C,A676+1)</f>
        <v>FORJAK Industrial Holdings, Inc</v>
      </c>
      <c r="C676" s="11" cm="1">
        <f t="array" ref="C676">INDEX('Enriched Data'!G:G,A676+1)</f>
        <v>44591</v>
      </c>
      <c r="D676" s="11">
        <f t="shared" si="31"/>
        <v>921907617.43999934</v>
      </c>
      <c r="E676" s="10">
        <f t="shared" si="32"/>
        <v>0.9854060877139933</v>
      </c>
    </row>
    <row r="677" spans="1:5">
      <c r="A677">
        <f t="shared" si="30"/>
        <v>676</v>
      </c>
      <c r="B677" t="str" cm="1">
        <f t="array" ref="B677">INDEX('Enriched Data'!C:C,A677+1)</f>
        <v>GMG Certify Tax, LLC</v>
      </c>
      <c r="C677" s="11" cm="1">
        <f t="array" ref="C677">INDEX('Enriched Data'!G:G,A677+1)</f>
        <v>44379</v>
      </c>
      <c r="D677" s="11">
        <f t="shared" si="31"/>
        <v>921951996.43999934</v>
      </c>
      <c r="E677" s="10">
        <f t="shared" si="32"/>
        <v>0.98545352341789616</v>
      </c>
    </row>
    <row r="678" spans="1:5">
      <c r="A678">
        <f t="shared" si="30"/>
        <v>677</v>
      </c>
      <c r="B678" t="str" cm="1">
        <f t="array" ref="B678">INDEX('Enriched Data'!C:C,A678+1)</f>
        <v>Southwest International Trucks</v>
      </c>
      <c r="C678" s="11" cm="1">
        <f t="array" ref="C678">INDEX('Enriched Data'!G:G,A678+1)</f>
        <v>44320.49</v>
      </c>
      <c r="D678" s="11">
        <f t="shared" si="31"/>
        <v>921996316.92999935</v>
      </c>
      <c r="E678" s="10">
        <f t="shared" si="32"/>
        <v>0.98550089658179052</v>
      </c>
    </row>
    <row r="679" spans="1:5">
      <c r="A679">
        <f t="shared" si="30"/>
        <v>678</v>
      </c>
      <c r="B679" t="str" cm="1">
        <f t="array" ref="B679">INDEX('Enriched Data'!C:C,A679+1)</f>
        <v>Phillip Patterson</v>
      </c>
      <c r="C679" s="11" cm="1">
        <f t="array" ref="C679">INDEX('Enriched Data'!G:G,A679+1)</f>
        <v>44200</v>
      </c>
      <c r="D679" s="11">
        <f t="shared" si="31"/>
        <v>922040516.92999935</v>
      </c>
      <c r="E679" s="10">
        <f t="shared" si="32"/>
        <v>0.98554814095666399</v>
      </c>
    </row>
    <row r="680" spans="1:5">
      <c r="A680">
        <f t="shared" si="30"/>
        <v>679</v>
      </c>
      <c r="B680" t="str" cm="1">
        <f t="array" ref="B680">INDEX('Enriched Data'!C:C,A680+1)</f>
        <v>Amazon.com.ca dba Amazon Business</v>
      </c>
      <c r="C680" s="11" cm="1">
        <f t="array" ref="C680">INDEX('Enriched Data'!G:G,A680+1)</f>
        <v>43250.75</v>
      </c>
      <c r="D680" s="11">
        <f t="shared" si="31"/>
        <v>922083767.67999935</v>
      </c>
      <c r="E680" s="10">
        <f t="shared" si="32"/>
        <v>0.98559437069979872</v>
      </c>
    </row>
    <row r="681" spans="1:5">
      <c r="A681">
        <f t="shared" si="30"/>
        <v>680</v>
      </c>
      <c r="B681" t="str" cm="1">
        <f t="array" ref="B681">INDEX('Enriched Data'!C:C,A681+1)</f>
        <v>LS Realty 737 LLC</v>
      </c>
      <c r="C681" s="11" cm="1">
        <f t="array" ref="C681">INDEX('Enriched Data'!G:G,A681+1)</f>
        <v>43198</v>
      </c>
      <c r="D681" s="11">
        <f t="shared" si="31"/>
        <v>922126965.67999935</v>
      </c>
      <c r="E681" s="10">
        <f t="shared" si="32"/>
        <v>0.98564054405965795</v>
      </c>
    </row>
    <row r="682" spans="1:5">
      <c r="A682">
        <f t="shared" si="30"/>
        <v>681</v>
      </c>
      <c r="B682" t="str" cm="1">
        <f t="array" ref="B682">INDEX('Enriched Data'!C:C,A682+1)</f>
        <v>Airgas USA, LLC</v>
      </c>
      <c r="C682" s="11" cm="1">
        <f t="array" ref="C682">INDEX('Enriched Data'!G:G,A682+1)</f>
        <v>43176.75</v>
      </c>
      <c r="D682" s="11">
        <f t="shared" si="31"/>
        <v>922170142.42999935</v>
      </c>
      <c r="E682" s="10">
        <f t="shared" si="32"/>
        <v>0.98568669470587544</v>
      </c>
    </row>
    <row r="683" spans="1:5">
      <c r="A683">
        <f t="shared" si="30"/>
        <v>682</v>
      </c>
      <c r="B683" t="str" cm="1">
        <f t="array" ref="B683">INDEX('Enriched Data'!C:C,A683+1)</f>
        <v>TEC Equipment Inc.</v>
      </c>
      <c r="C683" s="11" cm="1">
        <f t="array" ref="C683">INDEX('Enriched Data'!G:G,A683+1)</f>
        <v>43055.72</v>
      </c>
      <c r="D683" s="11">
        <f t="shared" si="31"/>
        <v>922213198.14999938</v>
      </c>
      <c r="E683" s="10">
        <f t="shared" si="32"/>
        <v>0.9857327159858783</v>
      </c>
    </row>
    <row r="684" spans="1:5">
      <c r="A684">
        <f t="shared" si="30"/>
        <v>683</v>
      </c>
      <c r="B684" t="str" cm="1">
        <f t="array" ref="B684">INDEX('Enriched Data'!C:C,A684+1)</f>
        <v>PricewaterhouseCoopers LLP</v>
      </c>
      <c r="C684" s="11" cm="1">
        <f t="array" ref="C684">INDEX('Enriched Data'!G:G,A684+1)</f>
        <v>43000</v>
      </c>
      <c r="D684" s="11">
        <f t="shared" si="31"/>
        <v>922256198.14999938</v>
      </c>
      <c r="E684" s="10">
        <f t="shared" si="32"/>
        <v>0.98577867770804017</v>
      </c>
    </row>
    <row r="685" spans="1:5">
      <c r="A685">
        <f t="shared" si="30"/>
        <v>684</v>
      </c>
      <c r="B685" t="str" cm="1">
        <f t="array" ref="B685">INDEX('Enriched Data'!C:C,A685+1)</f>
        <v>APEX Systems Inc.</v>
      </c>
      <c r="C685" s="11" cm="1">
        <f t="array" ref="C685">INDEX('Enriched Data'!G:G,A685+1)</f>
        <v>42955</v>
      </c>
      <c r="D685" s="11">
        <f t="shared" si="31"/>
        <v>922299153.14999938</v>
      </c>
      <c r="E685" s="10">
        <f t="shared" si="32"/>
        <v>0.98582459133072542</v>
      </c>
    </row>
    <row r="686" spans="1:5">
      <c r="A686">
        <f t="shared" si="30"/>
        <v>685</v>
      </c>
      <c r="B686" t="str" cm="1">
        <f t="array" ref="B686">INDEX('Enriched Data'!C:C,A686+1)</f>
        <v>AIG Enterprises, LLC</v>
      </c>
      <c r="C686" s="11" cm="1">
        <f t="array" ref="C686">INDEX('Enriched Data'!G:G,A686+1)</f>
        <v>42797</v>
      </c>
      <c r="D686" s="11">
        <f t="shared" si="31"/>
        <v>922341950.14999938</v>
      </c>
      <c r="E686" s="10">
        <f t="shared" si="32"/>
        <v>0.98587033607080354</v>
      </c>
    </row>
    <row r="687" spans="1:5">
      <c r="A687">
        <f t="shared" si="30"/>
        <v>686</v>
      </c>
      <c r="B687" t="str" cm="1">
        <f t="array" ref="B687">INDEX('Enriched Data'!C:C,A687+1)</f>
        <v>Burwell Material Handling LLC</v>
      </c>
      <c r="C687" s="11" cm="1">
        <f t="array" ref="C687">INDEX('Enriched Data'!G:G,A687+1)</f>
        <v>42731.83</v>
      </c>
      <c r="D687" s="11">
        <f t="shared" si="31"/>
        <v>922384681.97999942</v>
      </c>
      <c r="E687" s="10">
        <f t="shared" si="32"/>
        <v>0.98591601115215077</v>
      </c>
    </row>
    <row r="688" spans="1:5">
      <c r="A688">
        <f t="shared" si="30"/>
        <v>687</v>
      </c>
      <c r="B688" t="str" cm="1">
        <f t="array" ref="B688">INDEX('Enriched Data'!C:C,A688+1)</f>
        <v>Berry Drive LLC</v>
      </c>
      <c r="C688" s="11" cm="1">
        <f t="array" ref="C688">INDEX('Enriched Data'!G:G,A688+1)</f>
        <v>42578.7</v>
      </c>
      <c r="D688" s="11">
        <f t="shared" si="31"/>
        <v>922427260.67999947</v>
      </c>
      <c r="E688" s="10">
        <f t="shared" si="32"/>
        <v>0.9859615225563233</v>
      </c>
    </row>
    <row r="689" spans="1:5">
      <c r="A689">
        <f t="shared" si="30"/>
        <v>688</v>
      </c>
      <c r="B689" t="str" cm="1">
        <f t="array" ref="B689">INDEX('Enriched Data'!C:C,A689+1)</f>
        <v>Service Express, LLC</v>
      </c>
      <c r="C689" s="11" cm="1">
        <f t="array" ref="C689">INDEX('Enriched Data'!G:G,A689+1)</f>
        <v>42539.86</v>
      </c>
      <c r="D689" s="11">
        <f t="shared" si="31"/>
        <v>922469800.53999949</v>
      </c>
      <c r="E689" s="10">
        <f t="shared" si="32"/>
        <v>0.98600699244530299</v>
      </c>
    </row>
    <row r="690" spans="1:5">
      <c r="A690">
        <f t="shared" si="30"/>
        <v>689</v>
      </c>
      <c r="B690" t="str" cm="1">
        <f t="array" ref="B690">INDEX('Enriched Data'!C:C,A690+1)</f>
        <v>SK Global Software LLC</v>
      </c>
      <c r="C690" s="11" cm="1">
        <f t="array" ref="C690">INDEX('Enriched Data'!G:G,A690+1)</f>
        <v>42222.5</v>
      </c>
      <c r="D690" s="11">
        <f t="shared" si="31"/>
        <v>922512023.03999949</v>
      </c>
      <c r="E690" s="10">
        <f t="shared" si="32"/>
        <v>0.98605212311539547</v>
      </c>
    </row>
    <row r="691" spans="1:5">
      <c r="A691">
        <f t="shared" si="30"/>
        <v>690</v>
      </c>
      <c r="B691" t="str" cm="1">
        <f t="array" ref="B691">INDEX('Enriched Data'!C:C,A691+1)</f>
        <v>Alert Media, Inc.</v>
      </c>
      <c r="C691" s="11" cm="1">
        <f t="array" ref="C691">INDEX('Enriched Data'!G:G,A691+1)</f>
        <v>42056.04</v>
      </c>
      <c r="D691" s="11">
        <f t="shared" si="31"/>
        <v>922554079.07999945</v>
      </c>
      <c r="E691" s="10">
        <f t="shared" si="32"/>
        <v>0.98609707586017936</v>
      </c>
    </row>
    <row r="692" spans="1:5">
      <c r="A692">
        <f t="shared" si="30"/>
        <v>691</v>
      </c>
      <c r="B692" t="str" cm="1">
        <f t="array" ref="B692">INDEX('Enriched Data'!C:C,A692+1)</f>
        <v>GJR Holdings LLC</v>
      </c>
      <c r="C692" s="11" cm="1">
        <f t="array" ref="C692">INDEX('Enriched Data'!G:G,A692+1)</f>
        <v>42000</v>
      </c>
      <c r="D692" s="11">
        <f t="shared" si="31"/>
        <v>922596079.07999945</v>
      </c>
      <c r="E692" s="10">
        <f t="shared" si="32"/>
        <v>0.98614196870508175</v>
      </c>
    </row>
    <row r="693" spans="1:5">
      <c r="A693">
        <f t="shared" si="30"/>
        <v>692</v>
      </c>
      <c r="B693" t="str" cm="1">
        <f t="array" ref="B693">INDEX('Enriched Data'!C:C,A693+1)</f>
        <v>Avatar Management Services, Inc</v>
      </c>
      <c r="C693" s="11" cm="1">
        <f t="array" ref="C693">INDEX('Enriched Data'!G:G,A693+1)</f>
        <v>42000</v>
      </c>
      <c r="D693" s="11">
        <f t="shared" si="31"/>
        <v>922638079.07999945</v>
      </c>
      <c r="E693" s="10">
        <f t="shared" si="32"/>
        <v>0.98618686154998403</v>
      </c>
    </row>
    <row r="694" spans="1:5">
      <c r="A694">
        <f t="shared" si="30"/>
        <v>693</v>
      </c>
      <c r="B694" t="str" cm="1">
        <f t="array" ref="B694">INDEX('Enriched Data'!C:C,A694+1)</f>
        <v>Orange Brothers Services LLC</v>
      </c>
      <c r="C694" s="11" cm="1">
        <f t="array" ref="C694">INDEX('Enriched Data'!G:G,A694+1)</f>
        <v>41999.49</v>
      </c>
      <c r="D694" s="11">
        <f t="shared" si="31"/>
        <v>922680078.56999946</v>
      </c>
      <c r="E694" s="10">
        <f t="shared" si="32"/>
        <v>0.98623175384975892</v>
      </c>
    </row>
    <row r="695" spans="1:5">
      <c r="A695">
        <f t="shared" si="30"/>
        <v>694</v>
      </c>
      <c r="B695" t="str" cm="1">
        <f t="array" ref="B695">INDEX('Enriched Data'!C:C,A695+1)</f>
        <v>B&amp;I Contractors, Inc.</v>
      </c>
      <c r="C695" s="11" cm="1">
        <f t="array" ref="C695">INDEX('Enriched Data'!G:G,A695+1)</f>
        <v>41676.410000000003</v>
      </c>
      <c r="D695" s="11">
        <f t="shared" si="31"/>
        <v>922721754.97999942</v>
      </c>
      <c r="E695" s="10">
        <f t="shared" si="32"/>
        <v>0.98627630081666873</v>
      </c>
    </row>
    <row r="696" spans="1:5">
      <c r="A696">
        <f t="shared" si="30"/>
        <v>695</v>
      </c>
      <c r="B696" t="str" cm="1">
        <f t="array" ref="B696">INDEX('Enriched Data'!C:C,A696+1)</f>
        <v>Carlton Elleker Chase Ltd</v>
      </c>
      <c r="C696" s="11" cm="1">
        <f t="array" ref="C696">INDEX('Enriched Data'!G:G,A696+1)</f>
        <v>41604</v>
      </c>
      <c r="D696" s="11">
        <f t="shared" si="31"/>
        <v>922763358.97999942</v>
      </c>
      <c r="E696" s="10">
        <f t="shared" si="32"/>
        <v>0.98632077038617627</v>
      </c>
    </row>
    <row r="697" spans="1:5">
      <c r="A697">
        <f t="shared" si="30"/>
        <v>696</v>
      </c>
      <c r="B697" t="str" cm="1">
        <f t="array" ref="B697">INDEX('Enriched Data'!C:C,A697+1)</f>
        <v>Mills Sadat Dowlat LLP</v>
      </c>
      <c r="C697" s="11" cm="1">
        <f t="array" ref="C697">INDEX('Enriched Data'!G:G,A697+1)</f>
        <v>41475.089999999997</v>
      </c>
      <c r="D697" s="11">
        <f t="shared" si="31"/>
        <v>922804834.06999946</v>
      </c>
      <c r="E697" s="10">
        <f t="shared" si="32"/>
        <v>0.98636510216671625</v>
      </c>
    </row>
    <row r="698" spans="1:5">
      <c r="A698">
        <f t="shared" si="30"/>
        <v>697</v>
      </c>
      <c r="B698" t="str" cm="1">
        <f t="array" ref="B698">INDEX('Enriched Data'!C:C,A698+1)</f>
        <v>Wells Fargo Equipment Finance Company</v>
      </c>
      <c r="C698" s="11" cm="1">
        <f t="array" ref="C698">INDEX('Enriched Data'!G:G,A698+1)</f>
        <v>41266.1</v>
      </c>
      <c r="D698" s="11">
        <f t="shared" si="31"/>
        <v>922846100.16999948</v>
      </c>
      <c r="E698" s="10">
        <f t="shared" si="32"/>
        <v>0.98640921056259778</v>
      </c>
    </row>
    <row r="699" spans="1:5">
      <c r="A699">
        <f t="shared" si="30"/>
        <v>698</v>
      </c>
      <c r="B699" t="str" cm="1">
        <f t="array" ref="B699">INDEX('Enriched Data'!C:C,A699+1)</f>
        <v>Doors on Demand</v>
      </c>
      <c r="C699" s="11" cm="1">
        <f t="array" ref="C699">INDEX('Enriched Data'!G:G,A699+1)</f>
        <v>40696.769999999997</v>
      </c>
      <c r="D699" s="11">
        <f t="shared" si="31"/>
        <v>922886796.93999946</v>
      </c>
      <c r="E699" s="10">
        <f t="shared" si="32"/>
        <v>0.98645271041458915</v>
      </c>
    </row>
    <row r="700" spans="1:5">
      <c r="A700">
        <f t="shared" si="30"/>
        <v>699</v>
      </c>
      <c r="B700" t="str" cm="1">
        <f t="array" ref="B700">INDEX('Enriched Data'!C:C,A700+1)</f>
        <v>Kinnie Transportation Group, Inc</v>
      </c>
      <c r="C700" s="11" cm="1">
        <f t="array" ref="C700">INDEX('Enriched Data'!G:G,A700+1)</f>
        <v>40641.06</v>
      </c>
      <c r="D700" s="11">
        <f t="shared" si="31"/>
        <v>922927437.9999994</v>
      </c>
      <c r="E700" s="10">
        <f t="shared" si="32"/>
        <v>0.9864961507194282</v>
      </c>
    </row>
    <row r="701" spans="1:5">
      <c r="A701">
        <f t="shared" si="30"/>
        <v>700</v>
      </c>
      <c r="B701" t="str" cm="1">
        <f t="array" ref="B701">INDEX('Enriched Data'!C:C,A701+1)</f>
        <v>ContractPod Technologies, Inc.</v>
      </c>
      <c r="C701" s="11" cm="1">
        <f t="array" ref="C701">INDEX('Enriched Data'!G:G,A701+1)</f>
        <v>40500</v>
      </c>
      <c r="D701" s="11">
        <f t="shared" si="31"/>
        <v>922967937.9999994</v>
      </c>
      <c r="E701" s="10">
        <f t="shared" si="32"/>
        <v>0.9865394402484412</v>
      </c>
    </row>
    <row r="702" spans="1:5">
      <c r="A702">
        <f t="shared" si="30"/>
        <v>701</v>
      </c>
      <c r="B702" t="str" cm="1">
        <f t="array" ref="B702">INDEX('Enriched Data'!C:C,A702+1)</f>
        <v>Moreno Cleaning Services</v>
      </c>
      <c r="C702" s="11" cm="1">
        <f t="array" ref="C702">INDEX('Enriched Data'!G:G,A702+1)</f>
        <v>40175</v>
      </c>
      <c r="D702" s="11">
        <f t="shared" si="31"/>
        <v>923008112.9999994</v>
      </c>
      <c r="E702" s="10">
        <f t="shared" si="32"/>
        <v>0.98658238239234475</v>
      </c>
    </row>
    <row r="703" spans="1:5">
      <c r="A703">
        <f t="shared" si="30"/>
        <v>702</v>
      </c>
      <c r="B703" t="str" cm="1">
        <f t="array" ref="B703">INDEX('Enriched Data'!C:C,A703+1)</f>
        <v>Les Services Mobitech, Inc.</v>
      </c>
      <c r="C703" s="11" cm="1">
        <f t="array" ref="C703">INDEX('Enriched Data'!G:G,A703+1)</f>
        <v>39953.440000000002</v>
      </c>
      <c r="D703" s="11">
        <f t="shared" si="31"/>
        <v>923048066.43999946</v>
      </c>
      <c r="E703" s="10">
        <f t="shared" si="32"/>
        <v>0.98662508771580271</v>
      </c>
    </row>
    <row r="704" spans="1:5">
      <c r="A704">
        <f t="shared" si="30"/>
        <v>703</v>
      </c>
      <c r="B704" t="str" cm="1">
        <f t="array" ref="B704">INDEX('Enriched Data'!C:C,A704+1)</f>
        <v>SERVPRO</v>
      </c>
      <c r="C704" s="11" cm="1">
        <f t="array" ref="C704">INDEX('Enriched Data'!G:G,A704+1)</f>
        <v>39947.06</v>
      </c>
      <c r="D704" s="11">
        <f t="shared" si="31"/>
        <v>923088013.4999994</v>
      </c>
      <c r="E704" s="10">
        <f t="shared" si="32"/>
        <v>0.98666778621982365</v>
      </c>
    </row>
    <row r="705" spans="1:5">
      <c r="A705">
        <f t="shared" si="30"/>
        <v>704</v>
      </c>
      <c r="B705" t="str" cm="1">
        <f t="array" ref="B705">INDEX('Enriched Data'!C:C,A705+1)</f>
        <v>R3 Environmental Management, Inc</v>
      </c>
      <c r="C705" s="11" cm="1">
        <f t="array" ref="C705">INDEX('Enriched Data'!G:G,A705+1)</f>
        <v>39890</v>
      </c>
      <c r="D705" s="11">
        <f t="shared" si="31"/>
        <v>923127903.4999994</v>
      </c>
      <c r="E705" s="10">
        <f t="shared" si="32"/>
        <v>0.98671042373370832</v>
      </c>
    </row>
    <row r="706" spans="1:5">
      <c r="A706">
        <f t="shared" si="30"/>
        <v>705</v>
      </c>
      <c r="B706" t="str" cm="1">
        <f t="array" ref="B706">INDEX('Enriched Data'!C:C,A706+1)</f>
        <v>Horizontal Integration, Inc.</v>
      </c>
      <c r="C706" s="11" cm="1">
        <f t="array" ref="C706">INDEX('Enriched Data'!G:G,A706+1)</f>
        <v>39840</v>
      </c>
      <c r="D706" s="11">
        <f t="shared" si="31"/>
        <v>923167743.4999994</v>
      </c>
      <c r="E706" s="10">
        <f t="shared" si="32"/>
        <v>0.98675300780372988</v>
      </c>
    </row>
    <row r="707" spans="1:5">
      <c r="A707">
        <f t="shared" si="30"/>
        <v>706</v>
      </c>
      <c r="B707" t="str" cm="1">
        <f t="array" ref="B707">INDEX('Enriched Data'!C:C,A707+1)</f>
        <v>Salt Edge Wash, LLC</v>
      </c>
      <c r="C707" s="11" cm="1">
        <f t="array" ref="C707">INDEX('Enriched Data'!G:G,A707+1)</f>
        <v>39703.11</v>
      </c>
      <c r="D707" s="11">
        <f t="shared" si="31"/>
        <v>923207446.60999942</v>
      </c>
      <c r="E707" s="10">
        <f t="shared" si="32"/>
        <v>0.98679544555514342</v>
      </c>
    </row>
    <row r="708" spans="1:5">
      <c r="A708">
        <f t="shared" ref="A708:A771" si="33">A707+1</f>
        <v>707</v>
      </c>
      <c r="B708" t="str" cm="1">
        <f t="array" ref="B708">INDEX('Enriched Data'!C:C,A708+1)</f>
        <v>Petes Road Service Inc.</v>
      </c>
      <c r="C708" s="11" cm="1">
        <f t="array" ref="C708">INDEX('Enriched Data'!G:G,A708+1)</f>
        <v>39528.160000000003</v>
      </c>
      <c r="D708" s="11">
        <f t="shared" ref="D708:D771" si="34">D707+C708</f>
        <v>923246974.76999938</v>
      </c>
      <c r="E708" s="10">
        <f t="shared" ref="E708:E771" si="35">D708/$F$2</f>
        <v>0.98683769630648044</v>
      </c>
    </row>
    <row r="709" spans="1:5">
      <c r="A709">
        <f t="shared" si="33"/>
        <v>708</v>
      </c>
      <c r="B709" t="str" cm="1">
        <f t="array" ref="B709">INDEX('Enriched Data'!C:C,A709+1)</f>
        <v>Youngblood Automotive &amp; Tire, LLC</v>
      </c>
      <c r="C709" s="11" cm="1">
        <f t="array" ref="C709">INDEX('Enriched Data'!G:G,A709+1)</f>
        <v>39318.720000000001</v>
      </c>
      <c r="D709" s="11">
        <f t="shared" si="34"/>
        <v>923286293.48999941</v>
      </c>
      <c r="E709" s="10">
        <f t="shared" si="35"/>
        <v>0.98687972319216422</v>
      </c>
    </row>
    <row r="710" spans="1:5">
      <c r="A710">
        <f t="shared" si="33"/>
        <v>709</v>
      </c>
      <c r="B710" t="str" cm="1">
        <f t="array" ref="B710">INDEX('Enriched Data'!C:C,A710+1)</f>
        <v>Baymard Institute ApS</v>
      </c>
      <c r="C710" s="11" cm="1">
        <f t="array" ref="C710">INDEX('Enriched Data'!G:G,A710+1)</f>
        <v>39300</v>
      </c>
      <c r="D710" s="11">
        <f t="shared" si="34"/>
        <v>923325593.48999941</v>
      </c>
      <c r="E710" s="10">
        <f t="shared" si="35"/>
        <v>0.98692173006846562</v>
      </c>
    </row>
    <row r="711" spans="1:5">
      <c r="A711">
        <f t="shared" si="33"/>
        <v>710</v>
      </c>
      <c r="B711" t="str" cm="1">
        <f t="array" ref="B711">INDEX('Enriched Data'!C:C,A711+1)</f>
        <v>International Trucks of Hawaii</v>
      </c>
      <c r="C711" s="11" cm="1">
        <f t="array" ref="C711">INDEX('Enriched Data'!G:G,A711+1)</f>
        <v>39269.089999999997</v>
      </c>
      <c r="D711" s="11">
        <f t="shared" si="34"/>
        <v>923364862.57999945</v>
      </c>
      <c r="E711" s="10">
        <f t="shared" si="35"/>
        <v>0.98696370390577104</v>
      </c>
    </row>
    <row r="712" spans="1:5">
      <c r="A712">
        <f t="shared" si="33"/>
        <v>711</v>
      </c>
      <c r="B712" t="str" cm="1">
        <f t="array" ref="B712">INDEX('Enriched Data'!C:C,A712+1)</f>
        <v>Pearl River Community College</v>
      </c>
      <c r="C712" s="11" cm="1">
        <f t="array" ref="C712">INDEX('Enriched Data'!G:G,A712+1)</f>
        <v>39064.519999999997</v>
      </c>
      <c r="D712" s="11">
        <f t="shared" si="34"/>
        <v>923403927.09999943</v>
      </c>
      <c r="E712" s="10">
        <f t="shared" si="35"/>
        <v>0.98700545908285531</v>
      </c>
    </row>
    <row r="713" spans="1:5">
      <c r="A713">
        <f t="shared" si="33"/>
        <v>712</v>
      </c>
      <c r="B713" t="str" cm="1">
        <f t="array" ref="B713">INDEX('Enriched Data'!C:C,A713+1)</f>
        <v>Katlynn Sierra Mullins</v>
      </c>
      <c r="C713" s="11" cm="1">
        <f t="array" ref="C713">INDEX('Enriched Data'!G:G,A713+1)</f>
        <v>38913.75</v>
      </c>
      <c r="D713" s="11">
        <f t="shared" si="34"/>
        <v>923442840.84999943</v>
      </c>
      <c r="E713" s="10">
        <f t="shared" si="35"/>
        <v>0.98704705310531526</v>
      </c>
    </row>
    <row r="714" spans="1:5">
      <c r="A714">
        <f t="shared" si="33"/>
        <v>713</v>
      </c>
      <c r="B714" t="str" cm="1">
        <f t="array" ref="B714">INDEX('Enriched Data'!C:C,A714+1)</f>
        <v>Chateau Products Inc.</v>
      </c>
      <c r="C714" s="11" cm="1">
        <f t="array" ref="C714">INDEX('Enriched Data'!G:G,A714+1)</f>
        <v>38631.26</v>
      </c>
      <c r="D714" s="11">
        <f t="shared" si="34"/>
        <v>923481472.10999942</v>
      </c>
      <c r="E714" s="10">
        <f t="shared" si="35"/>
        <v>0.98708834518063815</v>
      </c>
    </row>
    <row r="715" spans="1:5">
      <c r="A715">
        <f t="shared" si="33"/>
        <v>714</v>
      </c>
      <c r="B715" t="str" cm="1">
        <f t="array" ref="B715">INDEX('Enriched Data'!C:C,A715+1)</f>
        <v>Charles G HIll</v>
      </c>
      <c r="C715" s="11" cm="1">
        <f t="array" ref="C715">INDEX('Enriched Data'!G:G,A715+1)</f>
        <v>38623.43</v>
      </c>
      <c r="D715" s="11">
        <f t="shared" si="34"/>
        <v>923520095.53999937</v>
      </c>
      <c r="E715" s="10">
        <f t="shared" si="35"/>
        <v>0.98712962888665201</v>
      </c>
    </row>
    <row r="716" spans="1:5">
      <c r="A716">
        <f t="shared" si="33"/>
        <v>715</v>
      </c>
      <c r="B716" t="str" cm="1">
        <f t="array" ref="B716">INDEX('Enriched Data'!C:C,A716+1)</f>
        <v>Material Handling Systems, Inc.</v>
      </c>
      <c r="C716" s="11" cm="1">
        <f t="array" ref="C716">INDEX('Enriched Data'!G:G,A716+1)</f>
        <v>38071.39</v>
      </c>
      <c r="D716" s="11">
        <f t="shared" si="34"/>
        <v>923558166.92999935</v>
      </c>
      <c r="E716" s="10">
        <f t="shared" si="35"/>
        <v>0.98717032252966352</v>
      </c>
    </row>
    <row r="717" spans="1:5">
      <c r="A717">
        <f t="shared" si="33"/>
        <v>716</v>
      </c>
      <c r="B717" t="str" cm="1">
        <f t="array" ref="B717">INDEX('Enriched Data'!C:C,A717+1)</f>
        <v>Ally Vista LLC</v>
      </c>
      <c r="C717" s="11" cm="1">
        <f t="array" ref="C717">INDEX('Enriched Data'!G:G,A717+1)</f>
        <v>37680</v>
      </c>
      <c r="D717" s="11">
        <f t="shared" si="34"/>
        <v>923595846.92999935</v>
      </c>
      <c r="E717" s="10">
        <f t="shared" si="35"/>
        <v>0.98721059782480447</v>
      </c>
    </row>
    <row r="718" spans="1:5">
      <c r="A718">
        <f t="shared" si="33"/>
        <v>717</v>
      </c>
      <c r="B718" t="str" cm="1">
        <f t="array" ref="B718">INDEX('Enriched Data'!C:C,A718+1)</f>
        <v>Diamond International Trucks Ltd.</v>
      </c>
      <c r="C718" s="11" cm="1">
        <f t="array" ref="C718">INDEX('Enriched Data'!G:G,A718+1)</f>
        <v>37515.82</v>
      </c>
      <c r="D718" s="11">
        <f t="shared" si="34"/>
        <v>923633362.7499994</v>
      </c>
      <c r="E718" s="10">
        <f t="shared" si="35"/>
        <v>0.98725069763167694</v>
      </c>
    </row>
    <row r="719" spans="1:5">
      <c r="A719">
        <f t="shared" si="33"/>
        <v>718</v>
      </c>
      <c r="B719" t="str" cm="1">
        <f t="array" ref="B719">INDEX('Enriched Data'!C:C,A719+1)</f>
        <v>Tri-star Plastics</v>
      </c>
      <c r="C719" s="11" cm="1">
        <f t="array" ref="C719">INDEX('Enriched Data'!G:G,A719+1)</f>
        <v>37512.980000000003</v>
      </c>
      <c r="D719" s="11">
        <f t="shared" si="34"/>
        <v>923670875.72999942</v>
      </c>
      <c r="E719" s="10">
        <f t="shared" si="35"/>
        <v>0.98729079440293799</v>
      </c>
    </row>
    <row r="720" spans="1:5">
      <c r="A720">
        <f t="shared" si="33"/>
        <v>719</v>
      </c>
      <c r="B720" t="str" cm="1">
        <f t="array" ref="B720">INDEX('Enriched Data'!C:C,A720+1)</f>
        <v>NAVEX</v>
      </c>
      <c r="C720" s="11" cm="1">
        <f t="array" ref="C720">INDEX('Enriched Data'!G:G,A720+1)</f>
        <v>37414.54</v>
      </c>
      <c r="D720" s="11">
        <f t="shared" si="34"/>
        <v>923708290.26999938</v>
      </c>
      <c r="E720" s="10">
        <f t="shared" si="35"/>
        <v>0.98733078595392154</v>
      </c>
    </row>
    <row r="721" spans="1:5">
      <c r="A721">
        <f t="shared" si="33"/>
        <v>720</v>
      </c>
      <c r="B721" t="str" cm="1">
        <f t="array" ref="B721">INDEX('Enriched Data'!C:C,A721+1)</f>
        <v>McMillan LLP</v>
      </c>
      <c r="C721" s="11" cm="1">
        <f t="array" ref="C721">INDEX('Enriched Data'!G:G,A721+1)</f>
        <v>37407.83</v>
      </c>
      <c r="D721" s="11">
        <f t="shared" si="34"/>
        <v>923745698.09999943</v>
      </c>
      <c r="E721" s="10">
        <f t="shared" si="35"/>
        <v>0.98737077033273879</v>
      </c>
    </row>
    <row r="722" spans="1:5">
      <c r="A722">
        <f t="shared" si="33"/>
        <v>721</v>
      </c>
      <c r="B722" t="str" cm="1">
        <f t="array" ref="B722">INDEX('Enriched Data'!C:C,A722+1)</f>
        <v>OBannon Living Trust</v>
      </c>
      <c r="C722" s="11" cm="1">
        <f t="array" ref="C722">INDEX('Enriched Data'!G:G,A722+1)</f>
        <v>37200</v>
      </c>
      <c r="D722" s="11">
        <f t="shared" si="34"/>
        <v>923782898.09999943</v>
      </c>
      <c r="E722" s="10">
        <f t="shared" si="35"/>
        <v>0.98741053256679512</v>
      </c>
    </row>
    <row r="723" spans="1:5">
      <c r="A723">
        <f t="shared" si="33"/>
        <v>722</v>
      </c>
      <c r="B723" t="str" cm="1">
        <f t="array" ref="B723">INDEX('Enriched Data'!C:C,A723+1)</f>
        <v>Solarwinds Inc</v>
      </c>
      <c r="C723" s="11" cm="1">
        <f t="array" ref="C723">INDEX('Enriched Data'!G:G,A723+1)</f>
        <v>37141.050000000003</v>
      </c>
      <c r="D723" s="11">
        <f t="shared" si="34"/>
        <v>923820039.14999938</v>
      </c>
      <c r="E723" s="10">
        <f t="shared" si="35"/>
        <v>0.98745023179053693</v>
      </c>
    </row>
    <row r="724" spans="1:5">
      <c r="A724">
        <f t="shared" si="33"/>
        <v>723</v>
      </c>
      <c r="B724" t="str" cm="1">
        <f t="array" ref="B724">INDEX('Enriched Data'!C:C,A724+1)</f>
        <v>Jet Intermodal, Inc.</v>
      </c>
      <c r="C724" s="11" cm="1">
        <f t="array" ref="C724">INDEX('Enriched Data'!G:G,A724+1)</f>
        <v>36932.85</v>
      </c>
      <c r="D724" s="11">
        <f t="shared" si="34"/>
        <v>923856971.9999994</v>
      </c>
      <c r="E724" s="10">
        <f t="shared" si="35"/>
        <v>0.98748970847403339</v>
      </c>
    </row>
    <row r="725" spans="1:5">
      <c r="A725">
        <f t="shared" si="33"/>
        <v>724</v>
      </c>
      <c r="B725" t="str" cm="1">
        <f t="array" ref="B725">INDEX('Enriched Data'!C:C,A725+1)</f>
        <v>Heather Magness</v>
      </c>
      <c r="C725" s="11" cm="1">
        <f t="array" ref="C725">INDEX('Enriched Data'!G:G,A725+1)</f>
        <v>36740.300000000003</v>
      </c>
      <c r="D725" s="11">
        <f t="shared" si="34"/>
        <v>923893712.29999936</v>
      </c>
      <c r="E725" s="10">
        <f t="shared" si="35"/>
        <v>0.98752897934521344</v>
      </c>
    </row>
    <row r="726" spans="1:5">
      <c r="A726">
        <f t="shared" si="33"/>
        <v>725</v>
      </c>
      <c r="B726" t="str" cm="1">
        <f t="array" ref="B726">INDEX('Enriched Data'!C:C,A726+1)</f>
        <v>Herculift, Inc.</v>
      </c>
      <c r="C726" s="11" cm="1">
        <f t="array" ref="C726">INDEX('Enriched Data'!G:G,A726+1)</f>
        <v>36692.9</v>
      </c>
      <c r="D726" s="11">
        <f t="shared" si="34"/>
        <v>923930405.19999933</v>
      </c>
      <c r="E726" s="10">
        <f t="shared" si="35"/>
        <v>0.98756819955161146</v>
      </c>
    </row>
    <row r="727" spans="1:5">
      <c r="A727">
        <f t="shared" si="33"/>
        <v>726</v>
      </c>
      <c r="B727" t="str" cm="1">
        <f t="array" ref="B727">INDEX('Enriched Data'!C:C,A727+1)</f>
        <v>VV3100 LLC</v>
      </c>
      <c r="C727" s="11" cm="1">
        <f t="array" ref="C727">INDEX('Enriched Data'!G:G,A727+1)</f>
        <v>36540</v>
      </c>
      <c r="D727" s="11">
        <f t="shared" si="34"/>
        <v>923966945.19999933</v>
      </c>
      <c r="E727" s="10">
        <f t="shared" si="35"/>
        <v>0.98760725632667645</v>
      </c>
    </row>
    <row r="728" spans="1:5">
      <c r="A728">
        <f t="shared" si="33"/>
        <v>727</v>
      </c>
      <c r="B728" t="str" cm="1">
        <f t="array" ref="B728">INDEX('Enriched Data'!C:C,A728+1)</f>
        <v>SheerID Inc.</v>
      </c>
      <c r="C728" s="11" cm="1">
        <f t="array" ref="C728">INDEX('Enriched Data'!G:G,A728+1)</f>
        <v>36493.42</v>
      </c>
      <c r="D728" s="11">
        <f t="shared" si="34"/>
        <v>924003438.61999929</v>
      </c>
      <c r="E728" s="10">
        <f t="shared" si="35"/>
        <v>0.98764626331343863</v>
      </c>
    </row>
    <row r="729" spans="1:5">
      <c r="A729">
        <f t="shared" si="33"/>
        <v>728</v>
      </c>
      <c r="B729" t="str" cm="1">
        <f t="array" ref="B729">INDEX('Enriched Data'!C:C,A729+1)</f>
        <v>Top Gun Electrical Contractors Inc.</v>
      </c>
      <c r="C729" s="11" cm="1">
        <f t="array" ref="C729">INDEX('Enriched Data'!G:G,A729+1)</f>
        <v>36250</v>
      </c>
      <c r="D729" s="11">
        <f t="shared" si="34"/>
        <v>924039688.61999929</v>
      </c>
      <c r="E729" s="10">
        <f t="shared" si="35"/>
        <v>0.98768501011409837</v>
      </c>
    </row>
    <row r="730" spans="1:5">
      <c r="A730">
        <f t="shared" si="33"/>
        <v>729</v>
      </c>
      <c r="B730" t="str" cm="1">
        <f t="array" ref="B730">INDEX('Enriched Data'!C:C,A730+1)</f>
        <v>United Rentals North America Inc</v>
      </c>
      <c r="C730" s="11" cm="1">
        <f t="array" ref="C730">INDEX('Enriched Data'!G:G,A730+1)</f>
        <v>36184.74</v>
      </c>
      <c r="D730" s="11">
        <f t="shared" si="34"/>
        <v>924075873.3599993</v>
      </c>
      <c r="E730" s="10">
        <f t="shared" si="35"/>
        <v>0.98772368715982817</v>
      </c>
    </row>
    <row r="731" spans="1:5">
      <c r="A731">
        <f t="shared" si="33"/>
        <v>730</v>
      </c>
      <c r="B731" t="str" cm="1">
        <f t="array" ref="B731">INDEX('Enriched Data'!C:C,A731+1)</f>
        <v>Ace Mini Self Storage</v>
      </c>
      <c r="C731" s="11" cm="1">
        <f t="array" ref="C731">INDEX('Enriched Data'!G:G,A731+1)</f>
        <v>36000</v>
      </c>
      <c r="D731" s="11">
        <f t="shared" si="34"/>
        <v>924111873.3599993</v>
      </c>
      <c r="E731" s="10">
        <f t="shared" si="35"/>
        <v>0.98776216674117301</v>
      </c>
    </row>
    <row r="732" spans="1:5">
      <c r="A732">
        <f t="shared" si="33"/>
        <v>731</v>
      </c>
      <c r="B732" t="str" cm="1">
        <f t="array" ref="B732">INDEX('Enriched Data'!C:C,A732+1)</f>
        <v>Angela Lloyd</v>
      </c>
      <c r="C732" s="11" cm="1">
        <f t="array" ref="C732">INDEX('Enriched Data'!G:G,A732+1)</f>
        <v>36000</v>
      </c>
      <c r="D732" s="11">
        <f t="shared" si="34"/>
        <v>924147873.3599993</v>
      </c>
      <c r="E732" s="10">
        <f t="shared" si="35"/>
        <v>0.98780064632251785</v>
      </c>
    </row>
    <row r="733" spans="1:5">
      <c r="A733">
        <f t="shared" si="33"/>
        <v>732</v>
      </c>
      <c r="B733" t="str" cm="1">
        <f t="array" ref="B733">INDEX('Enriched Data'!C:C,A733+1)</f>
        <v>Gosalia Inc.</v>
      </c>
      <c r="C733" s="11" cm="1">
        <f t="array" ref="C733">INDEX('Enriched Data'!G:G,A733+1)</f>
        <v>36000</v>
      </c>
      <c r="D733" s="11">
        <f t="shared" si="34"/>
        <v>924183873.3599993</v>
      </c>
      <c r="E733" s="10">
        <f t="shared" si="35"/>
        <v>0.98783912590386269</v>
      </c>
    </row>
    <row r="734" spans="1:5">
      <c r="A734">
        <f t="shared" si="33"/>
        <v>733</v>
      </c>
      <c r="B734" t="str" cm="1">
        <f t="array" ref="B734">INDEX('Enriched Data'!C:C,A734+1)</f>
        <v>Michael &amp; Tracey LaPaglia</v>
      </c>
      <c r="C734" s="11" cm="1">
        <f t="array" ref="C734">INDEX('Enriched Data'!G:G,A734+1)</f>
        <v>36000</v>
      </c>
      <c r="D734" s="11">
        <f t="shared" si="34"/>
        <v>924219873.3599993</v>
      </c>
      <c r="E734" s="10">
        <f t="shared" si="35"/>
        <v>0.98787760548520753</v>
      </c>
    </row>
    <row r="735" spans="1:5">
      <c r="A735">
        <f t="shared" si="33"/>
        <v>734</v>
      </c>
      <c r="B735" t="str" cm="1">
        <f t="array" ref="B735">INDEX('Enriched Data'!C:C,A735+1)</f>
        <v>Novus Investments LP</v>
      </c>
      <c r="C735" s="11" cm="1">
        <f t="array" ref="C735">INDEX('Enriched Data'!G:G,A735+1)</f>
        <v>36000</v>
      </c>
      <c r="D735" s="11">
        <f t="shared" si="34"/>
        <v>924255873.3599993</v>
      </c>
      <c r="E735" s="10">
        <f t="shared" si="35"/>
        <v>0.98791608506655237</v>
      </c>
    </row>
    <row r="736" spans="1:5">
      <c r="A736">
        <f t="shared" si="33"/>
        <v>735</v>
      </c>
      <c r="B736" t="str" cm="1">
        <f t="array" ref="B736">INDEX('Enriched Data'!C:C,A736+1)</f>
        <v>Snider Fleet Solutions</v>
      </c>
      <c r="C736" s="11" cm="1">
        <f t="array" ref="C736">INDEX('Enriched Data'!G:G,A736+1)</f>
        <v>35718.32</v>
      </c>
      <c r="D736" s="11">
        <f t="shared" si="34"/>
        <v>924291591.67999935</v>
      </c>
      <c r="E736" s="10">
        <f t="shared" si="35"/>
        <v>0.98795426356655069</v>
      </c>
    </row>
    <row r="737" spans="1:5">
      <c r="A737">
        <f t="shared" si="33"/>
        <v>736</v>
      </c>
      <c r="B737" t="str" cm="1">
        <f t="array" ref="B737">INDEX('Enriched Data'!C:C,A737+1)</f>
        <v>Overhead Door Company</v>
      </c>
      <c r="C737" s="11" cm="1">
        <f t="array" ref="C737">INDEX('Enriched Data'!G:G,A737+1)</f>
        <v>35412.83</v>
      </c>
      <c r="D737" s="11">
        <f t="shared" si="34"/>
        <v>924327004.50999939</v>
      </c>
      <c r="E737" s="10">
        <f t="shared" si="35"/>
        <v>0.98799211553523514</v>
      </c>
    </row>
    <row r="738" spans="1:5">
      <c r="A738">
        <f t="shared" si="33"/>
        <v>737</v>
      </c>
      <c r="B738" t="str" cm="1">
        <f t="array" ref="B738">INDEX('Enriched Data'!C:C,A738+1)</f>
        <v>Country Gardens of Bristol, LLC</v>
      </c>
      <c r="C738" s="11" cm="1">
        <f t="array" ref="C738">INDEX('Enriched Data'!G:G,A738+1)</f>
        <v>35068.92</v>
      </c>
      <c r="D738" s="11">
        <f t="shared" si="34"/>
        <v>924362073.42999935</v>
      </c>
      <c r="E738" s="10">
        <f t="shared" si="35"/>
        <v>0.98802959990634109</v>
      </c>
    </row>
    <row r="739" spans="1:5">
      <c r="A739">
        <f t="shared" si="33"/>
        <v>738</v>
      </c>
      <c r="B739" t="str" cm="1">
        <f t="array" ref="B739">INDEX('Enriched Data'!C:C,A739+1)</f>
        <v>Rello Search Partners, LLC</v>
      </c>
      <c r="C739" s="11" cm="1">
        <f t="array" ref="C739">INDEX('Enriched Data'!G:G,A739+1)</f>
        <v>35000</v>
      </c>
      <c r="D739" s="11">
        <f t="shared" si="34"/>
        <v>924397073.42999935</v>
      </c>
      <c r="E739" s="10">
        <f t="shared" si="35"/>
        <v>0.98806701061042634</v>
      </c>
    </row>
    <row r="740" spans="1:5">
      <c r="A740">
        <f t="shared" si="33"/>
        <v>739</v>
      </c>
      <c r="B740" t="str" cm="1">
        <f t="array" ref="B740">INDEX('Enriched Data'!C:C,A740+1)</f>
        <v>A-Better Landscape Design, LLC</v>
      </c>
      <c r="C740" s="11" cm="1">
        <f t="array" ref="C740">INDEX('Enriched Data'!G:G,A740+1)</f>
        <v>34606.629999999997</v>
      </c>
      <c r="D740" s="11">
        <f t="shared" si="34"/>
        <v>924431680.05999935</v>
      </c>
      <c r="E740" s="10">
        <f t="shared" si="35"/>
        <v>0.98810400085026395</v>
      </c>
    </row>
    <row r="741" spans="1:5">
      <c r="A741">
        <f t="shared" si="33"/>
        <v>740</v>
      </c>
      <c r="B741" t="str" cm="1">
        <f t="array" ref="B741">INDEX('Enriched Data'!C:C,A741+1)</f>
        <v>Southern Tire Mart LLC</v>
      </c>
      <c r="C741" s="11" cm="1">
        <f t="array" ref="C741">INDEX('Enriched Data'!G:G,A741+1)</f>
        <v>34579.199999999997</v>
      </c>
      <c r="D741" s="11">
        <f t="shared" si="34"/>
        <v>924466259.25999939</v>
      </c>
      <c r="E741" s="10">
        <f t="shared" si="35"/>
        <v>0.98814096177079846</v>
      </c>
    </row>
    <row r="742" spans="1:5">
      <c r="A742">
        <f t="shared" si="33"/>
        <v>741</v>
      </c>
      <c r="B742" t="str" cm="1">
        <f t="array" ref="B742">INDEX('Enriched Data'!C:C,A742+1)</f>
        <v>Penman Construction</v>
      </c>
      <c r="C742" s="11" cm="1">
        <f t="array" ref="C742">INDEX('Enriched Data'!G:G,A742+1)</f>
        <v>34578.32</v>
      </c>
      <c r="D742" s="11">
        <f t="shared" si="34"/>
        <v>924500837.57999945</v>
      </c>
      <c r="E742" s="10">
        <f t="shared" si="35"/>
        <v>0.98817792175072094</v>
      </c>
    </row>
    <row r="743" spans="1:5">
      <c r="A743">
        <f t="shared" si="33"/>
        <v>742</v>
      </c>
      <c r="B743" t="str" cm="1">
        <f t="array" ref="B743">INDEX('Enriched Data'!C:C,A743+1)</f>
        <v>Suddath Relo Syst of St. Pete</v>
      </c>
      <c r="C743" s="11" cm="1">
        <f t="array" ref="C743">INDEX('Enriched Data'!G:G,A743+1)</f>
        <v>34517.5</v>
      </c>
      <c r="D743" s="11">
        <f t="shared" si="34"/>
        <v>924535355.07999945</v>
      </c>
      <c r="E743" s="10">
        <f t="shared" si="35"/>
        <v>0.98821481672152844</v>
      </c>
    </row>
    <row r="744" spans="1:5">
      <c r="A744">
        <f t="shared" si="33"/>
        <v>743</v>
      </c>
      <c r="B744" t="str" cm="1">
        <f t="array" ref="B744">INDEX('Enriched Data'!C:C,A744+1)</f>
        <v>Father and Sons Logistics LLC</v>
      </c>
      <c r="C744" s="11" cm="1">
        <f t="array" ref="C744">INDEX('Enriched Data'!G:G,A744+1)</f>
        <v>34500</v>
      </c>
      <c r="D744" s="11">
        <f t="shared" si="34"/>
        <v>924569855.07999945</v>
      </c>
      <c r="E744" s="10">
        <f t="shared" si="35"/>
        <v>0.9882516929869839</v>
      </c>
    </row>
    <row r="745" spans="1:5">
      <c r="A745">
        <f t="shared" si="33"/>
        <v>744</v>
      </c>
      <c r="B745" t="str" cm="1">
        <f t="array" ref="B745">INDEX('Enriched Data'!C:C,A745+1)</f>
        <v>Dorso &amp; Son Property Maintenance</v>
      </c>
      <c r="C745" s="11" cm="1">
        <f t="array" ref="C745">INDEX('Enriched Data'!G:G,A745+1)</f>
        <v>34500</v>
      </c>
      <c r="D745" s="11">
        <f t="shared" si="34"/>
        <v>924604355.07999945</v>
      </c>
      <c r="E745" s="10">
        <f t="shared" si="35"/>
        <v>0.98828856925243935</v>
      </c>
    </row>
    <row r="746" spans="1:5">
      <c r="A746">
        <f t="shared" si="33"/>
        <v>745</v>
      </c>
      <c r="B746" t="str" cm="1">
        <f t="array" ref="B746">INDEX('Enriched Data'!C:C,A746+1)</f>
        <v>ID Watchdog co of Equifax</v>
      </c>
      <c r="C746" s="11" cm="1">
        <f t="array" ref="C746">INDEX('Enriched Data'!G:G,A746+1)</f>
        <v>34132.9</v>
      </c>
      <c r="D746" s="11">
        <f t="shared" si="34"/>
        <v>924638487.97999942</v>
      </c>
      <c r="E746" s="10">
        <f t="shared" si="35"/>
        <v>0.98832505313305286</v>
      </c>
    </row>
    <row r="747" spans="1:5">
      <c r="A747">
        <f t="shared" si="33"/>
        <v>746</v>
      </c>
      <c r="B747" t="str" cm="1">
        <f t="array" ref="B747">INDEX('Enriched Data'!C:C,A747+1)</f>
        <v>Gerber National Claim Services LLC</v>
      </c>
      <c r="C747" s="11" cm="1">
        <f t="array" ref="C747">INDEX('Enriched Data'!G:G,A747+1)</f>
        <v>33535.58</v>
      </c>
      <c r="D747" s="11">
        <f t="shared" si="34"/>
        <v>924672023.55999947</v>
      </c>
      <c r="E747" s="10">
        <f t="shared" si="35"/>
        <v>0.98836089855190168</v>
      </c>
    </row>
    <row r="748" spans="1:5">
      <c r="A748">
        <f t="shared" si="33"/>
        <v>747</v>
      </c>
      <c r="B748" t="str" cm="1">
        <f t="array" ref="B748">INDEX('Enriched Data'!C:C,A748+1)</f>
        <v>Jay Cee Sales &amp; Rivet</v>
      </c>
      <c r="C748" s="11" cm="1">
        <f t="array" ref="C748">INDEX('Enriched Data'!G:G,A748+1)</f>
        <v>33533.769999999997</v>
      </c>
      <c r="D748" s="11">
        <f t="shared" si="34"/>
        <v>924705557.32999945</v>
      </c>
      <c r="E748" s="10">
        <f t="shared" si="35"/>
        <v>0.98839674203608252</v>
      </c>
    </row>
    <row r="749" spans="1:5">
      <c r="A749">
        <f t="shared" si="33"/>
        <v>748</v>
      </c>
      <c r="B749" t="str" cm="1">
        <f t="array" ref="B749">INDEX('Enriched Data'!C:C,A749+1)</f>
        <v>Reimagine Office Furniture</v>
      </c>
      <c r="C749" s="11" cm="1">
        <f t="array" ref="C749">INDEX('Enriched Data'!G:G,A749+1)</f>
        <v>33230.959999999999</v>
      </c>
      <c r="D749" s="11">
        <f t="shared" si="34"/>
        <v>924738788.28999949</v>
      </c>
      <c r="E749" s="10">
        <f t="shared" si="35"/>
        <v>0.98843226185354061</v>
      </c>
    </row>
    <row r="750" spans="1:5">
      <c r="A750">
        <f t="shared" si="33"/>
        <v>749</v>
      </c>
      <c r="B750" t="str" cm="1">
        <f t="array" ref="B750">INDEX('Enriched Data'!C:C,A750+1)</f>
        <v>Liveclicker, Inc.</v>
      </c>
      <c r="C750" s="11" cm="1">
        <f t="array" ref="C750">INDEX('Enriched Data'!G:G,A750+1)</f>
        <v>32967.75</v>
      </c>
      <c r="D750" s="11">
        <f t="shared" si="34"/>
        <v>924771756.03999949</v>
      </c>
      <c r="E750" s="10">
        <f t="shared" si="35"/>
        <v>0.98846750033181507</v>
      </c>
    </row>
    <row r="751" spans="1:5">
      <c r="A751">
        <f t="shared" si="33"/>
        <v>750</v>
      </c>
      <c r="B751" t="str" cm="1">
        <f t="array" ref="B751">INDEX('Enriched Data'!C:C,A751+1)</f>
        <v>Southern Cat</v>
      </c>
      <c r="C751" s="11" cm="1">
        <f t="array" ref="C751">INDEX('Enriched Data'!G:G,A751+1)</f>
        <v>32748.12</v>
      </c>
      <c r="D751" s="11">
        <f t="shared" si="34"/>
        <v>924804504.15999949</v>
      </c>
      <c r="E751" s="10">
        <f t="shared" si="35"/>
        <v>0.988502504052577</v>
      </c>
    </row>
    <row r="752" spans="1:5">
      <c r="A752">
        <f t="shared" si="33"/>
        <v>751</v>
      </c>
      <c r="B752" t="str" cm="1">
        <f t="array" ref="B752">INDEX('Enriched Data'!C:C,A752+1)</f>
        <v>Briggs Equipment</v>
      </c>
      <c r="C752" s="11" cm="1">
        <f t="array" ref="C752">INDEX('Enriched Data'!G:G,A752+1)</f>
        <v>32650.63</v>
      </c>
      <c r="D752" s="11">
        <f t="shared" si="34"/>
        <v>924837154.78999949</v>
      </c>
      <c r="E752" s="10">
        <f t="shared" si="35"/>
        <v>0.98853740356849495</v>
      </c>
    </row>
    <row r="753" spans="1:5">
      <c r="A753">
        <f t="shared" si="33"/>
        <v>752</v>
      </c>
      <c r="B753" t="str" cm="1">
        <f t="array" ref="B753">INDEX('Enriched Data'!C:C,A753+1)</f>
        <v>Blue Star Cleaning Services Inc.</v>
      </c>
      <c r="C753" s="11" cm="1">
        <f t="array" ref="C753">INDEX('Enriched Data'!G:G,A753+1)</f>
        <v>32400</v>
      </c>
      <c r="D753" s="11">
        <f t="shared" si="34"/>
        <v>924869554.78999949</v>
      </c>
      <c r="E753" s="10">
        <f t="shared" si="35"/>
        <v>0.98857203519170522</v>
      </c>
    </row>
    <row r="754" spans="1:5">
      <c r="A754">
        <f t="shared" si="33"/>
        <v>753</v>
      </c>
      <c r="B754" t="str" cm="1">
        <f t="array" ref="B754">INDEX('Enriched Data'!C:C,A754+1)</f>
        <v>Sweeten Creek Holdings LLC</v>
      </c>
      <c r="C754" s="11" cm="1">
        <f t="array" ref="C754">INDEX('Enriched Data'!G:G,A754+1)</f>
        <v>32379.200000000001</v>
      </c>
      <c r="D754" s="11">
        <f t="shared" si="34"/>
        <v>924901933.98999953</v>
      </c>
      <c r="E754" s="10">
        <f t="shared" si="35"/>
        <v>0.98860664458226866</v>
      </c>
    </row>
    <row r="755" spans="1:5">
      <c r="A755">
        <f t="shared" si="33"/>
        <v>754</v>
      </c>
      <c r="B755" t="str" cm="1">
        <f t="array" ref="B755">INDEX('Enriched Data'!C:C,A755+1)</f>
        <v>DCI Industrial Welding and Fabrication</v>
      </c>
      <c r="C755" s="11" cm="1">
        <f t="array" ref="C755">INDEX('Enriched Data'!G:G,A755+1)</f>
        <v>32365.67</v>
      </c>
      <c r="D755" s="11">
        <f t="shared" si="34"/>
        <v>924934299.65999949</v>
      </c>
      <c r="E755" s="10">
        <f t="shared" si="35"/>
        <v>0.98864123951092264</v>
      </c>
    </row>
    <row r="756" spans="1:5">
      <c r="A756">
        <f t="shared" si="33"/>
        <v>755</v>
      </c>
      <c r="B756" t="str" cm="1">
        <f t="array" ref="B756">INDEX('Enriched Data'!C:C,A756+1)</f>
        <v>Adesa Montreal Corp</v>
      </c>
      <c r="C756" s="11" cm="1">
        <f t="array" ref="C756">INDEX('Enriched Data'!G:G,A756+1)</f>
        <v>32163.59</v>
      </c>
      <c r="D756" s="11">
        <f t="shared" si="34"/>
        <v>924966463.24999952</v>
      </c>
      <c r="E756" s="10">
        <f t="shared" si="35"/>
        <v>0.98867561844086016</v>
      </c>
    </row>
    <row r="757" spans="1:5">
      <c r="A757">
        <f t="shared" si="33"/>
        <v>756</v>
      </c>
      <c r="B757" t="str" cm="1">
        <f t="array" ref="B757">INDEX('Enriched Data'!C:C,A757+1)</f>
        <v>Sullivan Tire Co Inc</v>
      </c>
      <c r="C757" s="11" cm="1">
        <f t="array" ref="C757">INDEX('Enriched Data'!G:G,A757+1)</f>
        <v>32112.080000000002</v>
      </c>
      <c r="D757" s="11">
        <f t="shared" si="34"/>
        <v>924998575.32999957</v>
      </c>
      <c r="E757" s="10">
        <f t="shared" si="35"/>
        <v>0.98870994231292997</v>
      </c>
    </row>
    <row r="758" spans="1:5">
      <c r="A758">
        <f t="shared" si="33"/>
        <v>757</v>
      </c>
      <c r="B758" t="str" cm="1">
        <f t="array" ref="B758">INDEX('Enriched Data'!C:C,A758+1)</f>
        <v>Executive Life Solutions</v>
      </c>
      <c r="C758" s="11" cm="1">
        <f t="array" ref="C758">INDEX('Enriched Data'!G:G,A758+1)</f>
        <v>32083.22</v>
      </c>
      <c r="D758" s="11">
        <f t="shared" si="34"/>
        <v>925030658.54999959</v>
      </c>
      <c r="E758" s="10">
        <f t="shared" si="35"/>
        <v>0.98874423533720202</v>
      </c>
    </row>
    <row r="759" spans="1:5">
      <c r="A759">
        <f t="shared" si="33"/>
        <v>758</v>
      </c>
      <c r="B759" t="str" cm="1">
        <f t="array" ref="B759">INDEX('Enriched Data'!C:C,A759+1)</f>
        <v>Gowlings Lafleur Henderson LLP</v>
      </c>
      <c r="C759" s="11" cm="1">
        <f t="array" ref="C759">INDEX('Enriched Data'!G:G,A759+1)</f>
        <v>32004.87</v>
      </c>
      <c r="D759" s="11">
        <f t="shared" si="34"/>
        <v>925062663.4199996</v>
      </c>
      <c r="E759" s="10">
        <f t="shared" si="35"/>
        <v>0.9887784446149408</v>
      </c>
    </row>
    <row r="760" spans="1:5">
      <c r="A760">
        <f t="shared" si="33"/>
        <v>759</v>
      </c>
      <c r="B760" t="str" cm="1">
        <f t="array" ref="B760">INDEX('Enriched Data'!C:C,A760+1)</f>
        <v>Anywhere Real Estate</v>
      </c>
      <c r="C760" s="11" cm="1">
        <f t="array" ref="C760">INDEX('Enriched Data'!G:G,A760+1)</f>
        <v>31917.46</v>
      </c>
      <c r="D760" s="11">
        <f t="shared" si="34"/>
        <v>925094580.87999964</v>
      </c>
      <c r="E760" s="10">
        <f t="shared" si="35"/>
        <v>0.9888125604621183</v>
      </c>
    </row>
    <row r="761" spans="1:5">
      <c r="A761">
        <f t="shared" si="33"/>
        <v>760</v>
      </c>
      <c r="B761" t="str" cm="1">
        <f t="array" ref="B761">INDEX('Enriched Data'!C:C,A761+1)</f>
        <v>Amazon Web Services, Inc.</v>
      </c>
      <c r="C761" s="11" cm="1">
        <f t="array" ref="C761">INDEX('Enriched Data'!G:G,A761+1)</f>
        <v>31798.799999999999</v>
      </c>
      <c r="D761" s="11">
        <f t="shared" si="34"/>
        <v>925126379.67999959</v>
      </c>
      <c r="E761" s="10">
        <f t="shared" si="35"/>
        <v>0.98884654947632022</v>
      </c>
    </row>
    <row r="762" spans="1:5">
      <c r="A762">
        <f t="shared" si="33"/>
        <v>761</v>
      </c>
      <c r="B762" t="str" cm="1">
        <f t="array" ref="B762">INDEX('Enriched Data'!C:C,A762+1)</f>
        <v>Vogel Heating and Cooling Inc.</v>
      </c>
      <c r="C762" s="11" cm="1">
        <f t="array" ref="C762">INDEX('Enriched Data'!G:G,A762+1)</f>
        <v>31657</v>
      </c>
      <c r="D762" s="11">
        <f t="shared" si="34"/>
        <v>925158036.67999959</v>
      </c>
      <c r="E762" s="10">
        <f t="shared" si="35"/>
        <v>0.98888038692372671</v>
      </c>
    </row>
    <row r="763" spans="1:5">
      <c r="A763">
        <f t="shared" si="33"/>
        <v>762</v>
      </c>
      <c r="B763" t="str" cm="1">
        <f t="array" ref="B763">INDEX('Enriched Data'!C:C,A763+1)</f>
        <v>Fortra LLC</v>
      </c>
      <c r="C763" s="11" cm="1">
        <f t="array" ref="C763">INDEX('Enriched Data'!G:G,A763+1)</f>
        <v>31581.88</v>
      </c>
      <c r="D763" s="11">
        <f t="shared" si="34"/>
        <v>925189618.55999959</v>
      </c>
      <c r="E763" s="10">
        <f t="shared" si="35"/>
        <v>0.98891414407707345</v>
      </c>
    </row>
    <row r="764" spans="1:5">
      <c r="A764">
        <f t="shared" si="33"/>
        <v>763</v>
      </c>
      <c r="B764" t="str" cm="1">
        <f t="array" ref="B764">INDEX('Enriched Data'!C:C,A764+1)</f>
        <v>Boulevard Tire Center</v>
      </c>
      <c r="C764" s="11" cm="1">
        <f t="array" ref="C764">INDEX('Enriched Data'!G:G,A764+1)</f>
        <v>31502.99</v>
      </c>
      <c r="D764" s="11">
        <f t="shared" si="34"/>
        <v>925221121.54999959</v>
      </c>
      <c r="E764" s="10">
        <f t="shared" si="35"/>
        <v>0.9889478169066932</v>
      </c>
    </row>
    <row r="765" spans="1:5">
      <c r="A765">
        <f t="shared" si="33"/>
        <v>764</v>
      </c>
      <c r="B765" t="str" cm="1">
        <f t="array" ref="B765">INDEX('Enriched Data'!C:C,A765+1)</f>
        <v>Al Warren Oil</v>
      </c>
      <c r="C765" s="11" cm="1">
        <f t="array" ref="C765">INDEX('Enriched Data'!G:G,A765+1)</f>
        <v>31492.639999999999</v>
      </c>
      <c r="D765" s="11">
        <f t="shared" si="34"/>
        <v>925252614.18999958</v>
      </c>
      <c r="E765" s="10">
        <f t="shared" si="35"/>
        <v>0.98898147867343322</v>
      </c>
    </row>
    <row r="766" spans="1:5">
      <c r="A766">
        <f t="shared" si="33"/>
        <v>765</v>
      </c>
      <c r="B766" t="str" cm="1">
        <f t="array" ref="B766">INDEX('Enriched Data'!C:C,A766+1)</f>
        <v>Blossman Gas-#2772800</v>
      </c>
      <c r="C766" s="11" cm="1">
        <f t="array" ref="C766">INDEX('Enriched Data'!G:G,A766+1)</f>
        <v>31449.29</v>
      </c>
      <c r="D766" s="11">
        <f t="shared" si="34"/>
        <v>925284063.47999954</v>
      </c>
      <c r="E766" s="10">
        <f t="shared" si="35"/>
        <v>0.98901509410434407</v>
      </c>
    </row>
    <row r="767" spans="1:5">
      <c r="A767">
        <f t="shared" si="33"/>
        <v>766</v>
      </c>
      <c r="B767" t="str" cm="1">
        <f t="array" ref="B767">INDEX('Enriched Data'!C:C,A767+1)</f>
        <v>Pomps Tire Service Inc.</v>
      </c>
      <c r="C767" s="11" cm="1">
        <f t="array" ref="C767">INDEX('Enriched Data'!G:G,A767+1)</f>
        <v>31447.96</v>
      </c>
      <c r="D767" s="11">
        <f t="shared" si="34"/>
        <v>925315511.43999958</v>
      </c>
      <c r="E767" s="10">
        <f t="shared" si="35"/>
        <v>0.98904870811364831</v>
      </c>
    </row>
    <row r="768" spans="1:5">
      <c r="A768">
        <f t="shared" si="33"/>
        <v>767</v>
      </c>
      <c r="B768" t="str" cm="1">
        <f t="array" ref="B768">INDEX('Enriched Data'!C:C,A768+1)</f>
        <v>Adesa Autions Canada Corp</v>
      </c>
      <c r="C768" s="11" cm="1">
        <f t="array" ref="C768">INDEX('Enriched Data'!G:G,A768+1)</f>
        <v>31331.37</v>
      </c>
      <c r="D768" s="11">
        <f t="shared" si="34"/>
        <v>925346842.80999959</v>
      </c>
      <c r="E768" s="10">
        <f t="shared" si="35"/>
        <v>0.98908219750255277</v>
      </c>
    </row>
    <row r="769" spans="1:5">
      <c r="A769">
        <f t="shared" si="33"/>
        <v>768</v>
      </c>
      <c r="B769" t="str" cm="1">
        <f t="array" ref="B769">INDEX('Enriched Data'!C:C,A769+1)</f>
        <v>Pluralsight, LLC</v>
      </c>
      <c r="C769" s="11" cm="1">
        <f t="array" ref="C769">INDEX('Enriched Data'!G:G,A769+1)</f>
        <v>31160</v>
      </c>
      <c r="D769" s="11">
        <f t="shared" si="34"/>
        <v>925378002.80999959</v>
      </c>
      <c r="E769" s="10">
        <f t="shared" si="35"/>
        <v>0.9891155037179612</v>
      </c>
    </row>
    <row r="770" spans="1:5">
      <c r="A770">
        <f t="shared" si="33"/>
        <v>769</v>
      </c>
      <c r="B770" t="str" cm="1">
        <f t="array" ref="B770">INDEX('Enriched Data'!C:C,A770+1)</f>
        <v>BrightView Landscape Services</v>
      </c>
      <c r="C770" s="11" cm="1">
        <f t="array" ref="C770">INDEX('Enriched Data'!G:G,A770+1)</f>
        <v>31138.92</v>
      </c>
      <c r="D770" s="11">
        <f t="shared" si="34"/>
        <v>925409141.72999954</v>
      </c>
      <c r="E770" s="10">
        <f t="shared" si="35"/>
        <v>0.98914878740143697</v>
      </c>
    </row>
    <row r="771" spans="1:5">
      <c r="A771">
        <f t="shared" si="33"/>
        <v>770</v>
      </c>
      <c r="B771" t="str" cm="1">
        <f t="array" ref="B771">INDEX('Enriched Data'!C:C,A771+1)</f>
        <v>East Bay Tire Co.</v>
      </c>
      <c r="C771" s="11" cm="1">
        <f t="array" ref="C771">INDEX('Enriched Data'!G:G,A771+1)</f>
        <v>31100.51</v>
      </c>
      <c r="D771" s="11">
        <f t="shared" si="34"/>
        <v>925440242.23999953</v>
      </c>
      <c r="E771" s="10">
        <f t="shared" si="35"/>
        <v>0.98918203002933724</v>
      </c>
    </row>
    <row r="772" spans="1:5">
      <c r="A772">
        <f t="shared" ref="A772:A835" si="36">A771+1</f>
        <v>771</v>
      </c>
      <c r="B772" t="str" cm="1">
        <f t="array" ref="B772">INDEX('Enriched Data'!C:C,A772+1)</f>
        <v>350 Southgate, LLC</v>
      </c>
      <c r="C772" s="11" cm="1">
        <f t="array" ref="C772">INDEX('Enriched Data'!G:G,A772+1)</f>
        <v>30900</v>
      </c>
      <c r="D772" s="11">
        <f t="shared" ref="D772:D835" si="37">D771+C772</f>
        <v>925471142.23999953</v>
      </c>
      <c r="E772" s="10">
        <f t="shared" ref="E772:E835" si="38">D772/$F$2</f>
        <v>0.98921505833665824</v>
      </c>
    </row>
    <row r="773" spans="1:5">
      <c r="A773">
        <f t="shared" si="36"/>
        <v>772</v>
      </c>
      <c r="B773" t="str" cm="1">
        <f t="array" ref="B773">INDEX('Enriched Data'!C:C,A773+1)</f>
        <v>Inbox Monster</v>
      </c>
      <c r="C773" s="11" cm="1">
        <f t="array" ref="C773">INDEX('Enriched Data'!G:G,A773+1)</f>
        <v>30900</v>
      </c>
      <c r="D773" s="11">
        <f t="shared" si="37"/>
        <v>925502042.23999953</v>
      </c>
      <c r="E773" s="10">
        <f t="shared" si="38"/>
        <v>0.98924808664397923</v>
      </c>
    </row>
    <row r="774" spans="1:5">
      <c r="A774">
        <f t="shared" si="36"/>
        <v>773</v>
      </c>
      <c r="B774" t="str" cm="1">
        <f t="array" ref="B774">INDEX('Enriched Data'!C:C,A774+1)</f>
        <v>Michael D LeBlanc</v>
      </c>
      <c r="C774" s="11" cm="1">
        <f t="array" ref="C774">INDEX('Enriched Data'!G:G,A774+1)</f>
        <v>30800</v>
      </c>
      <c r="D774" s="11">
        <f t="shared" si="37"/>
        <v>925532842.23999953</v>
      </c>
      <c r="E774" s="10">
        <f t="shared" si="38"/>
        <v>0.98928100806357422</v>
      </c>
    </row>
    <row r="775" spans="1:5">
      <c r="A775">
        <f t="shared" si="36"/>
        <v>774</v>
      </c>
      <c r="B775" t="str" cm="1">
        <f t="array" ref="B775">INDEX('Enriched Data'!C:C,A775+1)</f>
        <v>Plote Property Management -DO NOT USE</v>
      </c>
      <c r="C775" s="11" cm="1">
        <f t="array" ref="C775">INDEX('Enriched Data'!G:G,A775+1)</f>
        <v>30750</v>
      </c>
      <c r="D775" s="11">
        <f t="shared" si="37"/>
        <v>925563592.23999953</v>
      </c>
      <c r="E775" s="10">
        <f t="shared" si="38"/>
        <v>0.98931387603930632</v>
      </c>
    </row>
    <row r="776" spans="1:5">
      <c r="A776">
        <f t="shared" si="36"/>
        <v>775</v>
      </c>
      <c r="B776" t="str" cm="1">
        <f t="array" ref="B776">INDEX('Enriched Data'!C:C,A776+1)</f>
        <v>The Knapheide Manufacturing Company</v>
      </c>
      <c r="C776" s="11" cm="1">
        <f t="array" ref="C776">INDEX('Enriched Data'!G:G,A776+1)</f>
        <v>30646.17</v>
      </c>
      <c r="D776" s="11">
        <f t="shared" si="37"/>
        <v>925594238.40999949</v>
      </c>
      <c r="E776" s="10">
        <f t="shared" si="38"/>
        <v>0.98934663303351245</v>
      </c>
    </row>
    <row r="777" spans="1:5">
      <c r="A777">
        <f t="shared" si="36"/>
        <v>776</v>
      </c>
      <c r="B777" t="str" cm="1">
        <f t="array" ref="B777">INDEX('Enriched Data'!C:C,A777+1)</f>
        <v>OverHead Door of Albuquerque</v>
      </c>
      <c r="C777" s="11" cm="1">
        <f t="array" ref="C777">INDEX('Enriched Data'!G:G,A777+1)</f>
        <v>30539.35</v>
      </c>
      <c r="D777" s="11">
        <f t="shared" si="37"/>
        <v>925624777.75999951</v>
      </c>
      <c r="E777" s="10">
        <f t="shared" si="38"/>
        <v>0.98937927585024976</v>
      </c>
    </row>
    <row r="778" spans="1:5">
      <c r="A778">
        <f t="shared" si="36"/>
        <v>777</v>
      </c>
      <c r="B778" t="str" cm="1">
        <f t="array" ref="B778">INDEX('Enriched Data'!C:C,A778+1)</f>
        <v>SLS Consulting, Inc.</v>
      </c>
      <c r="C778" s="11" cm="1">
        <f t="array" ref="C778">INDEX('Enriched Data'!G:G,A778+1)</f>
        <v>30500</v>
      </c>
      <c r="D778" s="11">
        <f t="shared" si="37"/>
        <v>925655277.75999951</v>
      </c>
      <c r="E778" s="10">
        <f t="shared" si="38"/>
        <v>0.98941187660666696</v>
      </c>
    </row>
    <row r="779" spans="1:5">
      <c r="A779">
        <f t="shared" si="36"/>
        <v>778</v>
      </c>
      <c r="B779" t="str" cm="1">
        <f t="array" ref="B779">INDEX('Enriched Data'!C:C,A779+1)</f>
        <v>Interstate Nationalease</v>
      </c>
      <c r="C779" s="11" cm="1">
        <f t="array" ref="C779">INDEX('Enriched Data'!G:G,A779+1)</f>
        <v>30233.53</v>
      </c>
      <c r="D779" s="11">
        <f t="shared" si="37"/>
        <v>925685511.28999949</v>
      </c>
      <c r="E779" s="10">
        <f t="shared" si="38"/>
        <v>0.98944419253936067</v>
      </c>
    </row>
    <row r="780" spans="1:5">
      <c r="A780">
        <f t="shared" si="36"/>
        <v>779</v>
      </c>
      <c r="B780" t="str" cm="1">
        <f t="array" ref="B780">INDEX('Enriched Data'!C:C,A780+1)</f>
        <v>CCC Development Partners, LLC</v>
      </c>
      <c r="C780" s="11" cm="1">
        <f t="array" ref="C780">INDEX('Enriched Data'!G:G,A780+1)</f>
        <v>30000</v>
      </c>
      <c r="D780" s="11">
        <f t="shared" si="37"/>
        <v>925715511.28999949</v>
      </c>
      <c r="E780" s="10">
        <f t="shared" si="38"/>
        <v>0.98947625885714807</v>
      </c>
    </row>
    <row r="781" spans="1:5">
      <c r="A781">
        <f t="shared" si="36"/>
        <v>780</v>
      </c>
      <c r="B781" t="str" cm="1">
        <f t="array" ref="B781">INDEX('Enriched Data'!C:C,A781+1)</f>
        <v>Delta Awnings Express Inc</v>
      </c>
      <c r="C781" s="11" cm="1">
        <f t="array" ref="C781">INDEX('Enriched Data'!G:G,A781+1)</f>
        <v>30000</v>
      </c>
      <c r="D781" s="11">
        <f t="shared" si="37"/>
        <v>925745511.28999949</v>
      </c>
      <c r="E781" s="10">
        <f t="shared" si="38"/>
        <v>0.98950832517493548</v>
      </c>
    </row>
    <row r="782" spans="1:5">
      <c r="A782">
        <f t="shared" si="36"/>
        <v>781</v>
      </c>
      <c r="B782" t="str" cm="1">
        <f t="array" ref="B782">INDEX('Enriched Data'!C:C,A782+1)</f>
        <v>Mihir Transportation Inc.</v>
      </c>
      <c r="C782" s="11" cm="1">
        <f t="array" ref="C782">INDEX('Enriched Data'!G:G,A782+1)</f>
        <v>30000</v>
      </c>
      <c r="D782" s="11">
        <f t="shared" si="37"/>
        <v>925775511.28999949</v>
      </c>
      <c r="E782" s="10">
        <f t="shared" si="38"/>
        <v>0.98954039149272277</v>
      </c>
    </row>
    <row r="783" spans="1:5">
      <c r="A783">
        <f t="shared" si="36"/>
        <v>782</v>
      </c>
      <c r="B783" t="str" cm="1">
        <f t="array" ref="B783">INDEX('Enriched Data'!C:C,A783+1)</f>
        <v>Saad Resources, LLC</v>
      </c>
      <c r="C783" s="11" cm="1">
        <f t="array" ref="C783">INDEX('Enriched Data'!G:G,A783+1)</f>
        <v>30000</v>
      </c>
      <c r="D783" s="11">
        <f t="shared" si="37"/>
        <v>925805511.28999949</v>
      </c>
      <c r="E783" s="10">
        <f t="shared" si="38"/>
        <v>0.98957245781051018</v>
      </c>
    </row>
    <row r="784" spans="1:5">
      <c r="A784">
        <f t="shared" si="36"/>
        <v>783</v>
      </c>
      <c r="B784" t="str" cm="1">
        <f t="array" ref="B784">INDEX('Enriched Data'!C:C,A784+1)</f>
        <v>Davis Hartman Wright LLP</v>
      </c>
      <c r="C784" s="11" cm="1">
        <f t="array" ref="C784">INDEX('Enriched Data'!G:G,A784+1)</f>
        <v>30000</v>
      </c>
      <c r="D784" s="11">
        <f t="shared" si="37"/>
        <v>925835511.28999949</v>
      </c>
      <c r="E784" s="10">
        <f t="shared" si="38"/>
        <v>0.98960452412829747</v>
      </c>
    </row>
    <row r="785" spans="1:5">
      <c r="A785">
        <f t="shared" si="36"/>
        <v>784</v>
      </c>
      <c r="B785" t="str" cm="1">
        <f t="array" ref="B785">INDEX('Enriched Data'!C:C,A785+1)</f>
        <v>Birchwood Creek, LLC-Do Not Use</v>
      </c>
      <c r="C785" s="11" cm="1">
        <f t="array" ref="C785">INDEX('Enriched Data'!G:G,A785+1)</f>
        <v>30000</v>
      </c>
      <c r="D785" s="11">
        <f t="shared" si="37"/>
        <v>925865511.28999949</v>
      </c>
      <c r="E785" s="10">
        <f t="shared" si="38"/>
        <v>0.98963659044608487</v>
      </c>
    </row>
    <row r="786" spans="1:5">
      <c r="A786">
        <f t="shared" si="36"/>
        <v>785</v>
      </c>
      <c r="B786" t="str" cm="1">
        <f t="array" ref="B786">INDEX('Enriched Data'!C:C,A786+1)</f>
        <v>PORT CONSOLIDATED, INC</v>
      </c>
      <c r="C786" s="11" cm="1">
        <f t="array" ref="C786">INDEX('Enriched Data'!G:G,A786+1)</f>
        <v>29949.53</v>
      </c>
      <c r="D786" s="11">
        <f t="shared" si="37"/>
        <v>925895460.81999946</v>
      </c>
      <c r="E786" s="10">
        <f t="shared" si="38"/>
        <v>0.98966860281763691</v>
      </c>
    </row>
    <row r="787" spans="1:5">
      <c r="A787">
        <f t="shared" si="36"/>
        <v>786</v>
      </c>
      <c r="B787" t="str" cm="1">
        <f t="array" ref="B787">INDEX('Enriched Data'!C:C,A787+1)</f>
        <v>Ryan Daniel Burts</v>
      </c>
      <c r="C787" s="11" cm="1">
        <f t="array" ref="C787">INDEX('Enriched Data'!G:G,A787+1)</f>
        <v>29500</v>
      </c>
      <c r="D787" s="11">
        <f t="shared" si="37"/>
        <v>925924960.81999946</v>
      </c>
      <c r="E787" s="10">
        <f t="shared" si="38"/>
        <v>0.98970013469679452</v>
      </c>
    </row>
    <row r="788" spans="1:5">
      <c r="A788">
        <f t="shared" si="36"/>
        <v>787</v>
      </c>
      <c r="B788" t="str" cm="1">
        <f t="array" ref="B788">INDEX('Enriched Data'!C:C,A788+1)</f>
        <v>Universal Premium/FuelMan Fleet</v>
      </c>
      <c r="C788" s="11" cm="1">
        <f t="array" ref="C788">INDEX('Enriched Data'!G:G,A788+1)</f>
        <v>29096.27</v>
      </c>
      <c r="D788" s="11">
        <f t="shared" si="37"/>
        <v>925954057.08999944</v>
      </c>
      <c r="E788" s="10">
        <f t="shared" si="38"/>
        <v>0.98973123503813598</v>
      </c>
    </row>
    <row r="789" spans="1:5">
      <c r="A789">
        <f t="shared" si="36"/>
        <v>788</v>
      </c>
      <c r="B789" t="str" cm="1">
        <f t="array" ref="B789">INDEX('Enriched Data'!C:C,A789+1)</f>
        <v>Maria Julieta Mello</v>
      </c>
      <c r="C789" s="11" cm="1">
        <f t="array" ref="C789">INDEX('Enriched Data'!G:G,A789+1)</f>
        <v>29000</v>
      </c>
      <c r="D789" s="11">
        <f t="shared" si="37"/>
        <v>925983057.08999944</v>
      </c>
      <c r="E789" s="10">
        <f t="shared" si="38"/>
        <v>0.98976223247866379</v>
      </c>
    </row>
    <row r="790" spans="1:5">
      <c r="A790">
        <f t="shared" si="36"/>
        <v>789</v>
      </c>
      <c r="B790" t="str" cm="1">
        <f t="array" ref="B790">INDEX('Enriched Data'!C:C,A790+1)</f>
        <v>Peconic Propane</v>
      </c>
      <c r="C790" s="11" cm="1">
        <f t="array" ref="C790">INDEX('Enriched Data'!G:G,A790+1)</f>
        <v>28921.13</v>
      </c>
      <c r="D790" s="11">
        <f t="shared" si="37"/>
        <v>926011978.21999943</v>
      </c>
      <c r="E790" s="10">
        <f t="shared" si="38"/>
        <v>0.98979314561684206</v>
      </c>
    </row>
    <row r="791" spans="1:5">
      <c r="A791">
        <f t="shared" si="36"/>
        <v>790</v>
      </c>
      <c r="B791" t="str" cm="1">
        <f t="array" ref="B791">INDEX('Enriched Data'!C:C,A791+1)</f>
        <v>Sun Print Management</v>
      </c>
      <c r="C791" s="11" cm="1">
        <f t="array" ref="C791">INDEX('Enriched Data'!G:G,A791+1)</f>
        <v>28819.11</v>
      </c>
      <c r="D791" s="11">
        <f t="shared" si="37"/>
        <v>926040797.32999945</v>
      </c>
      <c r="E791" s="10">
        <f t="shared" si="38"/>
        <v>0.98982394970816245</v>
      </c>
    </row>
    <row r="792" spans="1:5">
      <c r="A792">
        <f t="shared" si="36"/>
        <v>791</v>
      </c>
      <c r="B792" t="str" cm="1">
        <f t="array" ref="B792">INDEX('Enriched Data'!C:C,A792+1)</f>
        <v>The Standard Ins Co of New York</v>
      </c>
      <c r="C792" s="11" cm="1">
        <f t="array" ref="C792">INDEX('Enriched Data'!G:G,A792+1)</f>
        <v>28658.99</v>
      </c>
      <c r="D792" s="11">
        <f t="shared" si="37"/>
        <v>926069456.31999946</v>
      </c>
      <c r="E792" s="10">
        <f t="shared" si="38"/>
        <v>0.98985458265085591</v>
      </c>
    </row>
    <row r="793" spans="1:5">
      <c r="A793">
        <f t="shared" si="36"/>
        <v>792</v>
      </c>
      <c r="B793" t="str" cm="1">
        <f t="array" ref="B793">INDEX('Enriched Data'!C:C,A793+1)</f>
        <v>The Expediter, LLC</v>
      </c>
      <c r="C793" s="11" cm="1">
        <f t="array" ref="C793">INDEX('Enriched Data'!G:G,A793+1)</f>
        <v>28634.33</v>
      </c>
      <c r="D793" s="11">
        <f t="shared" si="37"/>
        <v>926098090.6499995</v>
      </c>
      <c r="E793" s="10">
        <f t="shared" si="38"/>
        <v>0.98988518923503621</v>
      </c>
    </row>
    <row r="794" spans="1:5">
      <c r="A794">
        <f t="shared" si="36"/>
        <v>793</v>
      </c>
      <c r="B794" t="str" cm="1">
        <f t="array" ref="B794">INDEX('Enriched Data'!C:C,A794+1)</f>
        <v>Sela Products, LLC</v>
      </c>
      <c r="C794" s="11" cm="1">
        <f t="array" ref="C794">INDEX('Enriched Data'!G:G,A794+1)</f>
        <v>28577.52</v>
      </c>
      <c r="D794" s="11">
        <f t="shared" si="37"/>
        <v>926126668.16999948</v>
      </c>
      <c r="E794" s="10">
        <f t="shared" si="38"/>
        <v>0.98991573509629938</v>
      </c>
    </row>
    <row r="795" spans="1:5">
      <c r="A795">
        <f t="shared" si="36"/>
        <v>794</v>
      </c>
      <c r="B795" t="str" cm="1">
        <f t="array" ref="B795">INDEX('Enriched Data'!C:C,A795+1)</f>
        <v>USRPI REIT, INC</v>
      </c>
      <c r="C795" s="11" cm="1">
        <f t="array" ref="C795">INDEX('Enriched Data'!G:G,A795+1)</f>
        <v>28566.15</v>
      </c>
      <c r="D795" s="11">
        <f t="shared" si="37"/>
        <v>926155234.31999946</v>
      </c>
      <c r="E795" s="10">
        <f t="shared" si="38"/>
        <v>0.98994626880442804</v>
      </c>
    </row>
    <row r="796" spans="1:5">
      <c r="A796">
        <f t="shared" si="36"/>
        <v>795</v>
      </c>
      <c r="B796" t="str" cm="1">
        <f t="array" ref="B796">INDEX('Enriched Data'!C:C,A796+1)</f>
        <v>EBIP, LLC</v>
      </c>
      <c r="C796" s="11" cm="1">
        <f t="array" ref="C796">INDEX('Enriched Data'!G:G,A796+1)</f>
        <v>28500</v>
      </c>
      <c r="D796" s="11">
        <f t="shared" si="37"/>
        <v>926183734.31999946</v>
      </c>
      <c r="E796" s="10">
        <f t="shared" si="38"/>
        <v>0.98997673180632606</v>
      </c>
    </row>
    <row r="797" spans="1:5">
      <c r="A797">
        <f t="shared" si="36"/>
        <v>796</v>
      </c>
      <c r="B797" t="str" cm="1">
        <f t="array" ref="B797">INDEX('Enriched Data'!C:C,A797+1)</f>
        <v>Holland &amp; Knight LLP</v>
      </c>
      <c r="C797" s="11" cm="1">
        <f t="array" ref="C797">INDEX('Enriched Data'!G:G,A797+1)</f>
        <v>28206.9</v>
      </c>
      <c r="D797" s="11">
        <f t="shared" si="37"/>
        <v>926211941.21999943</v>
      </c>
      <c r="E797" s="10">
        <f t="shared" si="38"/>
        <v>0.99000688152029925</v>
      </c>
    </row>
    <row r="798" spans="1:5">
      <c r="A798">
        <f t="shared" si="36"/>
        <v>797</v>
      </c>
      <c r="B798" t="str" cm="1">
        <f t="array" ref="B798">INDEX('Enriched Data'!C:C,A798+1)</f>
        <v>Bermuda Landscape &amp; Design, Inc.</v>
      </c>
      <c r="C798" s="11" cm="1">
        <f t="array" ref="C798">INDEX('Enriched Data'!G:G,A798+1)</f>
        <v>28088.62</v>
      </c>
      <c r="D798" s="11">
        <f t="shared" si="37"/>
        <v>926240029.83999944</v>
      </c>
      <c r="E798" s="10">
        <f t="shared" si="38"/>
        <v>0.9900369048074702</v>
      </c>
    </row>
    <row r="799" spans="1:5">
      <c r="A799">
        <f t="shared" si="36"/>
        <v>798</v>
      </c>
      <c r="B799" t="str" cm="1">
        <f t="array" ref="B799">INDEX('Enriched Data'!C:C,A799+1)</f>
        <v>Enterprise Property Management LLC</v>
      </c>
      <c r="C799" s="11" cm="1">
        <f t="array" ref="C799">INDEX('Enriched Data'!G:G,A799+1)</f>
        <v>28060</v>
      </c>
      <c r="D799" s="11">
        <f t="shared" si="37"/>
        <v>926268089.83999944</v>
      </c>
      <c r="E799" s="10">
        <f t="shared" si="38"/>
        <v>0.99006689750337395</v>
      </c>
    </row>
    <row r="800" spans="1:5">
      <c r="A800">
        <f t="shared" si="36"/>
        <v>799</v>
      </c>
      <c r="B800" t="str" cm="1">
        <f t="array" ref="B800">INDEX('Enriched Data'!C:C,A800+1)</f>
        <v>Truck Park Management, LLC</v>
      </c>
      <c r="C800" s="11" cm="1">
        <f t="array" ref="C800">INDEX('Enriched Data'!G:G,A800+1)</f>
        <v>28000</v>
      </c>
      <c r="D800" s="11">
        <f t="shared" si="37"/>
        <v>926296089.83999944</v>
      </c>
      <c r="E800" s="10">
        <f t="shared" si="38"/>
        <v>0.99009682606664218</v>
      </c>
    </row>
    <row r="801" spans="1:5">
      <c r="A801">
        <f t="shared" si="36"/>
        <v>800</v>
      </c>
      <c r="B801" t="str" cm="1">
        <f t="array" ref="B801">INDEX('Enriched Data'!C:C,A801+1)</f>
        <v>12 Interactive LLC</v>
      </c>
      <c r="C801" s="11" cm="1">
        <f t="array" ref="C801">INDEX('Enriched Data'!G:G,A801+1)</f>
        <v>27904.19</v>
      </c>
      <c r="D801" s="11">
        <f t="shared" si="37"/>
        <v>926323994.02999949</v>
      </c>
      <c r="E801" s="10">
        <f t="shared" si="38"/>
        <v>0.99012665222078022</v>
      </c>
    </row>
    <row r="802" spans="1:5">
      <c r="A802">
        <f t="shared" si="36"/>
        <v>801</v>
      </c>
      <c r="B802" t="str" cm="1">
        <f t="array" ref="B802">INDEX('Enriched Data'!C:C,A802+1)</f>
        <v>Friends Plumbing</v>
      </c>
      <c r="C802" s="11" cm="1">
        <f t="array" ref="C802">INDEX('Enriched Data'!G:G,A802+1)</f>
        <v>27870.59</v>
      </c>
      <c r="D802" s="11">
        <f t="shared" si="37"/>
        <v>926351864.61999953</v>
      </c>
      <c r="E802" s="10">
        <f t="shared" si="38"/>
        <v>0.99015644246064227</v>
      </c>
    </row>
    <row r="803" spans="1:5">
      <c r="A803">
        <f t="shared" si="36"/>
        <v>802</v>
      </c>
      <c r="B803" t="str" cm="1">
        <f t="array" ref="B803">INDEX('Enriched Data'!C:C,A803+1)</f>
        <v>Fuze, Inc.</v>
      </c>
      <c r="C803" s="11" cm="1">
        <f t="array" ref="C803">INDEX('Enriched Data'!G:G,A803+1)</f>
        <v>27816.97</v>
      </c>
      <c r="D803" s="11">
        <f t="shared" si="37"/>
        <v>926379681.58999956</v>
      </c>
      <c r="E803" s="10">
        <f t="shared" si="38"/>
        <v>0.99018617538730569</v>
      </c>
    </row>
    <row r="804" spans="1:5">
      <c r="A804">
        <f t="shared" si="36"/>
        <v>803</v>
      </c>
      <c r="B804" t="str" cm="1">
        <f t="array" ref="B804">INDEX('Enriched Data'!C:C,A804+1)</f>
        <v>Fox &amp; James NationaLease</v>
      </c>
      <c r="C804" s="11" cm="1">
        <f t="array" ref="C804">INDEX('Enriched Data'!G:G,A804+1)</f>
        <v>27600.06</v>
      </c>
      <c r="D804" s="11">
        <f t="shared" si="37"/>
        <v>926407281.6499995</v>
      </c>
      <c r="E804" s="10">
        <f t="shared" si="38"/>
        <v>0.9902156764638026</v>
      </c>
    </row>
    <row r="805" spans="1:5">
      <c r="A805">
        <f t="shared" si="36"/>
        <v>804</v>
      </c>
      <c r="B805" t="str" cm="1">
        <f t="array" ref="B805">INDEX('Enriched Data'!C:C,A805+1)</f>
        <v>Carolina International Trucks Inc</v>
      </c>
      <c r="C805" s="11" cm="1">
        <f t="array" ref="C805">INDEX('Enriched Data'!G:G,A805+1)</f>
        <v>27545.84</v>
      </c>
      <c r="D805" s="11">
        <f t="shared" si="37"/>
        <v>926434827.48999953</v>
      </c>
      <c r="E805" s="10">
        <f t="shared" si="38"/>
        <v>0.99024511958577466</v>
      </c>
    </row>
    <row r="806" spans="1:5">
      <c r="A806">
        <f t="shared" si="36"/>
        <v>805</v>
      </c>
      <c r="B806" t="str" cm="1">
        <f t="array" ref="B806">INDEX('Enriched Data'!C:C,A806+1)</f>
        <v>Propane Man/Island LP Gas Services</v>
      </c>
      <c r="C806" s="11" cm="1">
        <f t="array" ref="C806">INDEX('Enriched Data'!G:G,A806+1)</f>
        <v>27452.02</v>
      </c>
      <c r="D806" s="11">
        <f t="shared" si="37"/>
        <v>926462279.50999951</v>
      </c>
      <c r="E806" s="10">
        <f t="shared" si="38"/>
        <v>0.99027446242568218</v>
      </c>
    </row>
    <row r="807" spans="1:5">
      <c r="A807">
        <f t="shared" si="36"/>
        <v>806</v>
      </c>
      <c r="B807" t="str" cm="1">
        <f t="array" ref="B807">INDEX('Enriched Data'!C:C,A807+1)</f>
        <v>British Columbia Ministry of Finance</v>
      </c>
      <c r="C807" s="11" cm="1">
        <f t="array" ref="C807">INDEX('Enriched Data'!G:G,A807+1)</f>
        <v>27336.37</v>
      </c>
      <c r="D807" s="11">
        <f t="shared" si="37"/>
        <v>926489615.87999952</v>
      </c>
      <c r="E807" s="10">
        <f t="shared" si="38"/>
        <v>0.99030368164993454</v>
      </c>
    </row>
    <row r="808" spans="1:5">
      <c r="A808">
        <f t="shared" si="36"/>
        <v>807</v>
      </c>
      <c r="B808" t="str" cm="1">
        <f t="array" ref="B808">INDEX('Enriched Data'!C:C,A808+1)</f>
        <v>OReilly Auto Parts</v>
      </c>
      <c r="C808" s="11" cm="1">
        <f t="array" ref="C808">INDEX('Enriched Data'!G:G,A808+1)</f>
        <v>27286.51</v>
      </c>
      <c r="D808" s="11">
        <f t="shared" si="37"/>
        <v>926516902.38999951</v>
      </c>
      <c r="E808" s="10">
        <f t="shared" si="38"/>
        <v>0.99033284757996687</v>
      </c>
    </row>
    <row r="809" spans="1:5">
      <c r="A809">
        <f t="shared" si="36"/>
        <v>808</v>
      </c>
      <c r="B809" t="str" cm="1">
        <f t="array" ref="B809">INDEX('Enriched Data'!C:C,A809+1)</f>
        <v>Freightliner of Arizona, LLC</v>
      </c>
      <c r="C809" s="11" cm="1">
        <f t="array" ref="C809">INDEX('Enriched Data'!G:G,A809+1)</f>
        <v>27273.94</v>
      </c>
      <c r="D809" s="11">
        <f t="shared" si="37"/>
        <v>926544176.32999957</v>
      </c>
      <c r="E809" s="10">
        <f t="shared" si="38"/>
        <v>0.99036200007421205</v>
      </c>
    </row>
    <row r="810" spans="1:5">
      <c r="A810">
        <f t="shared" si="36"/>
        <v>809</v>
      </c>
      <c r="B810" t="str" cm="1">
        <f t="array" ref="B810">INDEX('Enriched Data'!C:C,A810+1)</f>
        <v>Thomson Reuters</v>
      </c>
      <c r="C810" s="11" cm="1">
        <f t="array" ref="C810">INDEX('Enriched Data'!G:G,A810+1)</f>
        <v>27209.52</v>
      </c>
      <c r="D810" s="11">
        <f t="shared" si="37"/>
        <v>926571385.84999955</v>
      </c>
      <c r="E810" s="10">
        <f t="shared" si="38"/>
        <v>0.99039108371138407</v>
      </c>
    </row>
    <row r="811" spans="1:5">
      <c r="A811">
        <f t="shared" si="36"/>
        <v>810</v>
      </c>
      <c r="B811" t="str" cm="1">
        <f t="array" ref="B811">INDEX('Enriched Data'!C:C,A811+1)</f>
        <v>Gulf Controls Corp.</v>
      </c>
      <c r="C811" s="11" cm="1">
        <f t="array" ref="C811">INDEX('Enriched Data'!G:G,A811+1)</f>
        <v>27010.06</v>
      </c>
      <c r="D811" s="11">
        <f t="shared" si="37"/>
        <v>926598395.90999949</v>
      </c>
      <c r="E811" s="10">
        <f t="shared" si="38"/>
        <v>0.99041995415029782</v>
      </c>
    </row>
    <row r="812" spans="1:5">
      <c r="A812">
        <f t="shared" si="36"/>
        <v>811</v>
      </c>
      <c r="B812" t="str" cm="1">
        <f t="array" ref="B812">INDEX('Enriched Data'!C:C,A812+1)</f>
        <v>Steiner Hawaii . c/o Steiner Corp</v>
      </c>
      <c r="C812" s="11" cm="1">
        <f t="array" ref="C812">INDEX('Enriched Data'!G:G,A812+1)</f>
        <v>26955.94</v>
      </c>
      <c r="D812" s="11">
        <f t="shared" si="37"/>
        <v>926625351.84999955</v>
      </c>
      <c r="E812" s="10">
        <f t="shared" si="38"/>
        <v>0.99044876674157445</v>
      </c>
    </row>
    <row r="813" spans="1:5">
      <c r="A813">
        <f t="shared" si="36"/>
        <v>812</v>
      </c>
      <c r="B813" t="str" cm="1">
        <f t="array" ref="B813">INDEX('Enriched Data'!C:C,A813+1)</f>
        <v>8X8, Inc.</v>
      </c>
      <c r="C813" s="11" cm="1">
        <f t="array" ref="C813">INDEX('Enriched Data'!G:G,A813+1)</f>
        <v>26919.41</v>
      </c>
      <c r="D813" s="11">
        <f t="shared" si="37"/>
        <v>926652271.25999951</v>
      </c>
      <c r="E813" s="10">
        <f t="shared" si="38"/>
        <v>0.99047754028676471</v>
      </c>
    </row>
    <row r="814" spans="1:5">
      <c r="A814">
        <f t="shared" si="36"/>
        <v>813</v>
      </c>
      <c r="B814" t="str" cm="1">
        <f t="array" ref="B814">INDEX('Enriched Data'!C:C,A814+1)</f>
        <v>KPMG LLP</v>
      </c>
      <c r="C814" s="11" cm="1">
        <f t="array" ref="C814">INDEX('Enriched Data'!G:G,A814+1)</f>
        <v>26724.5</v>
      </c>
      <c r="D814" s="11">
        <f t="shared" si="37"/>
        <v>926678995.75999951</v>
      </c>
      <c r="E814" s="10">
        <f t="shared" si="38"/>
        <v>0.99050610549708829</v>
      </c>
    </row>
    <row r="815" spans="1:5">
      <c r="A815">
        <f t="shared" si="36"/>
        <v>814</v>
      </c>
      <c r="B815" t="str" cm="1">
        <f t="array" ref="B815">INDEX('Enriched Data'!C:C,A815+1)</f>
        <v>Vortex Industries Inc</v>
      </c>
      <c r="C815" s="11" cm="1">
        <f t="array" ref="C815">INDEX('Enriched Data'!G:G,A815+1)</f>
        <v>26395.55</v>
      </c>
      <c r="D815" s="11">
        <f t="shared" si="37"/>
        <v>926705391.30999947</v>
      </c>
      <c r="E815" s="10">
        <f t="shared" si="38"/>
        <v>0.99053431910023737</v>
      </c>
    </row>
    <row r="816" spans="1:5">
      <c r="A816">
        <f t="shared" si="36"/>
        <v>815</v>
      </c>
      <c r="B816" t="str" cm="1">
        <f t="array" ref="B816">INDEX('Enriched Data'!C:C,A816+1)</f>
        <v>Rachel Esposito</v>
      </c>
      <c r="C816" s="11" cm="1">
        <f t="array" ref="C816">INDEX('Enriched Data'!G:G,A816+1)</f>
        <v>26355</v>
      </c>
      <c r="D816" s="11">
        <f t="shared" si="37"/>
        <v>926731746.30999947</v>
      </c>
      <c r="E816" s="10">
        <f t="shared" si="38"/>
        <v>0.99056248936041358</v>
      </c>
    </row>
    <row r="817" spans="1:5">
      <c r="A817">
        <f t="shared" si="36"/>
        <v>816</v>
      </c>
      <c r="B817" t="str" cm="1">
        <f t="array" ref="B817">INDEX('Enriched Data'!C:C,A817+1)</f>
        <v>Pure Water Partners LLC-WA</v>
      </c>
      <c r="C817" s="11" cm="1">
        <f t="array" ref="C817">INDEX('Enriched Data'!G:G,A817+1)</f>
        <v>26179.35</v>
      </c>
      <c r="D817" s="11">
        <f t="shared" si="37"/>
        <v>926757925.65999949</v>
      </c>
      <c r="E817" s="10">
        <f t="shared" si="38"/>
        <v>0.99059047187229909</v>
      </c>
    </row>
    <row r="818" spans="1:5">
      <c r="A818">
        <f t="shared" si="36"/>
        <v>817</v>
      </c>
      <c r="B818" t="str" cm="1">
        <f t="array" ref="B818">INDEX('Enriched Data'!C:C,A818+1)</f>
        <v>Wendy Malloy</v>
      </c>
      <c r="C818" s="11" cm="1">
        <f t="array" ref="C818">INDEX('Enriched Data'!G:G,A818+1)</f>
        <v>26008.75</v>
      </c>
      <c r="D818" s="11">
        <f t="shared" si="37"/>
        <v>926783934.40999949</v>
      </c>
      <c r="E818" s="10">
        <f t="shared" si="38"/>
        <v>0.99061827203372421</v>
      </c>
    </row>
    <row r="819" spans="1:5">
      <c r="A819">
        <f t="shared" si="36"/>
        <v>818</v>
      </c>
      <c r="B819" t="str" cm="1">
        <f t="array" ref="B819">INDEX('Enriched Data'!C:C,A819+1)</f>
        <v>Covington-Albany Road-TRUX JV LLC</v>
      </c>
      <c r="C819" s="11" cm="1">
        <f t="array" ref="C819">INDEX('Enriched Data'!G:G,A819+1)</f>
        <v>26000</v>
      </c>
      <c r="D819" s="11">
        <f t="shared" si="37"/>
        <v>926809934.40999949</v>
      </c>
      <c r="E819" s="10">
        <f t="shared" si="38"/>
        <v>0.99064606284247325</v>
      </c>
    </row>
    <row r="820" spans="1:5">
      <c r="A820">
        <f t="shared" si="36"/>
        <v>819</v>
      </c>
      <c r="B820" t="str" cm="1">
        <f t="array" ref="B820">INDEX('Enriched Data'!C:C,A820+1)</f>
        <v>Mary Jane Michael</v>
      </c>
      <c r="C820" s="11" cm="1">
        <f t="array" ref="C820">INDEX('Enriched Data'!G:G,A820+1)</f>
        <v>25980</v>
      </c>
      <c r="D820" s="11">
        <f t="shared" si="37"/>
        <v>926835914.40999949</v>
      </c>
      <c r="E820" s="10">
        <f t="shared" si="38"/>
        <v>0.99067383227367711</v>
      </c>
    </row>
    <row r="821" spans="1:5">
      <c r="A821">
        <f t="shared" si="36"/>
        <v>820</v>
      </c>
      <c r="B821" t="str" cm="1">
        <f t="array" ref="B821">INDEX('Enriched Data'!C:C,A821+1)</f>
        <v>Diligent Corporation</v>
      </c>
      <c r="C821" s="11" cm="1">
        <f t="array" ref="C821">INDEX('Enriched Data'!G:G,A821+1)</f>
        <v>25603.45</v>
      </c>
      <c r="D821" s="11">
        <f t="shared" si="37"/>
        <v>926861517.85999954</v>
      </c>
      <c r="E821" s="10">
        <f t="shared" si="38"/>
        <v>0.9907011992191489</v>
      </c>
    </row>
    <row r="822" spans="1:5">
      <c r="A822">
        <f t="shared" si="36"/>
        <v>821</v>
      </c>
      <c r="B822" t="str" cm="1">
        <f t="array" ref="B822">INDEX('Enriched Data'!C:C,A822+1)</f>
        <v>Bright Star Import Export Corp</v>
      </c>
      <c r="C822" s="11" cm="1">
        <f t="array" ref="C822">INDEX('Enriched Data'!G:G,A822+1)</f>
        <v>25600</v>
      </c>
      <c r="D822" s="11">
        <f t="shared" si="37"/>
        <v>926887117.85999954</v>
      </c>
      <c r="E822" s="10">
        <f t="shared" si="38"/>
        <v>0.99072856247699415</v>
      </c>
    </row>
    <row r="823" spans="1:5">
      <c r="A823">
        <f t="shared" si="36"/>
        <v>822</v>
      </c>
      <c r="B823" t="str" cm="1">
        <f t="array" ref="B823">INDEX('Enriched Data'!C:C,A823+1)</f>
        <v>Collin Keith Plyler</v>
      </c>
      <c r="C823" s="11" cm="1">
        <f t="array" ref="C823">INDEX('Enriched Data'!G:G,A823+1)</f>
        <v>25510</v>
      </c>
      <c r="D823" s="11">
        <f t="shared" si="37"/>
        <v>926912627.85999954</v>
      </c>
      <c r="E823" s="10">
        <f t="shared" si="38"/>
        <v>0.99075582953588592</v>
      </c>
    </row>
    <row r="824" spans="1:5">
      <c r="A824">
        <f t="shared" si="36"/>
        <v>823</v>
      </c>
      <c r="B824" t="str" cm="1">
        <f t="array" ref="B824">INDEX('Enriched Data'!C:C,A824+1)</f>
        <v>Stream Logistics</v>
      </c>
      <c r="C824" s="11" cm="1">
        <f t="array" ref="C824">INDEX('Enriched Data'!G:G,A824+1)</f>
        <v>25460</v>
      </c>
      <c r="D824" s="11">
        <f t="shared" si="37"/>
        <v>926938087.85999954</v>
      </c>
      <c r="E824" s="10">
        <f t="shared" si="38"/>
        <v>0.99078304315091481</v>
      </c>
    </row>
    <row r="825" spans="1:5">
      <c r="A825">
        <f t="shared" si="36"/>
        <v>824</v>
      </c>
      <c r="B825" t="str" cm="1">
        <f t="array" ref="B825">INDEX('Enriched Data'!C:C,A825+1)</f>
        <v>Propane Pete dba Kangaroo</v>
      </c>
      <c r="C825" s="11" cm="1">
        <f t="array" ref="C825">INDEX('Enriched Data'!G:G,A825+1)</f>
        <v>25405.42</v>
      </c>
      <c r="D825" s="11">
        <f t="shared" si="37"/>
        <v>926963493.27999949</v>
      </c>
      <c r="E825" s="10">
        <f t="shared" si="38"/>
        <v>0.99081019842662288</v>
      </c>
    </row>
    <row r="826" spans="1:5">
      <c r="A826">
        <f t="shared" si="36"/>
        <v>825</v>
      </c>
      <c r="B826" t="str" cm="1">
        <f t="array" ref="B826">INDEX('Enriched Data'!C:C,A826+1)</f>
        <v>Laser Connection</v>
      </c>
      <c r="C826" s="11" cm="1">
        <f t="array" ref="C826">INDEX('Enriched Data'!G:G,A826+1)</f>
        <v>25396.46</v>
      </c>
      <c r="D826" s="11">
        <f t="shared" si="37"/>
        <v>926988889.73999953</v>
      </c>
      <c r="E826" s="10">
        <f t="shared" si="38"/>
        <v>0.99083734412519064</v>
      </c>
    </row>
    <row r="827" spans="1:5">
      <c r="A827">
        <f t="shared" si="36"/>
        <v>826</v>
      </c>
      <c r="B827" t="str" cm="1">
        <f t="array" ref="B827">INDEX('Enriched Data'!C:C,A827+1)</f>
        <v>Pape Material Handling</v>
      </c>
      <c r="C827" s="11" cm="1">
        <f t="array" ref="C827">INDEX('Enriched Data'!G:G,A827+1)</f>
        <v>25354.240000000002</v>
      </c>
      <c r="D827" s="11">
        <f t="shared" si="37"/>
        <v>927014243.97999954</v>
      </c>
      <c r="E827" s="10">
        <f t="shared" si="38"/>
        <v>0.99086444469576063</v>
      </c>
    </row>
    <row r="828" spans="1:5">
      <c r="A828">
        <f t="shared" si="36"/>
        <v>827</v>
      </c>
      <c r="B828" t="str" cm="1">
        <f t="array" ref="B828">INDEX('Enriched Data'!C:C,A828+1)</f>
        <v>Axecel Construction, LLC</v>
      </c>
      <c r="C828" s="11" cm="1">
        <f t="array" ref="C828">INDEX('Enriched Data'!G:G,A828+1)</f>
        <v>25352.49</v>
      </c>
      <c r="D828" s="11">
        <f t="shared" si="37"/>
        <v>927039596.46999955</v>
      </c>
      <c r="E828" s="10">
        <f t="shared" si="38"/>
        <v>0.99089154339579533</v>
      </c>
    </row>
    <row r="829" spans="1:5">
      <c r="A829">
        <f t="shared" si="36"/>
        <v>828</v>
      </c>
      <c r="B829" t="str" cm="1">
        <f t="array" ref="B829">INDEX('Enriched Data'!C:C,A829+1)</f>
        <v>Bolts Plus</v>
      </c>
      <c r="C829" s="11" cm="1">
        <f t="array" ref="C829">INDEX('Enriched Data'!G:G,A829+1)</f>
        <v>25352.12</v>
      </c>
      <c r="D829" s="11">
        <f t="shared" si="37"/>
        <v>927064948.58999956</v>
      </c>
      <c r="E829" s="10">
        <f t="shared" si="38"/>
        <v>0.99091864170034538</v>
      </c>
    </row>
    <row r="830" spans="1:5">
      <c r="A830">
        <f t="shared" si="36"/>
        <v>829</v>
      </c>
      <c r="B830" t="str" cm="1">
        <f t="array" ref="B830">INDEX('Enriched Data'!C:C,A830+1)</f>
        <v>Columbia Paint</v>
      </c>
      <c r="C830" s="11" cm="1">
        <f t="array" ref="C830">INDEX('Enriched Data'!G:G,A830+1)</f>
        <v>25020.880000000001</v>
      </c>
      <c r="D830" s="11">
        <f t="shared" si="37"/>
        <v>927089969.46999955</v>
      </c>
      <c r="E830" s="10">
        <f t="shared" si="38"/>
        <v>0.99094538594999204</v>
      </c>
    </row>
    <row r="831" spans="1:5">
      <c r="A831">
        <f t="shared" si="36"/>
        <v>830</v>
      </c>
      <c r="B831" t="str" cm="1">
        <f t="array" ref="B831">INDEX('Enriched Data'!C:C,A831+1)</f>
        <v>Greater Tampa Chamber of Commerce</v>
      </c>
      <c r="C831" s="11" cm="1">
        <f t="array" ref="C831">INDEX('Enriched Data'!G:G,A831+1)</f>
        <v>25000</v>
      </c>
      <c r="D831" s="11">
        <f t="shared" si="37"/>
        <v>927114969.46999955</v>
      </c>
      <c r="E831" s="10">
        <f t="shared" si="38"/>
        <v>0.99097210788148149</v>
      </c>
    </row>
    <row r="832" spans="1:5">
      <c r="A832">
        <f t="shared" si="36"/>
        <v>831</v>
      </c>
      <c r="B832" t="str" cm="1">
        <f t="array" ref="B832">INDEX('Enriched Data'!C:C,A832+1)</f>
        <v>Moore, OBrien &amp; Foti</v>
      </c>
      <c r="C832" s="11" cm="1">
        <f t="array" ref="C832">INDEX('Enriched Data'!G:G,A832+1)</f>
        <v>25000</v>
      </c>
      <c r="D832" s="11">
        <f t="shared" si="37"/>
        <v>927139969.46999955</v>
      </c>
      <c r="E832" s="10">
        <f t="shared" si="38"/>
        <v>0.99099882981297094</v>
      </c>
    </row>
    <row r="833" spans="1:5">
      <c r="A833">
        <f t="shared" si="36"/>
        <v>832</v>
      </c>
      <c r="B833" t="str" cm="1">
        <f t="array" ref="B833">INDEX('Enriched Data'!C:C,A833+1)</f>
        <v>Southern Atlantic Group</v>
      </c>
      <c r="C833" s="11" cm="1">
        <f t="array" ref="C833">INDEX('Enriched Data'!G:G,A833+1)</f>
        <v>25000</v>
      </c>
      <c r="D833" s="11">
        <f t="shared" si="37"/>
        <v>927164969.46999955</v>
      </c>
      <c r="E833" s="10">
        <f t="shared" si="38"/>
        <v>0.9910255517444605</v>
      </c>
    </row>
    <row r="834" spans="1:5">
      <c r="A834">
        <f t="shared" si="36"/>
        <v>833</v>
      </c>
      <c r="B834" t="str" cm="1">
        <f t="array" ref="B834">INDEX('Enriched Data'!C:C,A834+1)</f>
        <v>Pro-Vac LLC</v>
      </c>
      <c r="C834" s="11" cm="1">
        <f t="array" ref="C834">INDEX('Enriched Data'!G:G,A834+1)</f>
        <v>24877.66</v>
      </c>
      <c r="D834" s="11">
        <f t="shared" si="37"/>
        <v>927189847.12999952</v>
      </c>
      <c r="E834" s="10">
        <f t="shared" si="38"/>
        <v>0.99105214290950594</v>
      </c>
    </row>
    <row r="835" spans="1:5">
      <c r="A835">
        <f t="shared" si="36"/>
        <v>834</v>
      </c>
      <c r="B835" t="str" cm="1">
        <f t="array" ref="B835">INDEX('Enriched Data'!C:C,A835+1)</f>
        <v>Alain V. Bonavida</v>
      </c>
      <c r="C835" s="11" cm="1">
        <f t="array" ref="C835">INDEX('Enriched Data'!G:G,A835+1)</f>
        <v>24750</v>
      </c>
      <c r="D835" s="11">
        <f t="shared" si="37"/>
        <v>927214597.12999952</v>
      </c>
      <c r="E835" s="10">
        <f t="shared" si="38"/>
        <v>0.99107859762168049</v>
      </c>
    </row>
    <row r="836" spans="1:5">
      <c r="A836">
        <f t="shared" ref="A836:A899" si="39">A835+1</f>
        <v>835</v>
      </c>
      <c r="B836" t="str" cm="1">
        <f t="array" ref="B836">INDEX('Enriched Data'!C:C,A836+1)</f>
        <v>Josef Gas</v>
      </c>
      <c r="C836" s="11" cm="1">
        <f t="array" ref="C836">INDEX('Enriched Data'!G:G,A836+1)</f>
        <v>24517.85</v>
      </c>
      <c r="D836" s="11">
        <f t="shared" ref="D836:D899" si="40">D835+C836</f>
        <v>927239114.97999954</v>
      </c>
      <c r="E836" s="10">
        <f t="shared" ref="E836:E899" si="41">D836/$F$2</f>
        <v>0.99110480419399927</v>
      </c>
    </row>
    <row r="837" spans="1:5">
      <c r="A837">
        <f t="shared" si="39"/>
        <v>836</v>
      </c>
      <c r="B837" t="str" cm="1">
        <f t="array" ref="B837">INDEX('Enriched Data'!C:C,A837+1)</f>
        <v>San Diego Gas &amp; Electric Company</v>
      </c>
      <c r="C837" s="11" cm="1">
        <f t="array" ref="C837">INDEX('Enriched Data'!G:G,A837+1)</f>
        <v>24500</v>
      </c>
      <c r="D837" s="11">
        <f t="shared" si="40"/>
        <v>927263614.97999954</v>
      </c>
      <c r="E837" s="10">
        <f t="shared" si="41"/>
        <v>0.99113099168685903</v>
      </c>
    </row>
    <row r="838" spans="1:5">
      <c r="A838">
        <f t="shared" si="39"/>
        <v>837</v>
      </c>
      <c r="B838" t="str" cm="1">
        <f t="array" ref="B838">INDEX('Enriched Data'!C:C,A838+1)</f>
        <v>DuraServ dba Just Rite Equipment</v>
      </c>
      <c r="C838" s="11" cm="1">
        <f t="array" ref="C838">INDEX('Enriched Data'!G:G,A838+1)</f>
        <v>24453.1</v>
      </c>
      <c r="D838" s="11">
        <f t="shared" si="40"/>
        <v>927288068.07999957</v>
      </c>
      <c r="E838" s="10">
        <f t="shared" si="41"/>
        <v>0.99115712904937525</v>
      </c>
    </row>
    <row r="839" spans="1:5">
      <c r="A839">
        <f t="shared" si="39"/>
        <v>838</v>
      </c>
      <c r="B839" t="str" cm="1">
        <f t="array" ref="B839">INDEX('Enriched Data'!C:C,A839+1)</f>
        <v>The Boyd Group (U.S.) Inc.</v>
      </c>
      <c r="C839" s="11" cm="1">
        <f t="array" ref="C839">INDEX('Enriched Data'!G:G,A839+1)</f>
        <v>24431.23</v>
      </c>
      <c r="D839" s="11">
        <f t="shared" si="40"/>
        <v>927312499.30999959</v>
      </c>
      <c r="E839" s="10">
        <f t="shared" si="41"/>
        <v>0.99118324303554572</v>
      </c>
    </row>
    <row r="840" spans="1:5">
      <c r="A840">
        <f t="shared" si="39"/>
        <v>839</v>
      </c>
      <c r="B840" t="str" cm="1">
        <f t="array" ref="B840">INDEX('Enriched Data'!C:C,A840+1)</f>
        <v>Securitas Technology Corporation</v>
      </c>
      <c r="C840" s="11" cm="1">
        <f t="array" ref="C840">INDEX('Enriched Data'!G:G,A840+1)</f>
        <v>24410.23</v>
      </c>
      <c r="D840" s="11">
        <f t="shared" si="40"/>
        <v>927336909.5399996</v>
      </c>
      <c r="E840" s="10">
        <f t="shared" si="41"/>
        <v>0.99120933457529392</v>
      </c>
    </row>
    <row r="841" spans="1:5">
      <c r="A841">
        <f t="shared" si="39"/>
        <v>840</v>
      </c>
      <c r="B841" t="str" cm="1">
        <f t="array" ref="B841">INDEX('Enriched Data'!C:C,A841+1)</f>
        <v>Schellman &amp; Company, LLC</v>
      </c>
      <c r="C841" s="11" cm="1">
        <f t="array" ref="C841">INDEX('Enriched Data'!G:G,A841+1)</f>
        <v>24400</v>
      </c>
      <c r="D841" s="11">
        <f t="shared" si="40"/>
        <v>927361309.5399996</v>
      </c>
      <c r="E841" s="10">
        <f t="shared" si="41"/>
        <v>0.99123541518042757</v>
      </c>
    </row>
    <row r="842" spans="1:5">
      <c r="A842">
        <f t="shared" si="39"/>
        <v>841</v>
      </c>
      <c r="B842" t="str" cm="1">
        <f t="array" ref="B842">INDEX('Enriched Data'!C:C,A842+1)</f>
        <v>Natalia Perez</v>
      </c>
      <c r="C842" s="11" cm="1">
        <f t="array" ref="C842">INDEX('Enriched Data'!G:G,A842+1)</f>
        <v>24262.45</v>
      </c>
      <c r="D842" s="11">
        <f t="shared" si="40"/>
        <v>927385571.98999965</v>
      </c>
      <c r="E842" s="10">
        <f t="shared" si="41"/>
        <v>0.9912613487614943</v>
      </c>
    </row>
    <row r="843" spans="1:5">
      <c r="A843">
        <f t="shared" si="39"/>
        <v>842</v>
      </c>
      <c r="B843" t="str" cm="1">
        <f t="array" ref="B843">INDEX('Enriched Data'!C:C,A843+1)</f>
        <v>Marmic Fire &amp; Safety</v>
      </c>
      <c r="C843" s="11" cm="1">
        <f t="array" ref="C843">INDEX('Enriched Data'!G:G,A843+1)</f>
        <v>24161.38</v>
      </c>
      <c r="D843" s="11">
        <f t="shared" si="40"/>
        <v>927409733.36999965</v>
      </c>
      <c r="E843" s="10">
        <f t="shared" si="41"/>
        <v>0.99128717431113633</v>
      </c>
    </row>
    <row r="844" spans="1:5">
      <c r="A844">
        <f t="shared" si="39"/>
        <v>843</v>
      </c>
      <c r="B844" t="str" cm="1">
        <f t="array" ref="B844">INDEX('Enriched Data'!C:C,A844+1)</f>
        <v>Mohammad Frotan</v>
      </c>
      <c r="C844" s="11" cm="1">
        <f t="array" ref="C844">INDEX('Enriched Data'!G:G,A844+1)</f>
        <v>24000</v>
      </c>
      <c r="D844" s="11">
        <f t="shared" si="40"/>
        <v>927433733.36999965</v>
      </c>
      <c r="E844" s="10">
        <f t="shared" si="41"/>
        <v>0.9913128273653663</v>
      </c>
    </row>
    <row r="845" spans="1:5">
      <c r="A845">
        <f t="shared" si="39"/>
        <v>844</v>
      </c>
      <c r="B845" t="str" cm="1">
        <f t="array" ref="B845">INDEX('Enriched Data'!C:C,A845+1)</f>
        <v>Search Solution Group, Inc.</v>
      </c>
      <c r="C845" s="11" cm="1">
        <f t="array" ref="C845">INDEX('Enriched Data'!G:G,A845+1)</f>
        <v>24000</v>
      </c>
      <c r="D845" s="11">
        <f t="shared" si="40"/>
        <v>927457733.36999965</v>
      </c>
      <c r="E845" s="10">
        <f t="shared" si="41"/>
        <v>0.99133848041959616</v>
      </c>
    </row>
    <row r="846" spans="1:5">
      <c r="A846">
        <f t="shared" si="39"/>
        <v>845</v>
      </c>
      <c r="B846" t="str" cm="1">
        <f t="array" ref="B846">INDEX('Enriched Data'!C:C,A846+1)</f>
        <v>Jessey Booco-Ramirez</v>
      </c>
      <c r="C846" s="11" cm="1">
        <f t="array" ref="C846">INDEX('Enriched Data'!G:G,A846+1)</f>
        <v>23630</v>
      </c>
      <c r="D846" s="11">
        <f t="shared" si="40"/>
        <v>927481363.36999965</v>
      </c>
      <c r="E846" s="10">
        <f t="shared" si="41"/>
        <v>0.99136373798923993</v>
      </c>
    </row>
    <row r="847" spans="1:5">
      <c r="A847">
        <f t="shared" si="39"/>
        <v>846</v>
      </c>
      <c r="B847" t="str" cm="1">
        <f t="array" ref="B847">INDEX('Enriched Data'!C:C,A847+1)</f>
        <v>Foothills Group, Inc.</v>
      </c>
      <c r="C847" s="11" cm="1">
        <f t="array" ref="C847">INDEX('Enriched Data'!G:G,A847+1)</f>
        <v>23627.08</v>
      </c>
      <c r="D847" s="11">
        <f t="shared" si="40"/>
        <v>927504990.44999969</v>
      </c>
      <c r="E847" s="10">
        <f t="shared" si="41"/>
        <v>0.99138899243776224</v>
      </c>
    </row>
    <row r="848" spans="1:5">
      <c r="A848">
        <f t="shared" si="39"/>
        <v>847</v>
      </c>
      <c r="B848" t="str" cm="1">
        <f t="array" ref="B848">INDEX('Enriched Data'!C:C,A848+1)</f>
        <v>Timothy Harlow</v>
      </c>
      <c r="C848" s="11" cm="1">
        <f t="array" ref="C848">INDEX('Enriched Data'!G:G,A848+1)</f>
        <v>23295</v>
      </c>
      <c r="D848" s="11">
        <f t="shared" si="40"/>
        <v>927528285.44999969</v>
      </c>
      <c r="E848" s="10">
        <f t="shared" si="41"/>
        <v>0.99141389193352414</v>
      </c>
    </row>
    <row r="849" spans="1:5">
      <c r="A849">
        <f t="shared" si="39"/>
        <v>848</v>
      </c>
      <c r="B849" t="str" cm="1">
        <f t="array" ref="B849">INDEX('Enriched Data'!C:C,A849+1)</f>
        <v>Brennan Equipment Services</v>
      </c>
      <c r="C849" s="11" cm="1">
        <f t="array" ref="C849">INDEX('Enriched Data'!G:G,A849+1)</f>
        <v>23247.25</v>
      </c>
      <c r="D849" s="11">
        <f t="shared" si="40"/>
        <v>927551532.69999969</v>
      </c>
      <c r="E849" s="10">
        <f t="shared" si="41"/>
        <v>0.99143874039039692</v>
      </c>
    </row>
    <row r="850" spans="1:5">
      <c r="A850">
        <f t="shared" si="39"/>
        <v>849</v>
      </c>
      <c r="B850" t="str" cm="1">
        <f t="array" ref="B850">INDEX('Enriched Data'!C:C,A850+1)</f>
        <v>Facilities Maintenance Corp.</v>
      </c>
      <c r="C850" s="11" cm="1">
        <f t="array" ref="C850">INDEX('Enriched Data'!G:G,A850+1)</f>
        <v>23206.66</v>
      </c>
      <c r="D850" s="11">
        <f t="shared" si="40"/>
        <v>927574739.35999966</v>
      </c>
      <c r="E850" s="10">
        <f t="shared" si="41"/>
        <v>0.99146354546154158</v>
      </c>
    </row>
    <row r="851" spans="1:5">
      <c r="A851">
        <f t="shared" si="39"/>
        <v>850</v>
      </c>
      <c r="B851" t="str" cm="1">
        <f t="array" ref="B851">INDEX('Enriched Data'!C:C,A851+1)</f>
        <v>The Patch Company LLC</v>
      </c>
      <c r="C851" s="11" cm="1">
        <f t="array" ref="C851">INDEX('Enriched Data'!G:G,A851+1)</f>
        <v>22871.9</v>
      </c>
      <c r="D851" s="11">
        <f t="shared" si="40"/>
        <v>927597611.25999963</v>
      </c>
      <c r="E851" s="10">
        <f t="shared" si="41"/>
        <v>0.99148799271533494</v>
      </c>
    </row>
    <row r="852" spans="1:5">
      <c r="A852">
        <f t="shared" si="39"/>
        <v>851</v>
      </c>
      <c r="B852" t="str" cm="1">
        <f t="array" ref="B852">INDEX('Enriched Data'!C:C,A852+1)</f>
        <v>Chico Scrap Metal, Inc</v>
      </c>
      <c r="C852" s="11" cm="1">
        <f t="array" ref="C852">INDEX('Enriched Data'!G:G,A852+1)</f>
        <v>22750</v>
      </c>
      <c r="D852" s="11">
        <f t="shared" si="40"/>
        <v>927620361.25999963</v>
      </c>
      <c r="E852" s="10">
        <f t="shared" si="41"/>
        <v>0.99151230967299042</v>
      </c>
    </row>
    <row r="853" spans="1:5">
      <c r="A853">
        <f t="shared" si="39"/>
        <v>852</v>
      </c>
      <c r="B853" t="str" cm="1">
        <f t="array" ref="B853">INDEX('Enriched Data'!C:C,A853+1)</f>
        <v>Lifecare Inc</v>
      </c>
      <c r="C853" s="11" cm="1">
        <f t="array" ref="C853">INDEX('Enriched Data'!G:G,A853+1)</f>
        <v>22620.38</v>
      </c>
      <c r="D853" s="11">
        <f t="shared" si="40"/>
        <v>927642981.63999963</v>
      </c>
      <c r="E853" s="10">
        <f t="shared" si="41"/>
        <v>0.99153648808277539</v>
      </c>
    </row>
    <row r="854" spans="1:5">
      <c r="A854">
        <f t="shared" si="39"/>
        <v>853</v>
      </c>
      <c r="B854" t="str" cm="1">
        <f t="array" ref="B854">INDEX('Enriched Data'!C:C,A854+1)</f>
        <v>Best Rolling Doors, Inc.</v>
      </c>
      <c r="C854" s="11" cm="1">
        <f t="array" ref="C854">INDEX('Enriched Data'!G:G,A854+1)</f>
        <v>22595</v>
      </c>
      <c r="D854" s="11">
        <f t="shared" si="40"/>
        <v>927665576.63999963</v>
      </c>
      <c r="E854" s="10">
        <f t="shared" si="41"/>
        <v>0.9915606393644556</v>
      </c>
    </row>
    <row r="855" spans="1:5">
      <c r="A855">
        <f t="shared" si="39"/>
        <v>854</v>
      </c>
      <c r="B855" t="str" cm="1">
        <f t="array" ref="B855">INDEX('Enriched Data'!C:C,A855+1)</f>
        <v>BFPE International</v>
      </c>
      <c r="C855" s="11" cm="1">
        <f t="array" ref="C855">INDEX('Enriched Data'!G:G,A855+1)</f>
        <v>22539.26</v>
      </c>
      <c r="D855" s="11">
        <f t="shared" si="40"/>
        <v>927688115.89999962</v>
      </c>
      <c r="E855" s="10">
        <f t="shared" si="41"/>
        <v>0.99158473106691736</v>
      </c>
    </row>
    <row r="856" spans="1:5">
      <c r="A856">
        <f t="shared" si="39"/>
        <v>855</v>
      </c>
      <c r="B856" t="str" cm="1">
        <f t="array" ref="B856">INDEX('Enriched Data'!C:C,A856+1)</f>
        <v>Kodiak Equipment Services Inc</v>
      </c>
      <c r="C856" s="11" cm="1">
        <f t="array" ref="C856">INDEX('Enriched Data'!G:G,A856+1)</f>
        <v>22500.98</v>
      </c>
      <c r="D856" s="11">
        <f t="shared" si="40"/>
        <v>927710616.87999964</v>
      </c>
      <c r="E856" s="10">
        <f t="shared" si="41"/>
        <v>0.99160878185275758</v>
      </c>
    </row>
    <row r="857" spans="1:5">
      <c r="A857">
        <f t="shared" si="39"/>
        <v>856</v>
      </c>
      <c r="B857" t="str" cm="1">
        <f t="array" ref="B857">INDEX('Enriched Data'!C:C,A857+1)</f>
        <v>Lalezary Law Firm LLP dba The Law</v>
      </c>
      <c r="C857" s="11" cm="1">
        <f t="array" ref="C857">INDEX('Enriched Data'!G:G,A857+1)</f>
        <v>22500</v>
      </c>
      <c r="D857" s="11">
        <f t="shared" si="40"/>
        <v>927733116.87999964</v>
      </c>
      <c r="E857" s="10">
        <f t="shared" si="41"/>
        <v>0.99163283159109805</v>
      </c>
    </row>
    <row r="858" spans="1:5">
      <c r="A858">
        <f t="shared" si="39"/>
        <v>857</v>
      </c>
      <c r="B858" t="str" cm="1">
        <f t="array" ref="B858">INDEX('Enriched Data'!C:C,A858+1)</f>
        <v>Wyott Capital Group</v>
      </c>
      <c r="C858" s="11" cm="1">
        <f t="array" ref="C858">INDEX('Enriched Data'!G:G,A858+1)</f>
        <v>22450</v>
      </c>
      <c r="D858" s="11">
        <f t="shared" si="40"/>
        <v>927755566.87999964</v>
      </c>
      <c r="E858" s="10">
        <f t="shared" si="41"/>
        <v>0.99165682788557563</v>
      </c>
    </row>
    <row r="859" spans="1:5">
      <c r="A859">
        <f t="shared" si="39"/>
        <v>858</v>
      </c>
      <c r="B859" t="str" cm="1">
        <f t="array" ref="B859">INDEX('Enriched Data'!C:C,A859+1)</f>
        <v>T&amp;W Tire, LLC</v>
      </c>
      <c r="C859" s="11" cm="1">
        <f t="array" ref="C859">INDEX('Enriched Data'!G:G,A859+1)</f>
        <v>22400.78</v>
      </c>
      <c r="D859" s="11">
        <f t="shared" si="40"/>
        <v>927777967.65999961</v>
      </c>
      <c r="E859" s="10">
        <f t="shared" si="41"/>
        <v>0.99168077156991441</v>
      </c>
    </row>
    <row r="860" spans="1:5">
      <c r="A860">
        <f t="shared" si="39"/>
        <v>859</v>
      </c>
      <c r="B860" t="str" cm="1">
        <f t="array" ref="B860">INDEX('Enriched Data'!C:C,A860+1)</f>
        <v>Bela Tech Electrical Contractor LLC</v>
      </c>
      <c r="C860" s="11" cm="1">
        <f t="array" ref="C860">INDEX('Enriched Data'!G:G,A860+1)</f>
        <v>22370</v>
      </c>
      <c r="D860" s="11">
        <f t="shared" si="40"/>
        <v>927800337.65999961</v>
      </c>
      <c r="E860" s="10">
        <f t="shared" si="41"/>
        <v>0.99170468235421116</v>
      </c>
    </row>
    <row r="861" spans="1:5">
      <c r="A861">
        <f t="shared" si="39"/>
        <v>860</v>
      </c>
      <c r="B861" t="str" cm="1">
        <f t="array" ref="B861">INDEX('Enriched Data'!C:C,A861+1)</f>
        <v>Luckys Truck &amp; Trailer</v>
      </c>
      <c r="C861" s="11" cm="1">
        <f t="array" ref="C861">INDEX('Enriched Data'!G:G,A861+1)</f>
        <v>22359.05</v>
      </c>
      <c r="D861" s="11">
        <f t="shared" si="40"/>
        <v>927822696.70999956</v>
      </c>
      <c r="E861" s="10">
        <f t="shared" si="41"/>
        <v>0.99172858143430198</v>
      </c>
    </row>
    <row r="862" spans="1:5">
      <c r="A862">
        <f t="shared" si="39"/>
        <v>861</v>
      </c>
      <c r="B862" t="str" cm="1">
        <f t="array" ref="B862">INDEX('Enriched Data'!C:C,A862+1)</f>
        <v>Les Produits Forestiers MES Inc</v>
      </c>
      <c r="C862" s="11" cm="1">
        <f t="array" ref="C862">INDEX('Enriched Data'!G:G,A862+1)</f>
        <v>22103.06</v>
      </c>
      <c r="D862" s="11">
        <f t="shared" si="40"/>
        <v>927844799.7699995</v>
      </c>
      <c r="E862" s="10">
        <f t="shared" si="41"/>
        <v>0.99175220689250299</v>
      </c>
    </row>
    <row r="863" spans="1:5">
      <c r="A863">
        <f t="shared" si="39"/>
        <v>862</v>
      </c>
      <c r="B863" t="str" cm="1">
        <f t="array" ref="B863">INDEX('Enriched Data'!C:C,A863+1)</f>
        <v>Innova Solutions Inc.</v>
      </c>
      <c r="C863" s="11" cm="1">
        <f t="array" ref="C863">INDEX('Enriched Data'!G:G,A863+1)</f>
        <v>22100</v>
      </c>
      <c r="D863" s="11">
        <f t="shared" si="40"/>
        <v>927866899.7699995</v>
      </c>
      <c r="E863" s="10">
        <f t="shared" si="41"/>
        <v>0.99177582907993966</v>
      </c>
    </row>
    <row r="864" spans="1:5">
      <c r="A864">
        <f t="shared" si="39"/>
        <v>863</v>
      </c>
      <c r="B864" t="str" cm="1">
        <f t="array" ref="B864">INDEX('Enriched Data'!C:C,A864+1)</f>
        <v>Quantum Lift, Inc.</v>
      </c>
      <c r="C864" s="11" cm="1">
        <f t="array" ref="C864">INDEX('Enriched Data'!G:G,A864+1)</f>
        <v>21913.64</v>
      </c>
      <c r="D864" s="11">
        <f t="shared" si="40"/>
        <v>927888813.40999949</v>
      </c>
      <c r="E864" s="10">
        <f t="shared" si="41"/>
        <v>0.99179925207141029</v>
      </c>
    </row>
    <row r="865" spans="1:5">
      <c r="A865">
        <f t="shared" si="39"/>
        <v>864</v>
      </c>
      <c r="B865" t="str" cm="1">
        <f t="array" ref="B865">INDEX('Enriched Data'!C:C,A865+1)</f>
        <v>Keller Williams Realty, Inc.</v>
      </c>
      <c r="C865" s="11" cm="1">
        <f t="array" ref="C865">INDEX('Enriched Data'!G:G,A865+1)</f>
        <v>21751</v>
      </c>
      <c r="D865" s="11">
        <f t="shared" si="40"/>
        <v>927910564.40999949</v>
      </c>
      <c r="E865" s="10">
        <f t="shared" si="41"/>
        <v>0.99182250122068338</v>
      </c>
    </row>
    <row r="866" spans="1:5">
      <c r="A866">
        <f t="shared" si="39"/>
        <v>865</v>
      </c>
      <c r="B866" t="str" cm="1">
        <f t="array" ref="B866">INDEX('Enriched Data'!C:C,A866+1)</f>
        <v>RWC International LTD dba RWC Group</v>
      </c>
      <c r="C866" s="11" cm="1">
        <f t="array" ref="C866">INDEX('Enriched Data'!G:G,A866+1)</f>
        <v>21688.36</v>
      </c>
      <c r="D866" s="11">
        <f t="shared" si="40"/>
        <v>927932252.7699995</v>
      </c>
      <c r="E866" s="10">
        <f t="shared" si="41"/>
        <v>0.99184568341548496</v>
      </c>
    </row>
    <row r="867" spans="1:5">
      <c r="A867">
        <f t="shared" si="39"/>
        <v>866</v>
      </c>
      <c r="B867" t="str" cm="1">
        <f t="array" ref="B867">INDEX('Enriched Data'!C:C,A867+1)</f>
        <v>Elmer Scott Huey dba Lawn Care</v>
      </c>
      <c r="C867" s="11" cm="1">
        <f t="array" ref="C867">INDEX('Enriched Data'!G:G,A867+1)</f>
        <v>21580</v>
      </c>
      <c r="D867" s="11">
        <f t="shared" si="40"/>
        <v>927953832.7699995</v>
      </c>
      <c r="E867" s="10">
        <f t="shared" si="41"/>
        <v>0.99186874978674666</v>
      </c>
    </row>
    <row r="868" spans="1:5">
      <c r="A868">
        <f t="shared" si="39"/>
        <v>867</v>
      </c>
      <c r="B868" t="str" cm="1">
        <f t="array" ref="B868">INDEX('Enriched Data'!C:C,A868+1)</f>
        <v>Ready Refresh-856158</v>
      </c>
      <c r="C868" s="11" cm="1">
        <f t="array" ref="C868">INDEX('Enriched Data'!G:G,A868+1)</f>
        <v>21479.14</v>
      </c>
      <c r="D868" s="11">
        <f t="shared" si="40"/>
        <v>927975311.90999949</v>
      </c>
      <c r="E868" s="10">
        <f t="shared" si="41"/>
        <v>0.9918917083510479</v>
      </c>
    </row>
    <row r="869" spans="1:5">
      <c r="A869">
        <f t="shared" si="39"/>
        <v>868</v>
      </c>
      <c r="B869" t="str" cm="1">
        <f t="array" ref="B869">INDEX('Enriched Data'!C:C,A869+1)</f>
        <v>OBrien Doors</v>
      </c>
      <c r="C869" s="11" cm="1">
        <f t="array" ref="C869">INDEX('Enriched Data'!G:G,A869+1)</f>
        <v>21412.45</v>
      </c>
      <c r="D869" s="11">
        <f t="shared" si="40"/>
        <v>927996724.35999954</v>
      </c>
      <c r="E869" s="10">
        <f t="shared" si="41"/>
        <v>0.99191459563192486</v>
      </c>
    </row>
    <row r="870" spans="1:5">
      <c r="A870">
        <f t="shared" si="39"/>
        <v>869</v>
      </c>
      <c r="B870" t="str" cm="1">
        <f t="array" ref="B870">INDEX('Enriched Data'!C:C,A870+1)</f>
        <v>Awesome Landscaping Corp.</v>
      </c>
      <c r="C870" s="11" cm="1">
        <f t="array" ref="C870">INDEX('Enriched Data'!G:G,A870+1)</f>
        <v>21404.080000000002</v>
      </c>
      <c r="D870" s="11">
        <f t="shared" si="40"/>
        <v>928018128.43999958</v>
      </c>
      <c r="E870" s="10">
        <f t="shared" si="41"/>
        <v>0.99193747396629905</v>
      </c>
    </row>
    <row r="871" spans="1:5">
      <c r="A871">
        <f t="shared" si="39"/>
        <v>870</v>
      </c>
      <c r="B871" t="str" cm="1">
        <f t="array" ref="B871">INDEX('Enriched Data'!C:C,A871+1)</f>
        <v>Scott Hans</v>
      </c>
      <c r="C871" s="11" cm="1">
        <f t="array" ref="C871">INDEX('Enriched Data'!G:G,A871+1)</f>
        <v>21379.5</v>
      </c>
      <c r="D871" s="11">
        <f t="shared" si="40"/>
        <v>928039507.93999958</v>
      </c>
      <c r="E871" s="10">
        <f t="shared" si="41"/>
        <v>0.99196032602767026</v>
      </c>
    </row>
    <row r="872" spans="1:5">
      <c r="A872">
        <f t="shared" si="39"/>
        <v>871</v>
      </c>
      <c r="B872" t="str" cm="1">
        <f t="array" ref="B872">INDEX('Enriched Data'!C:C,A872+1)</f>
        <v>CorpLand LLC</v>
      </c>
      <c r="C872" s="11" cm="1">
        <f t="array" ref="C872">INDEX('Enriched Data'!G:G,A872+1)</f>
        <v>21263.73</v>
      </c>
      <c r="D872" s="11">
        <f t="shared" si="40"/>
        <v>928060771.6699996</v>
      </c>
      <c r="E872" s="10">
        <f t="shared" si="41"/>
        <v>0.99198305434512113</v>
      </c>
    </row>
    <row r="873" spans="1:5">
      <c r="A873">
        <f t="shared" si="39"/>
        <v>872</v>
      </c>
      <c r="B873" t="str" cm="1">
        <f t="array" ref="B873">INDEX('Enriched Data'!C:C,A873+1)</f>
        <v>Talx UC Express</v>
      </c>
      <c r="C873" s="11" cm="1">
        <f t="array" ref="C873">INDEX('Enriched Data'!G:G,A873+1)</f>
        <v>21100.32</v>
      </c>
      <c r="D873" s="11">
        <f t="shared" si="40"/>
        <v>928081871.98999965</v>
      </c>
      <c r="E873" s="10">
        <f t="shared" si="41"/>
        <v>0.99200560799733895</v>
      </c>
    </row>
    <row r="874" spans="1:5">
      <c r="A874">
        <f t="shared" si="39"/>
        <v>873</v>
      </c>
      <c r="B874" t="str" cm="1">
        <f t="array" ref="B874">INDEX('Enriched Data'!C:C,A874+1)</f>
        <v>EmployBridge Holding Company</v>
      </c>
      <c r="C874" s="11" cm="1">
        <f t="array" ref="C874">INDEX('Enriched Data'!G:G,A874+1)</f>
        <v>21013.71</v>
      </c>
      <c r="D874" s="11">
        <f t="shared" si="40"/>
        <v>928102885.69999969</v>
      </c>
      <c r="E874" s="10">
        <f t="shared" si="41"/>
        <v>0.99202806907409735</v>
      </c>
    </row>
    <row r="875" spans="1:5">
      <c r="A875">
        <f t="shared" si="39"/>
        <v>874</v>
      </c>
      <c r="B875" t="str" cm="1">
        <f t="array" ref="B875">INDEX('Enriched Data'!C:C,A875+1)</f>
        <v>Smartsheet.com</v>
      </c>
      <c r="C875" s="11" cm="1">
        <f t="array" ref="C875">INDEX('Enriched Data'!G:G,A875+1)</f>
        <v>21000</v>
      </c>
      <c r="D875" s="11">
        <f t="shared" si="40"/>
        <v>928123885.69999969</v>
      </c>
      <c r="E875" s="10">
        <f t="shared" si="41"/>
        <v>0.99205051549654855</v>
      </c>
    </row>
    <row r="876" spans="1:5">
      <c r="A876">
        <f t="shared" si="39"/>
        <v>875</v>
      </c>
      <c r="B876" t="str" cm="1">
        <f t="array" ref="B876">INDEX('Enriched Data'!C:C,A876+1)</f>
        <v>RocKilco LLC</v>
      </c>
      <c r="C876" s="11" cm="1">
        <f t="array" ref="C876">INDEX('Enriched Data'!G:G,A876+1)</f>
        <v>21000</v>
      </c>
      <c r="D876" s="11">
        <f t="shared" si="40"/>
        <v>928144885.69999969</v>
      </c>
      <c r="E876" s="10">
        <f t="shared" si="41"/>
        <v>0.99207296191899974</v>
      </c>
    </row>
    <row r="877" spans="1:5">
      <c r="A877">
        <f t="shared" si="39"/>
        <v>876</v>
      </c>
      <c r="B877" t="str" cm="1">
        <f t="array" ref="B877">INDEX('Enriched Data'!C:C,A877+1)</f>
        <v>Blacks Tire Service Inc</v>
      </c>
      <c r="C877" s="11" cm="1">
        <f t="array" ref="C877">INDEX('Enriched Data'!G:G,A877+1)</f>
        <v>20864.580000000002</v>
      </c>
      <c r="D877" s="11">
        <f t="shared" si="40"/>
        <v>928165750.27999973</v>
      </c>
      <c r="E877" s="10">
        <f t="shared" si="41"/>
        <v>0.99209526359409239</v>
      </c>
    </row>
    <row r="878" spans="1:5">
      <c r="A878">
        <f t="shared" si="39"/>
        <v>877</v>
      </c>
      <c r="B878" t="str" cm="1">
        <f t="array" ref="B878">INDEX('Enriched Data'!C:C,A878+1)</f>
        <v>Prologis Logistics</v>
      </c>
      <c r="C878" s="11" cm="1">
        <f t="array" ref="C878">INDEX('Enriched Data'!G:G,A878+1)</f>
        <v>20773.900000000001</v>
      </c>
      <c r="D878" s="11">
        <f t="shared" si="40"/>
        <v>928186524.17999971</v>
      </c>
      <c r="E878" s="10">
        <f t="shared" si="41"/>
        <v>0.99211746834339509</v>
      </c>
    </row>
    <row r="879" spans="1:5">
      <c r="A879">
        <f t="shared" si="39"/>
        <v>878</v>
      </c>
      <c r="B879" t="str" cm="1">
        <f t="array" ref="B879">INDEX('Enriched Data'!C:C,A879+1)</f>
        <v>LBNW LLC</v>
      </c>
      <c r="C879" s="11" cm="1">
        <f t="array" ref="C879">INDEX('Enriched Data'!G:G,A879+1)</f>
        <v>20612.900000000001</v>
      </c>
      <c r="D879" s="11">
        <f t="shared" si="40"/>
        <v>928207137.07999969</v>
      </c>
      <c r="E879" s="10">
        <f t="shared" si="41"/>
        <v>0.99213950100345905</v>
      </c>
    </row>
    <row r="880" spans="1:5">
      <c r="A880">
        <f t="shared" si="39"/>
        <v>879</v>
      </c>
      <c r="B880" t="str" cm="1">
        <f t="array" ref="B880">INDEX('Enriched Data'!C:C,A880+1)</f>
        <v>Iron Mountain</v>
      </c>
      <c r="C880" s="11" cm="1">
        <f t="array" ref="C880">INDEX('Enriched Data'!G:G,A880+1)</f>
        <v>20554.830000000002</v>
      </c>
      <c r="D880" s="11">
        <f t="shared" si="40"/>
        <v>928227691.90999973</v>
      </c>
      <c r="E880" s="10">
        <f t="shared" si="41"/>
        <v>0.99216147159382062</v>
      </c>
    </row>
    <row r="881" spans="1:5">
      <c r="A881">
        <f t="shared" si="39"/>
        <v>880</v>
      </c>
      <c r="B881" t="str" cm="1">
        <f t="array" ref="B881">INDEX('Enriched Data'!C:C,A881+1)</f>
        <v>ADESA Edmonton</v>
      </c>
      <c r="C881" s="11" cm="1">
        <f t="array" ref="C881">INDEX('Enriched Data'!G:G,A881+1)</f>
        <v>20553.78</v>
      </c>
      <c r="D881" s="11">
        <f t="shared" si="40"/>
        <v>928248245.6899997</v>
      </c>
      <c r="E881" s="10">
        <f t="shared" si="41"/>
        <v>0.99218344106186096</v>
      </c>
    </row>
    <row r="882" spans="1:5">
      <c r="A882">
        <f t="shared" si="39"/>
        <v>881</v>
      </c>
      <c r="B882" t="str" cm="1">
        <f t="array" ref="B882">INDEX('Enriched Data'!C:C,A882+1)</f>
        <v>Atlanta Commercial Tire Inc</v>
      </c>
      <c r="C882" s="11" cm="1">
        <f t="array" ref="C882">INDEX('Enriched Data'!G:G,A882+1)</f>
        <v>20527.04</v>
      </c>
      <c r="D882" s="11">
        <f t="shared" si="40"/>
        <v>928268772.72999966</v>
      </c>
      <c r="E882" s="10">
        <f t="shared" si="41"/>
        <v>0.99220538194812335</v>
      </c>
    </row>
    <row r="883" spans="1:5">
      <c r="A883">
        <f t="shared" si="39"/>
        <v>882</v>
      </c>
      <c r="B883" t="str" cm="1">
        <f t="array" ref="B883">INDEX('Enriched Data'!C:C,A883+1)</f>
        <v>Kobalt Industries, Inc.</v>
      </c>
      <c r="C883" s="11" cm="1">
        <f t="array" ref="C883">INDEX('Enriched Data'!G:G,A883+1)</f>
        <v>20505.03</v>
      </c>
      <c r="D883" s="11">
        <f t="shared" si="40"/>
        <v>928289277.75999963</v>
      </c>
      <c r="E883" s="10">
        <f t="shared" si="41"/>
        <v>0.99222729930839737</v>
      </c>
    </row>
    <row r="884" spans="1:5">
      <c r="A884">
        <f t="shared" si="39"/>
        <v>883</v>
      </c>
      <c r="B884" t="str" cm="1">
        <f t="array" ref="B884">INDEX('Enriched Data'!C:C,A884+1)</f>
        <v>Amazon Gift Cards</v>
      </c>
      <c r="C884" s="11" cm="1">
        <f t="array" ref="C884">INDEX('Enriched Data'!G:G,A884+1)</f>
        <v>20500</v>
      </c>
      <c r="D884" s="11">
        <f t="shared" si="40"/>
        <v>928309777.75999963</v>
      </c>
      <c r="E884" s="10">
        <f t="shared" si="41"/>
        <v>0.99224921129221877</v>
      </c>
    </row>
    <row r="885" spans="1:5">
      <c r="A885">
        <f t="shared" si="39"/>
        <v>884</v>
      </c>
      <c r="B885" t="str" cm="1">
        <f t="array" ref="B885">INDEX('Enriched Data'!C:C,A885+1)</f>
        <v>Move Buddha</v>
      </c>
      <c r="C885" s="11" cm="1">
        <f t="array" ref="C885">INDEX('Enriched Data'!G:G,A885+1)</f>
        <v>20490.09</v>
      </c>
      <c r="D885" s="11">
        <f t="shared" si="40"/>
        <v>928330267.84999967</v>
      </c>
      <c r="E885" s="10">
        <f t="shared" si="41"/>
        <v>0.99227111268346646</v>
      </c>
    </row>
    <row r="886" spans="1:5">
      <c r="A886">
        <f t="shared" si="39"/>
        <v>885</v>
      </c>
      <c r="B886" t="str" cm="1">
        <f t="array" ref="B886">INDEX('Enriched Data'!C:C,A886+1)</f>
        <v>1499 E Philadelphia LLC</v>
      </c>
      <c r="C886" s="11" cm="1">
        <f t="array" ref="C886">INDEX('Enriched Data'!G:G,A886+1)</f>
        <v>20419.349999999999</v>
      </c>
      <c r="D886" s="11">
        <f t="shared" si="40"/>
        <v>928350687.19999969</v>
      </c>
      <c r="E886" s="10">
        <f t="shared" si="41"/>
        <v>0.9922929384623369</v>
      </c>
    </row>
    <row r="887" spans="1:5">
      <c r="A887">
        <f t="shared" si="39"/>
        <v>886</v>
      </c>
      <c r="B887" t="str" cm="1">
        <f t="array" ref="B887">INDEX('Enriched Data'!C:C,A887+1)</f>
        <v>Lift Solutions, Inc</v>
      </c>
      <c r="C887" s="11" cm="1">
        <f t="array" ref="C887">INDEX('Enriched Data'!G:G,A887+1)</f>
        <v>20191.52</v>
      </c>
      <c r="D887" s="11">
        <f t="shared" si="40"/>
        <v>928370878.71999967</v>
      </c>
      <c r="E887" s="10">
        <f t="shared" si="41"/>
        <v>0.99231452071890114</v>
      </c>
    </row>
    <row r="888" spans="1:5">
      <c r="A888">
        <f t="shared" si="39"/>
        <v>887</v>
      </c>
      <c r="B888" t="str" cm="1">
        <f t="array" ref="B888">INDEX('Enriched Data'!C:C,A888+1)</f>
        <v>B4 Logistics</v>
      </c>
      <c r="C888" s="11" cm="1">
        <f t="array" ref="C888">INDEX('Enriched Data'!G:G,A888+1)</f>
        <v>20150</v>
      </c>
      <c r="D888" s="11">
        <f t="shared" si="40"/>
        <v>928391028.71999967</v>
      </c>
      <c r="E888" s="10">
        <f t="shared" si="41"/>
        <v>0.99233605859568175</v>
      </c>
    </row>
    <row r="889" spans="1:5">
      <c r="A889">
        <f t="shared" si="39"/>
        <v>888</v>
      </c>
      <c r="B889" t="str" cm="1">
        <f t="array" ref="B889">INDEX('Enriched Data'!C:C,A889+1)</f>
        <v>Storemytruck.com, LLC</v>
      </c>
      <c r="C889" s="11" cm="1">
        <f t="array" ref="C889">INDEX('Enriched Data'!G:G,A889+1)</f>
        <v>20000</v>
      </c>
      <c r="D889" s="11">
        <f t="shared" si="40"/>
        <v>928411028.71999967</v>
      </c>
      <c r="E889" s="10">
        <f t="shared" si="41"/>
        <v>0.99235743614087324</v>
      </c>
    </row>
    <row r="890" spans="1:5">
      <c r="A890">
        <f t="shared" si="39"/>
        <v>889</v>
      </c>
      <c r="B890" t="str" cm="1">
        <f t="array" ref="B890">INDEX('Enriched Data'!C:C,A890+1)</f>
        <v>Mountain Laurel Ashby, LLC</v>
      </c>
      <c r="C890" s="11" cm="1">
        <f t="array" ref="C890">INDEX('Enriched Data'!G:G,A890+1)</f>
        <v>19933.330000000002</v>
      </c>
      <c r="D890" s="11">
        <f t="shared" si="40"/>
        <v>928430962.04999971</v>
      </c>
      <c r="E890" s="10">
        <f t="shared" si="41"/>
        <v>0.99237874242401802</v>
      </c>
    </row>
    <row r="891" spans="1:5">
      <c r="A891">
        <f t="shared" si="39"/>
        <v>890</v>
      </c>
      <c r="B891" t="str" cm="1">
        <f t="array" ref="B891">INDEX('Enriched Data'!C:C,A891+1)</f>
        <v>Livingston International-us</v>
      </c>
      <c r="C891" s="11" cm="1">
        <f t="array" ref="C891">INDEX('Enriched Data'!G:G,A891+1)</f>
        <v>19927.650000000001</v>
      </c>
      <c r="D891" s="11">
        <f t="shared" si="40"/>
        <v>928450889.69999969</v>
      </c>
      <c r="E891" s="10">
        <f t="shared" si="41"/>
        <v>0.99240004263593984</v>
      </c>
    </row>
    <row r="892" spans="1:5">
      <c r="A892">
        <f t="shared" si="39"/>
        <v>891</v>
      </c>
      <c r="B892" t="str" cm="1">
        <f t="array" ref="B892">INDEX('Enriched Data'!C:C,A892+1)</f>
        <v>Sand Key Associates LP DBA Sheraton</v>
      </c>
      <c r="C892" s="11" cm="1">
        <f t="array" ref="C892">INDEX('Enriched Data'!G:G,A892+1)</f>
        <v>19810.919999999998</v>
      </c>
      <c r="D892" s="11">
        <f t="shared" si="40"/>
        <v>928470700.61999965</v>
      </c>
      <c r="E892" s="10">
        <f t="shared" si="41"/>
        <v>0.99242121807781913</v>
      </c>
    </row>
    <row r="893" spans="1:5">
      <c r="A893">
        <f t="shared" si="39"/>
        <v>892</v>
      </c>
      <c r="B893" t="str" cm="1">
        <f t="array" ref="B893">INDEX('Enriched Data'!C:C,A893+1)</f>
        <v>Airmax Heating &amp; Cooling Inc</v>
      </c>
      <c r="C893" s="11" cm="1">
        <f t="array" ref="C893">INDEX('Enriched Data'!G:G,A893+1)</f>
        <v>19713</v>
      </c>
      <c r="D893" s="11">
        <f t="shared" si="40"/>
        <v>928490413.61999965</v>
      </c>
      <c r="E893" s="10">
        <f t="shared" si="41"/>
        <v>0.99244228885523722</v>
      </c>
    </row>
    <row r="894" spans="1:5">
      <c r="A894">
        <f t="shared" si="39"/>
        <v>893</v>
      </c>
      <c r="B894" t="str" cm="1">
        <f t="array" ref="B894">INDEX('Enriched Data'!C:C,A894+1)</f>
        <v>Davis Wright Tremaine LLP</v>
      </c>
      <c r="C894" s="11" cm="1">
        <f t="array" ref="C894">INDEX('Enriched Data'!G:G,A894+1)</f>
        <v>19607.36</v>
      </c>
      <c r="D894" s="11">
        <f t="shared" si="40"/>
        <v>928510020.97999966</v>
      </c>
      <c r="E894" s="10">
        <f t="shared" si="41"/>
        <v>0.99246324671646158</v>
      </c>
    </row>
    <row r="895" spans="1:5">
      <c r="A895">
        <f t="shared" si="39"/>
        <v>894</v>
      </c>
      <c r="B895" t="str" cm="1">
        <f t="array" ref="B895">INDEX('Enriched Data'!C:C,A895+1)</f>
        <v>44 River LLC</v>
      </c>
      <c r="C895" s="11" cm="1">
        <f t="array" ref="C895">INDEX('Enriched Data'!G:G,A895+1)</f>
        <v>19500</v>
      </c>
      <c r="D895" s="11">
        <f t="shared" si="40"/>
        <v>928529520.97999966</v>
      </c>
      <c r="E895" s="10">
        <f t="shared" si="41"/>
        <v>0.99248408982302339</v>
      </c>
    </row>
    <row r="896" spans="1:5">
      <c r="A896">
        <f t="shared" si="39"/>
        <v>895</v>
      </c>
      <c r="B896" t="str" cm="1">
        <f t="array" ref="B896">INDEX('Enriched Data'!C:C,A896+1)</f>
        <v>PetroChoice Holdings Inc</v>
      </c>
      <c r="C896" s="11" cm="1">
        <f t="array" ref="C896">INDEX('Enriched Data'!G:G,A896+1)</f>
        <v>19477.28</v>
      </c>
      <c r="D896" s="11">
        <f t="shared" si="40"/>
        <v>928548998.25999963</v>
      </c>
      <c r="E896" s="10">
        <f t="shared" si="41"/>
        <v>0.99250490864469376</v>
      </c>
    </row>
    <row r="897" spans="1:5">
      <c r="A897">
        <f t="shared" si="39"/>
        <v>896</v>
      </c>
      <c r="B897" t="str" cm="1">
        <f t="array" ref="B897">INDEX('Enriched Data'!C:C,A897+1)</f>
        <v>Arnold Machinery Company</v>
      </c>
      <c r="C897" s="11" cm="1">
        <f t="array" ref="C897">INDEX('Enriched Data'!G:G,A897+1)</f>
        <v>19455.61</v>
      </c>
      <c r="D897" s="11">
        <f t="shared" si="40"/>
        <v>928568453.86999965</v>
      </c>
      <c r="E897" s="10">
        <f t="shared" si="41"/>
        <v>0.99252570430379405</v>
      </c>
    </row>
    <row r="898" spans="1:5">
      <c r="A898">
        <f t="shared" si="39"/>
        <v>897</v>
      </c>
      <c r="B898" t="str" cm="1">
        <f t="array" ref="B898">INDEX('Enriched Data'!C:C,A898+1)</f>
        <v>Central Auto &amp; Transport LLC</v>
      </c>
      <c r="C898" s="11" cm="1">
        <f t="array" ref="C898">INDEX('Enriched Data'!G:G,A898+1)</f>
        <v>19451.89</v>
      </c>
      <c r="D898" s="11">
        <f t="shared" si="40"/>
        <v>928587905.75999963</v>
      </c>
      <c r="E898" s="10">
        <f t="shared" si="41"/>
        <v>0.99254649598667077</v>
      </c>
    </row>
    <row r="899" spans="1:5">
      <c r="A899">
        <f t="shared" si="39"/>
        <v>898</v>
      </c>
      <c r="B899" t="str" cm="1">
        <f t="array" ref="B899">INDEX('Enriched Data'!C:C,A899+1)</f>
        <v>Assoc of National Advertisers</v>
      </c>
      <c r="C899" s="11" cm="1">
        <f t="array" ref="C899">INDEX('Enriched Data'!G:G,A899+1)</f>
        <v>19450</v>
      </c>
      <c r="D899" s="11">
        <f t="shared" si="40"/>
        <v>928607355.75999963</v>
      </c>
      <c r="E899" s="10">
        <f t="shared" si="41"/>
        <v>0.99256728564936958</v>
      </c>
    </row>
    <row r="900" spans="1:5">
      <c r="A900">
        <f t="shared" ref="A900:A963" si="42">A899+1</f>
        <v>899</v>
      </c>
      <c r="B900" t="str" cm="1">
        <f t="array" ref="B900">INDEX('Enriched Data'!C:C,A900+1)</f>
        <v>Southern Lift Trucks, LLC</v>
      </c>
      <c r="C900" s="11" cm="1">
        <f t="array" ref="C900">INDEX('Enriched Data'!G:G,A900+1)</f>
        <v>19404.45</v>
      </c>
      <c r="D900" s="11">
        <f t="shared" ref="D900:D963" si="43">D899+C900</f>
        <v>928626760.20999968</v>
      </c>
      <c r="E900" s="10">
        <f t="shared" ref="E900:E963" si="44">D900/$F$2</f>
        <v>0.99258802662470935</v>
      </c>
    </row>
    <row r="901" spans="1:5">
      <c r="A901">
        <f t="shared" si="42"/>
        <v>900</v>
      </c>
      <c r="B901" t="str" cm="1">
        <f t="array" ref="B901">INDEX('Enriched Data'!C:C,A901+1)</f>
        <v>Smart Community Storage Inc.</v>
      </c>
      <c r="C901" s="11" cm="1">
        <f t="array" ref="C901">INDEX('Enriched Data'!G:G,A901+1)</f>
        <v>19287.16</v>
      </c>
      <c r="D901" s="11">
        <f t="shared" si="43"/>
        <v>928646047.36999965</v>
      </c>
      <c r="E901" s="10">
        <f t="shared" si="44"/>
        <v>0.99260864223143519</v>
      </c>
    </row>
    <row r="902" spans="1:5">
      <c r="A902">
        <f t="shared" si="42"/>
        <v>901</v>
      </c>
      <c r="B902" t="str" cm="1">
        <f t="array" ref="B902">INDEX('Enriched Data'!C:C,A902+1)</f>
        <v>PricewaterhouseCoopers LLP UK</v>
      </c>
      <c r="C902" s="11" cm="1">
        <f t="array" ref="C902">INDEX('Enriched Data'!G:G,A902+1)</f>
        <v>19230</v>
      </c>
      <c r="D902" s="11">
        <f t="shared" si="43"/>
        <v>928665277.36999965</v>
      </c>
      <c r="E902" s="10">
        <f t="shared" si="44"/>
        <v>0.99262919674113681</v>
      </c>
    </row>
    <row r="903" spans="1:5">
      <c r="A903">
        <f t="shared" si="42"/>
        <v>902</v>
      </c>
      <c r="B903" t="str" cm="1">
        <f t="array" ref="B903">INDEX('Enriched Data'!C:C,A903+1)</f>
        <v>Royal Brass, Inc.</v>
      </c>
      <c r="C903" s="11" cm="1">
        <f t="array" ref="C903">INDEX('Enriched Data'!G:G,A903+1)</f>
        <v>19086.5</v>
      </c>
      <c r="D903" s="11">
        <f t="shared" si="43"/>
        <v>928684363.86999965</v>
      </c>
      <c r="E903" s="10">
        <f t="shared" si="44"/>
        <v>0.99264959786695173</v>
      </c>
    </row>
    <row r="904" spans="1:5">
      <c r="A904">
        <f t="shared" si="42"/>
        <v>903</v>
      </c>
      <c r="B904" t="str" cm="1">
        <f t="array" ref="B904">INDEX('Enriched Data'!C:C,A904+1)</f>
        <v>Gregg Distributors LP</v>
      </c>
      <c r="C904" s="11" cm="1">
        <f t="array" ref="C904">INDEX('Enriched Data'!G:G,A904+1)</f>
        <v>19025.150000000001</v>
      </c>
      <c r="D904" s="11">
        <f t="shared" si="43"/>
        <v>928703389.01999962</v>
      </c>
      <c r="E904" s="10">
        <f t="shared" si="44"/>
        <v>0.99266993341714682</v>
      </c>
    </row>
    <row r="905" spans="1:5">
      <c r="A905">
        <f t="shared" si="42"/>
        <v>904</v>
      </c>
      <c r="B905" t="str" cm="1">
        <f t="array" ref="B905">INDEX('Enriched Data'!C:C,A905+1)</f>
        <v>BestOne Tire</v>
      </c>
      <c r="C905" s="11" cm="1">
        <f t="array" ref="C905">INDEX('Enriched Data'!G:G,A905+1)</f>
        <v>19023.18</v>
      </c>
      <c r="D905" s="11">
        <f t="shared" si="43"/>
        <v>928722412.19999957</v>
      </c>
      <c r="E905" s="10">
        <f t="shared" si="44"/>
        <v>0.99269026686165363</v>
      </c>
    </row>
    <row r="906" spans="1:5">
      <c r="A906">
        <f t="shared" si="42"/>
        <v>905</v>
      </c>
      <c r="B906" t="str" cm="1">
        <f t="array" ref="B906">INDEX('Enriched Data'!C:C,A906+1)</f>
        <v>AMX Logistics</v>
      </c>
      <c r="C906" s="11" cm="1">
        <f t="array" ref="C906">INDEX('Enriched Data'!G:G,A906+1)</f>
        <v>18943</v>
      </c>
      <c r="D906" s="11">
        <f t="shared" si="43"/>
        <v>928741355.19999957</v>
      </c>
      <c r="E906" s="10">
        <f t="shared" si="44"/>
        <v>0.99271051460358184</v>
      </c>
    </row>
    <row r="907" spans="1:5">
      <c r="A907">
        <f t="shared" si="42"/>
        <v>906</v>
      </c>
      <c r="B907" t="str" cm="1">
        <f t="array" ref="B907">INDEX('Enriched Data'!C:C,A907+1)</f>
        <v>VSC Fire &amp; Security Inc-Z027,Z130</v>
      </c>
      <c r="C907" s="11" cm="1">
        <f t="array" ref="C907">INDEX('Enriched Data'!G:G,A907+1)</f>
        <v>18926.45</v>
      </c>
      <c r="D907" s="11">
        <f t="shared" si="43"/>
        <v>928760281.64999962</v>
      </c>
      <c r="E907" s="10">
        <f t="shared" si="44"/>
        <v>0.99273074465559141</v>
      </c>
    </row>
    <row r="908" spans="1:5">
      <c r="A908">
        <f t="shared" si="42"/>
        <v>907</v>
      </c>
      <c r="B908" t="str" cm="1">
        <f t="array" ref="B908">INDEX('Enriched Data'!C:C,A908+1)</f>
        <v>Medavie Blue Cross</v>
      </c>
      <c r="C908" s="11" cm="1">
        <f t="array" ref="C908">INDEX('Enriched Data'!G:G,A908+1)</f>
        <v>18897.79</v>
      </c>
      <c r="D908" s="11">
        <f t="shared" si="43"/>
        <v>928779179.43999958</v>
      </c>
      <c r="E908" s="10">
        <f t="shared" si="44"/>
        <v>0.99275094407357867</v>
      </c>
    </row>
    <row r="909" spans="1:5">
      <c r="A909">
        <f t="shared" si="42"/>
        <v>908</v>
      </c>
      <c r="B909" t="str" cm="1">
        <f t="array" ref="B909">INDEX('Enriched Data'!C:C,A909+1)</f>
        <v>LiftOne LLC</v>
      </c>
      <c r="C909" s="11" cm="1">
        <f t="array" ref="C909">INDEX('Enriched Data'!G:G,A909+1)</f>
        <v>18795.34</v>
      </c>
      <c r="D909" s="11">
        <f t="shared" si="43"/>
        <v>928797974.77999961</v>
      </c>
      <c r="E909" s="10">
        <f t="shared" si="44"/>
        <v>0.99277103398509081</v>
      </c>
    </row>
    <row r="910" spans="1:5">
      <c r="A910">
        <f t="shared" si="42"/>
        <v>909</v>
      </c>
      <c r="B910" t="str" cm="1">
        <f t="array" ref="B910">INDEX('Enriched Data'!C:C,A910+1)</f>
        <v>Horizon Electronics Loss Prevention</v>
      </c>
      <c r="C910" s="11" cm="1">
        <f t="array" ref="C910">INDEX('Enriched Data'!G:G,A910+1)</f>
        <v>18743.45</v>
      </c>
      <c r="D910" s="11">
        <f t="shared" si="43"/>
        <v>928816718.22999966</v>
      </c>
      <c r="E910" s="10">
        <f t="shared" si="44"/>
        <v>0.99279106843256193</v>
      </c>
    </row>
    <row r="911" spans="1:5">
      <c r="A911">
        <f t="shared" si="42"/>
        <v>910</v>
      </c>
      <c r="B911" t="str" cm="1">
        <f t="array" ref="B911">INDEX('Enriched Data'!C:C,A911+1)</f>
        <v>Piper Fire Protection, Inc.</v>
      </c>
      <c r="C911" s="11" cm="1">
        <f t="array" ref="C911">INDEX('Enriched Data'!G:G,A911+1)</f>
        <v>18604.72</v>
      </c>
      <c r="D911" s="11">
        <f t="shared" si="43"/>
        <v>928835322.94999969</v>
      </c>
      <c r="E911" s="10">
        <f t="shared" si="44"/>
        <v>0.99281095459469071</v>
      </c>
    </row>
    <row r="912" spans="1:5">
      <c r="A912">
        <f t="shared" si="42"/>
        <v>911</v>
      </c>
      <c r="B912" t="str" cm="1">
        <f t="array" ref="B912">INDEX('Enriched Data'!C:C,A912+1)</f>
        <v>Trailco of Florida, Inc</v>
      </c>
      <c r="C912" s="11" cm="1">
        <f t="array" ref="C912">INDEX('Enriched Data'!G:G,A912+1)</f>
        <v>18269.38</v>
      </c>
      <c r="D912" s="11">
        <f t="shared" si="43"/>
        <v>928853592.32999969</v>
      </c>
      <c r="E912" s="10">
        <f t="shared" si="44"/>
        <v>0.99283048231951931</v>
      </c>
    </row>
    <row r="913" spans="1:5">
      <c r="A913">
        <f t="shared" si="42"/>
        <v>912</v>
      </c>
      <c r="B913" t="str" cm="1">
        <f t="array" ref="B913">INDEX('Enriched Data'!C:C,A913+1)</f>
        <v>Nordic Mechanical Services Ltd.</v>
      </c>
      <c r="C913" s="11" cm="1">
        <f t="array" ref="C913">INDEX('Enriched Data'!G:G,A913+1)</f>
        <v>18267.07</v>
      </c>
      <c r="D913" s="11">
        <f t="shared" si="43"/>
        <v>928871859.39999974</v>
      </c>
      <c r="E913" s="10">
        <f t="shared" si="44"/>
        <v>0.99285000757524156</v>
      </c>
    </row>
    <row r="914" spans="1:5">
      <c r="A914">
        <f t="shared" si="42"/>
        <v>913</v>
      </c>
      <c r="B914" t="str" cm="1">
        <f t="array" ref="B914">INDEX('Enriched Data'!C:C,A914+1)</f>
        <v>US Lawns Nashua</v>
      </c>
      <c r="C914" s="11" cm="1">
        <f t="array" ref="C914">INDEX('Enriched Data'!G:G,A914+1)</f>
        <v>18262.25</v>
      </c>
      <c r="D914" s="11">
        <f t="shared" si="43"/>
        <v>928890121.64999974</v>
      </c>
      <c r="E914" s="10">
        <f t="shared" si="44"/>
        <v>0.99286952767897529</v>
      </c>
    </row>
    <row r="915" spans="1:5">
      <c r="A915">
        <f t="shared" si="42"/>
        <v>914</v>
      </c>
      <c r="B915" t="str" cm="1">
        <f t="array" ref="B915">INDEX('Enriched Data'!C:C,A915+1)</f>
        <v>Muldowney Development Inc.</v>
      </c>
      <c r="C915" s="11" cm="1">
        <f t="array" ref="C915">INDEX('Enriched Data'!G:G,A915+1)</f>
        <v>18250</v>
      </c>
      <c r="D915" s="11">
        <f t="shared" si="43"/>
        <v>928908371.64999974</v>
      </c>
      <c r="E915" s="10">
        <f t="shared" si="44"/>
        <v>0.99288903468896261</v>
      </c>
    </row>
    <row r="916" spans="1:5">
      <c r="A916">
        <f t="shared" si="42"/>
        <v>915</v>
      </c>
      <c r="B916" t="str" cm="1">
        <f t="array" ref="B916">INDEX('Enriched Data'!C:C,A916+1)</f>
        <v>PEAC Solutions</v>
      </c>
      <c r="C916" s="11" cm="1">
        <f t="array" ref="C916">INDEX('Enriched Data'!G:G,A916+1)</f>
        <v>18234.259999999998</v>
      </c>
      <c r="D916" s="11">
        <f t="shared" si="43"/>
        <v>928926605.90999973</v>
      </c>
      <c r="E916" s="10">
        <f t="shared" si="44"/>
        <v>0.99290852487482184</v>
      </c>
    </row>
    <row r="917" spans="1:5">
      <c r="A917">
        <f t="shared" si="42"/>
        <v>916</v>
      </c>
      <c r="B917" t="str" cm="1">
        <f t="array" ref="B917">INDEX('Enriched Data'!C:C,A917+1)</f>
        <v>Cision US, Inc.</v>
      </c>
      <c r="C917" s="11" cm="1">
        <f t="array" ref="C917">INDEX('Enriched Data'!G:G,A917+1)</f>
        <v>18144.2</v>
      </c>
      <c r="D917" s="11">
        <f t="shared" si="43"/>
        <v>928944750.10999978</v>
      </c>
      <c r="E917" s="10">
        <f t="shared" si="44"/>
        <v>0.99292791879759512</v>
      </c>
    </row>
    <row r="918" spans="1:5">
      <c r="A918">
        <f t="shared" si="42"/>
        <v>917</v>
      </c>
      <c r="B918" t="str" cm="1">
        <f t="array" ref="B918">INDEX('Enriched Data'!C:C,A918+1)</f>
        <v>Humble Flooring Services Inc</v>
      </c>
      <c r="C918" s="11" cm="1">
        <f t="array" ref="C918">INDEX('Enriched Data'!G:G,A918+1)</f>
        <v>18123</v>
      </c>
      <c r="D918" s="11">
        <f t="shared" si="43"/>
        <v>928962873.10999978</v>
      </c>
      <c r="E918" s="10">
        <f t="shared" si="44"/>
        <v>0.99294729006017046</v>
      </c>
    </row>
    <row r="919" spans="1:5">
      <c r="A919">
        <f t="shared" si="42"/>
        <v>918</v>
      </c>
      <c r="B919" t="str" cm="1">
        <f t="array" ref="B919">INDEX('Enriched Data'!C:C,A919+1)</f>
        <v>M&amp;L Industries, LLC</v>
      </c>
      <c r="C919" s="11" cm="1">
        <f t="array" ref="C919">INDEX('Enriched Data'!G:G,A919+1)</f>
        <v>18103.150000000001</v>
      </c>
      <c r="D919" s="11">
        <f t="shared" si="43"/>
        <v>928980976.25999975</v>
      </c>
      <c r="E919" s="10">
        <f t="shared" si="44"/>
        <v>0.99296664010553215</v>
      </c>
    </row>
    <row r="920" spans="1:5">
      <c r="A920">
        <f t="shared" si="42"/>
        <v>919</v>
      </c>
      <c r="B920" t="str" cm="1">
        <f t="array" ref="B920">INDEX('Enriched Data'!C:C,A920+1)</f>
        <v>Wolter, Inc.</v>
      </c>
      <c r="C920" s="11" cm="1">
        <f t="array" ref="C920">INDEX('Enriched Data'!G:G,A920+1)</f>
        <v>18054.3</v>
      </c>
      <c r="D920" s="11">
        <f t="shared" si="43"/>
        <v>928999030.5599997</v>
      </c>
      <c r="E920" s="10">
        <f t="shared" si="44"/>
        <v>0.99298593793623979</v>
      </c>
    </row>
    <row r="921" spans="1:5">
      <c r="A921">
        <f t="shared" si="42"/>
        <v>920</v>
      </c>
      <c r="B921" t="str" cm="1">
        <f t="array" ref="B921">INDEX('Enriched Data'!C:C,A921+1)</f>
        <v>Gen Digital Inc.</v>
      </c>
      <c r="C921" s="11" cm="1">
        <f t="array" ref="C921">INDEX('Enriched Data'!G:G,A921+1)</f>
        <v>18000</v>
      </c>
      <c r="D921" s="11">
        <f t="shared" si="43"/>
        <v>929017030.5599997</v>
      </c>
      <c r="E921" s="10">
        <f t="shared" si="44"/>
        <v>0.99300517772691221</v>
      </c>
    </row>
    <row r="922" spans="1:5">
      <c r="A922">
        <f t="shared" si="42"/>
        <v>921</v>
      </c>
      <c r="B922" t="str" cm="1">
        <f t="array" ref="B922">INDEX('Enriched Data'!C:C,A922+1)</f>
        <v>Simeral Properties LLC</v>
      </c>
      <c r="C922" s="11" cm="1">
        <f t="array" ref="C922">INDEX('Enriched Data'!G:G,A922+1)</f>
        <v>18000</v>
      </c>
      <c r="D922" s="11">
        <f t="shared" si="43"/>
        <v>929035030.5599997</v>
      </c>
      <c r="E922" s="10">
        <f t="shared" si="44"/>
        <v>0.99302441751758452</v>
      </c>
    </row>
    <row r="923" spans="1:5">
      <c r="A923">
        <f t="shared" si="42"/>
        <v>922</v>
      </c>
      <c r="B923" t="str" cm="1">
        <f t="array" ref="B923">INDEX('Enriched Data'!C:C,A923+1)</f>
        <v>Miguel Sanchez Painting</v>
      </c>
      <c r="C923" s="11" cm="1">
        <f t="array" ref="C923">INDEX('Enriched Data'!G:G,A923+1)</f>
        <v>18000</v>
      </c>
      <c r="D923" s="11">
        <f t="shared" si="43"/>
        <v>929053030.5599997</v>
      </c>
      <c r="E923" s="10">
        <f t="shared" si="44"/>
        <v>0.99304365730825694</v>
      </c>
    </row>
    <row r="924" spans="1:5">
      <c r="A924">
        <f t="shared" si="42"/>
        <v>923</v>
      </c>
      <c r="B924" t="str" cm="1">
        <f t="array" ref="B924">INDEX('Enriched Data'!C:C,A924+1)</f>
        <v>Spokane Recycling Company, LLC</v>
      </c>
      <c r="C924" s="11" cm="1">
        <f t="array" ref="C924">INDEX('Enriched Data'!G:G,A924+1)</f>
        <v>18000</v>
      </c>
      <c r="D924" s="11">
        <f t="shared" si="43"/>
        <v>929071030.5599997</v>
      </c>
      <c r="E924" s="10">
        <f t="shared" si="44"/>
        <v>0.99306289709892936</v>
      </c>
    </row>
    <row r="925" spans="1:5">
      <c r="A925">
        <f t="shared" si="42"/>
        <v>924</v>
      </c>
      <c r="B925" t="str" cm="1">
        <f t="array" ref="B925">INDEX('Enriched Data'!C:C,A925+1)</f>
        <v>WJM Holdings LLC</v>
      </c>
      <c r="C925" s="11" cm="1">
        <f t="array" ref="C925">INDEX('Enriched Data'!G:G,A925+1)</f>
        <v>18000</v>
      </c>
      <c r="D925" s="11">
        <f t="shared" si="43"/>
        <v>929089030.5599997</v>
      </c>
      <c r="E925" s="10">
        <f t="shared" si="44"/>
        <v>0.99308213688960179</v>
      </c>
    </row>
    <row r="926" spans="1:5">
      <c r="A926">
        <f t="shared" si="42"/>
        <v>925</v>
      </c>
      <c r="B926" t="str" cm="1">
        <f t="array" ref="B926">INDEX('Enriched Data'!C:C,A926+1)</f>
        <v>Atlassian</v>
      </c>
      <c r="C926" s="11" cm="1">
        <f t="array" ref="C926">INDEX('Enriched Data'!G:G,A926+1)</f>
        <v>17987.98</v>
      </c>
      <c r="D926" s="11">
        <f t="shared" si="43"/>
        <v>929107018.53999972</v>
      </c>
      <c r="E926" s="10">
        <f t="shared" si="44"/>
        <v>0.99310136383236958</v>
      </c>
    </row>
    <row r="927" spans="1:5">
      <c r="A927">
        <f t="shared" si="42"/>
        <v>926</v>
      </c>
      <c r="B927" t="str" cm="1">
        <f t="array" ref="B927">INDEX('Enriched Data'!C:C,A927+1)</f>
        <v>TLC Total Lawn Care</v>
      </c>
      <c r="C927" s="11" cm="1">
        <f t="array" ref="C927">INDEX('Enriched Data'!G:G,A927+1)</f>
        <v>17975.97</v>
      </c>
      <c r="D927" s="11">
        <f t="shared" si="43"/>
        <v>929124994.50999975</v>
      </c>
      <c r="E927" s="10">
        <f t="shared" si="44"/>
        <v>0.99312057793792152</v>
      </c>
    </row>
    <row r="928" spans="1:5">
      <c r="A928">
        <f t="shared" si="42"/>
        <v>927</v>
      </c>
      <c r="B928" t="str" cm="1">
        <f t="array" ref="B928">INDEX('Enriched Data'!C:C,A928+1)</f>
        <v>Taylor Nelson Slattery Bernard PLLC</v>
      </c>
      <c r="C928" s="11" cm="1">
        <f t="array" ref="C928">INDEX('Enriched Data'!G:G,A928+1)</f>
        <v>17917.98</v>
      </c>
      <c r="D928" s="11">
        <f t="shared" si="43"/>
        <v>929142912.48999977</v>
      </c>
      <c r="E928" s="10">
        <f t="shared" si="44"/>
        <v>0.99313973005928113</v>
      </c>
    </row>
    <row r="929" spans="1:5">
      <c r="A929">
        <f t="shared" si="42"/>
        <v>928</v>
      </c>
      <c r="B929" t="str" cm="1">
        <f t="array" ref="B929">INDEX('Enriched Data'!C:C,A929+1)</f>
        <v>Quench USA Inc</v>
      </c>
      <c r="C929" s="11" cm="1">
        <f t="array" ref="C929">INDEX('Enriched Data'!G:G,A929+1)</f>
        <v>17811.849999999999</v>
      </c>
      <c r="D929" s="11">
        <f t="shared" si="43"/>
        <v>929160724.33999979</v>
      </c>
      <c r="E929" s="10">
        <f t="shared" si="44"/>
        <v>0.9931587687406972</v>
      </c>
    </row>
    <row r="930" spans="1:5">
      <c r="A930">
        <f t="shared" si="42"/>
        <v>929</v>
      </c>
      <c r="B930" t="str" cm="1">
        <f t="array" ref="B930">INDEX('Enriched Data'!C:C,A930+1)</f>
        <v>Gregory Poole Equipment co.</v>
      </c>
      <c r="C930" s="11" cm="1">
        <f t="array" ref="C930">INDEX('Enriched Data'!G:G,A930+1)</f>
        <v>17747.77</v>
      </c>
      <c r="D930" s="11">
        <f t="shared" si="43"/>
        <v>929178472.10999978</v>
      </c>
      <c r="E930" s="10">
        <f t="shared" si="44"/>
        <v>0.9931777389284584</v>
      </c>
    </row>
    <row r="931" spans="1:5">
      <c r="A931">
        <f t="shared" si="42"/>
        <v>930</v>
      </c>
      <c r="B931" t="str" cm="1">
        <f t="array" ref="B931">INDEX('Enriched Data'!C:C,A931+1)</f>
        <v>Steves Repair Service LLC</v>
      </c>
      <c r="C931" s="11" cm="1">
        <f t="array" ref="C931">INDEX('Enriched Data'!G:G,A931+1)</f>
        <v>17706.48</v>
      </c>
      <c r="D931" s="11">
        <f t="shared" si="43"/>
        <v>929196178.58999979</v>
      </c>
      <c r="E931" s="10">
        <f t="shared" si="44"/>
        <v>0.99319666498227754</v>
      </c>
    </row>
    <row r="932" spans="1:5">
      <c r="A932">
        <f t="shared" si="42"/>
        <v>931</v>
      </c>
      <c r="B932" t="str" cm="1">
        <f t="array" ref="B932">INDEX('Enriched Data'!C:C,A932+1)</f>
        <v>Temperance Hill Square, LLC</v>
      </c>
      <c r="C932" s="11" cm="1">
        <f t="array" ref="C932">INDEX('Enriched Data'!G:G,A932+1)</f>
        <v>17600</v>
      </c>
      <c r="D932" s="11">
        <f t="shared" si="43"/>
        <v>929213778.58999979</v>
      </c>
      <c r="E932" s="10">
        <f t="shared" si="44"/>
        <v>0.99321547722204617</v>
      </c>
    </row>
    <row r="933" spans="1:5">
      <c r="A933">
        <f t="shared" si="42"/>
        <v>932</v>
      </c>
      <c r="B933" t="str" cm="1">
        <f t="array" ref="B933">INDEX('Enriched Data'!C:C,A933+1)</f>
        <v>L&amp;S Contracting Services LLC</v>
      </c>
      <c r="C933" s="11" cm="1">
        <f t="array" ref="C933">INDEX('Enriched Data'!G:G,A933+1)</f>
        <v>17515.3</v>
      </c>
      <c r="D933" s="11">
        <f t="shared" si="43"/>
        <v>929231293.88999975</v>
      </c>
      <c r="E933" s="10">
        <f t="shared" si="44"/>
        <v>0.99323419892791076</v>
      </c>
    </row>
    <row r="934" spans="1:5">
      <c r="A934">
        <f t="shared" si="42"/>
        <v>933</v>
      </c>
      <c r="B934" t="str" cm="1">
        <f t="array" ref="B934">INDEX('Enriched Data'!C:C,A934+1)</f>
        <v>Safetyculture Pty Ltd</v>
      </c>
      <c r="C934" s="11" cm="1">
        <f t="array" ref="C934">INDEX('Enriched Data'!G:G,A934+1)</f>
        <v>17444.91</v>
      </c>
      <c r="D934" s="11">
        <f t="shared" si="43"/>
        <v>929248738.79999971</v>
      </c>
      <c r="E934" s="10">
        <f t="shared" si="44"/>
        <v>0.99325284539550518</v>
      </c>
    </row>
    <row r="935" spans="1:5">
      <c r="A935">
        <f t="shared" si="42"/>
        <v>934</v>
      </c>
      <c r="B935" t="str" cm="1">
        <f t="array" ref="B935">INDEX('Enriched Data'!C:C,A935+1)</f>
        <v>Entertainment Benefits Group</v>
      </c>
      <c r="C935" s="11" cm="1">
        <f t="array" ref="C935">INDEX('Enriched Data'!G:G,A935+1)</f>
        <v>17345.13</v>
      </c>
      <c r="D935" s="11">
        <f t="shared" si="43"/>
        <v>929266083.92999971</v>
      </c>
      <c r="E935" s="10">
        <f t="shared" si="44"/>
        <v>0.9932713852105266</v>
      </c>
    </row>
    <row r="936" spans="1:5">
      <c r="A936">
        <f t="shared" si="42"/>
        <v>935</v>
      </c>
      <c r="B936" t="str" cm="1">
        <f t="array" ref="B936">INDEX('Enriched Data'!C:C,A936+1)</f>
        <v>Lets Plan a Party, LLC</v>
      </c>
      <c r="C936" s="11" cm="1">
        <f t="array" ref="C936">INDEX('Enriched Data'!G:G,A936+1)</f>
        <v>17316.38</v>
      </c>
      <c r="D936" s="11">
        <f t="shared" si="43"/>
        <v>929283400.3099997</v>
      </c>
      <c r="E936" s="10">
        <f t="shared" si="44"/>
        <v>0.99328989429532677</v>
      </c>
    </row>
    <row r="937" spans="1:5">
      <c r="A937">
        <f t="shared" si="42"/>
        <v>936</v>
      </c>
      <c r="B937" t="str" cm="1">
        <f t="array" ref="B937">INDEX('Enriched Data'!C:C,A937+1)</f>
        <v>Real Time Board Inc. dba Miro</v>
      </c>
      <c r="C937" s="11" cm="1">
        <f t="array" ref="C937">INDEX('Enriched Data'!G:G,A937+1)</f>
        <v>17280</v>
      </c>
      <c r="D937" s="11">
        <f t="shared" si="43"/>
        <v>929300680.3099997</v>
      </c>
      <c r="E937" s="10">
        <f t="shared" si="44"/>
        <v>0.99330836449437232</v>
      </c>
    </row>
    <row r="938" spans="1:5">
      <c r="A938">
        <f t="shared" si="42"/>
        <v>937</v>
      </c>
      <c r="B938" t="str" cm="1">
        <f t="array" ref="B938">INDEX('Enriched Data'!C:C,A938+1)</f>
        <v>KRV LLC</v>
      </c>
      <c r="C938" s="11" cm="1">
        <f t="array" ref="C938">INDEX('Enriched Data'!G:G,A938+1)</f>
        <v>17268.599999999999</v>
      </c>
      <c r="D938" s="11">
        <f t="shared" si="43"/>
        <v>929317948.90999973</v>
      </c>
      <c r="E938" s="10">
        <f t="shared" si="44"/>
        <v>0.99332682250821713</v>
      </c>
    </row>
    <row r="939" spans="1:5">
      <c r="A939">
        <f t="shared" si="42"/>
        <v>938</v>
      </c>
      <c r="B939" t="str" cm="1">
        <f t="array" ref="B939">INDEX('Enriched Data'!C:C,A939+1)</f>
        <v>Advance Treads Inc.</v>
      </c>
      <c r="C939" s="11" cm="1">
        <f t="array" ref="C939">INDEX('Enriched Data'!G:G,A939+1)</f>
        <v>17216.13</v>
      </c>
      <c r="D939" s="11">
        <f t="shared" si="43"/>
        <v>929335165.03999972</v>
      </c>
      <c r="E939" s="10">
        <f t="shared" si="44"/>
        <v>0.99334522443807205</v>
      </c>
    </row>
    <row r="940" spans="1:5">
      <c r="A940">
        <f t="shared" si="42"/>
        <v>939</v>
      </c>
      <c r="B940" t="str" cm="1">
        <f t="array" ref="B940">INDEX('Enriched Data'!C:C,A940+1)</f>
        <v>APFS Staffing, Inc</v>
      </c>
      <c r="C940" s="11" cm="1">
        <f t="array" ref="C940">INDEX('Enriched Data'!G:G,A940+1)</f>
        <v>17183.45</v>
      </c>
      <c r="D940" s="11">
        <f t="shared" si="43"/>
        <v>929352348.48999977</v>
      </c>
      <c r="E940" s="10">
        <f t="shared" si="44"/>
        <v>0.99336359143701825</v>
      </c>
    </row>
    <row r="941" spans="1:5">
      <c r="A941">
        <f t="shared" si="42"/>
        <v>940</v>
      </c>
      <c r="B941" t="str" cm="1">
        <f t="array" ref="B941">INDEX('Enriched Data'!C:C,A941+1)</f>
        <v>Northwind Air Conditioning</v>
      </c>
      <c r="C941" s="11" cm="1">
        <f t="array" ref="C941">INDEX('Enriched Data'!G:G,A941+1)</f>
        <v>17131.79</v>
      </c>
      <c r="D941" s="11">
        <f t="shared" si="43"/>
        <v>929369480.27999973</v>
      </c>
      <c r="E941" s="10">
        <f t="shared" si="44"/>
        <v>0.99338190321776509</v>
      </c>
    </row>
    <row r="942" spans="1:5">
      <c r="A942">
        <f t="shared" si="42"/>
        <v>941</v>
      </c>
      <c r="B942" t="str" cm="1">
        <f t="array" ref="B942">INDEX('Enriched Data'!C:C,A942+1)</f>
        <v>Union Realtime LLC</v>
      </c>
      <c r="C942" s="11" cm="1">
        <f t="array" ref="C942">INDEX('Enriched Data'!G:G,A942+1)</f>
        <v>17020</v>
      </c>
      <c r="D942" s="11">
        <f t="shared" si="43"/>
        <v>929386500.27999973</v>
      </c>
      <c r="E942" s="10">
        <f t="shared" si="44"/>
        <v>0.9934000955087231</v>
      </c>
    </row>
    <row r="943" spans="1:5">
      <c r="A943">
        <f t="shared" si="42"/>
        <v>942</v>
      </c>
      <c r="B943" t="str" cm="1">
        <f t="array" ref="B943">INDEX('Enriched Data'!C:C,A943+1)</f>
        <v>Banter LLC</v>
      </c>
      <c r="C943" s="11" cm="1">
        <f t="array" ref="C943">INDEX('Enriched Data'!G:G,A943+1)</f>
        <v>16802</v>
      </c>
      <c r="D943" s="11">
        <f t="shared" si="43"/>
        <v>929403302.27999973</v>
      </c>
      <c r="E943" s="10">
        <f t="shared" si="44"/>
        <v>0.99341805478443856</v>
      </c>
    </row>
    <row r="944" spans="1:5">
      <c r="A944">
        <f t="shared" si="42"/>
        <v>943</v>
      </c>
      <c r="B944" t="str" cm="1">
        <f t="array" ref="B944">INDEX('Enriched Data'!C:C,A944+1)</f>
        <v>Ewing D. Blackston</v>
      </c>
      <c r="C944" s="11" cm="1">
        <f t="array" ref="C944">INDEX('Enriched Data'!G:G,A944+1)</f>
        <v>16800</v>
      </c>
      <c r="D944" s="11">
        <f t="shared" si="43"/>
        <v>929420102.27999973</v>
      </c>
      <c r="E944" s="10">
        <f t="shared" si="44"/>
        <v>0.9934360119223995</v>
      </c>
    </row>
    <row r="945" spans="1:5">
      <c r="A945">
        <f t="shared" si="42"/>
        <v>944</v>
      </c>
      <c r="B945" t="str" cm="1">
        <f t="array" ref="B945">INDEX('Enriched Data'!C:C,A945+1)</f>
        <v>Ward International Trucks, LLC</v>
      </c>
      <c r="C945" s="11" cm="1">
        <f t="array" ref="C945">INDEX('Enriched Data'!G:G,A945+1)</f>
        <v>16669.53</v>
      </c>
      <c r="D945" s="11">
        <f t="shared" si="43"/>
        <v>929436771.8099997</v>
      </c>
      <c r="E945" s="10">
        <f t="shared" si="44"/>
        <v>0.99345382960394435</v>
      </c>
    </row>
    <row r="946" spans="1:5">
      <c r="A946">
        <f t="shared" si="42"/>
        <v>945</v>
      </c>
      <c r="B946" t="str" cm="1">
        <f t="array" ref="B946">INDEX('Enriched Data'!C:C,A946+1)</f>
        <v>Euless Wrecker Service Inc</v>
      </c>
      <c r="C946" s="11" cm="1">
        <f t="array" ref="C946">INDEX('Enriched Data'!G:G,A946+1)</f>
        <v>16635.87</v>
      </c>
      <c r="D946" s="11">
        <f t="shared" si="43"/>
        <v>929453407.67999971</v>
      </c>
      <c r="E946" s="10">
        <f t="shared" si="44"/>
        <v>0.99347161130708062</v>
      </c>
    </row>
    <row r="947" spans="1:5">
      <c r="A947">
        <f t="shared" si="42"/>
        <v>946</v>
      </c>
      <c r="B947" t="str" cm="1">
        <f t="array" ref="B947">INDEX('Enriched Data'!C:C,A947+1)</f>
        <v>Tampa Bay Staging &amp; Events</v>
      </c>
      <c r="C947" s="11" cm="1">
        <f t="array" ref="C947">INDEX('Enriched Data'!G:G,A947+1)</f>
        <v>16506.89</v>
      </c>
      <c r="D947" s="11">
        <f t="shared" si="43"/>
        <v>929469914.56999969</v>
      </c>
      <c r="E947" s="10">
        <f t="shared" si="44"/>
        <v>0.99348925514642794</v>
      </c>
    </row>
    <row r="948" spans="1:5">
      <c r="A948">
        <f t="shared" si="42"/>
        <v>947</v>
      </c>
      <c r="B948" t="str" cm="1">
        <f t="array" ref="B948">INDEX('Enriched Data'!C:C,A948+1)</f>
        <v>Opaljur PTY LTD</v>
      </c>
      <c r="C948" s="11" cm="1">
        <f t="array" ref="C948">INDEX('Enriched Data'!G:G,A948+1)</f>
        <v>16500</v>
      </c>
      <c r="D948" s="11">
        <f t="shared" si="43"/>
        <v>929486414.56999969</v>
      </c>
      <c r="E948" s="10">
        <f t="shared" si="44"/>
        <v>0.99350689162121097</v>
      </c>
    </row>
    <row r="949" spans="1:5">
      <c r="A949">
        <f t="shared" si="42"/>
        <v>948</v>
      </c>
      <c r="B949" t="str" cm="1">
        <f t="array" ref="B949">INDEX('Enriched Data'!C:C,A949+1)</f>
        <v>Womble Bond Dickinson (US) LLP</v>
      </c>
      <c r="C949" s="11" cm="1">
        <f t="array" ref="C949">INDEX('Enriched Data'!G:G,A949+1)</f>
        <v>16495.990000000002</v>
      </c>
      <c r="D949" s="11">
        <f t="shared" si="43"/>
        <v>929502910.5599997</v>
      </c>
      <c r="E949" s="10">
        <f t="shared" si="44"/>
        <v>0.99352452380979628</v>
      </c>
    </row>
    <row r="950" spans="1:5">
      <c r="A950">
        <f t="shared" si="42"/>
        <v>949</v>
      </c>
      <c r="B950" t="str" cm="1">
        <f t="array" ref="B950">INDEX('Enriched Data'!C:C,A950+1)</f>
        <v>New England Lift Truck Corp.</v>
      </c>
      <c r="C950" s="11" cm="1">
        <f t="array" ref="C950">INDEX('Enriched Data'!G:G,A950+1)</f>
        <v>16464.560000000001</v>
      </c>
      <c r="D950" s="11">
        <f t="shared" si="43"/>
        <v>929519375.11999965</v>
      </c>
      <c r="E950" s="10">
        <f t="shared" si="44"/>
        <v>0.99354212240356921</v>
      </c>
    </row>
    <row r="951" spans="1:5">
      <c r="A951">
        <f t="shared" si="42"/>
        <v>950</v>
      </c>
      <c r="B951" t="str" cm="1">
        <f t="array" ref="B951">INDEX('Enriched Data'!C:C,A951+1)</f>
        <v>Kaufman Real Estate</v>
      </c>
      <c r="C951" s="11" cm="1">
        <f t="array" ref="C951">INDEX('Enriched Data'!G:G,A951+1)</f>
        <v>16460.400000000001</v>
      </c>
      <c r="D951" s="11">
        <f t="shared" si="43"/>
        <v>929535835.51999962</v>
      </c>
      <c r="E951" s="10">
        <f t="shared" si="44"/>
        <v>0.99355971655081265</v>
      </c>
    </row>
    <row r="952" spans="1:5">
      <c r="A952">
        <f t="shared" si="42"/>
        <v>951</v>
      </c>
      <c r="B952" t="str" cm="1">
        <f t="array" ref="B952">INDEX('Enriched Data'!C:C,A952+1)</f>
        <v>Starlite</v>
      </c>
      <c r="C952" s="11" cm="1">
        <f t="array" ref="C952">INDEX('Enriched Data'!G:G,A952+1)</f>
        <v>16443.439999999999</v>
      </c>
      <c r="D952" s="11">
        <f t="shared" si="43"/>
        <v>929552278.95999968</v>
      </c>
      <c r="E952" s="10">
        <f t="shared" si="44"/>
        <v>0.99357729256989802</v>
      </c>
    </row>
    <row r="953" spans="1:5">
      <c r="A953">
        <f t="shared" si="42"/>
        <v>952</v>
      </c>
      <c r="B953" t="str" cm="1">
        <f t="array" ref="B953">INDEX('Enriched Data'!C:C,A953+1)</f>
        <v>F&amp;S Tire Corp</v>
      </c>
      <c r="C953" s="11" cm="1">
        <f t="array" ref="C953">INDEX('Enriched Data'!G:G,A953+1)</f>
        <v>16408.3</v>
      </c>
      <c r="D953" s="11">
        <f t="shared" si="43"/>
        <v>929568687.25999963</v>
      </c>
      <c r="E953" s="10">
        <f t="shared" si="44"/>
        <v>0.99359483102863633</v>
      </c>
    </row>
    <row r="954" spans="1:5">
      <c r="A954">
        <f t="shared" si="42"/>
        <v>953</v>
      </c>
      <c r="B954" t="str" cm="1">
        <f t="array" ref="B954">INDEX('Enriched Data'!C:C,A954+1)</f>
        <v>Reading Industrial LLC</v>
      </c>
      <c r="C954" s="11" cm="1">
        <f t="array" ref="C954">INDEX('Enriched Data'!G:G,A954+1)</f>
        <v>16370.97</v>
      </c>
      <c r="D954" s="11">
        <f t="shared" si="43"/>
        <v>929585058.22999966</v>
      </c>
      <c r="E954" s="10">
        <f t="shared" si="44"/>
        <v>0.99361232958618662</v>
      </c>
    </row>
    <row r="955" spans="1:5">
      <c r="A955">
        <f t="shared" si="42"/>
        <v>954</v>
      </c>
      <c r="B955" t="str" cm="1">
        <f t="array" ref="B955">INDEX('Enriched Data'!C:C,A955+1)</f>
        <v>Browserstack Inc.</v>
      </c>
      <c r="C955" s="11" cm="1">
        <f t="array" ref="C955">INDEX('Enriched Data'!G:G,A955+1)</f>
        <v>16344</v>
      </c>
      <c r="D955" s="11">
        <f t="shared" si="43"/>
        <v>929601402.22999966</v>
      </c>
      <c r="E955" s="10">
        <f t="shared" si="44"/>
        <v>0.99362979931611717</v>
      </c>
    </row>
    <row r="956" spans="1:5">
      <c r="A956">
        <f t="shared" si="42"/>
        <v>955</v>
      </c>
      <c r="B956" t="str" cm="1">
        <f t="array" ref="B956">INDEX('Enriched Data'!C:C,A956+1)</f>
        <v>Callaghans Best-One Tire &amp; Serv</v>
      </c>
      <c r="C956" s="11" cm="1">
        <f t="array" ref="C956">INDEX('Enriched Data'!G:G,A956+1)</f>
        <v>16333.14</v>
      </c>
      <c r="D956" s="11">
        <f t="shared" si="43"/>
        <v>929617735.36999965</v>
      </c>
      <c r="E956" s="10">
        <f t="shared" si="44"/>
        <v>0.99364725743804061</v>
      </c>
    </row>
    <row r="957" spans="1:5">
      <c r="A957">
        <f t="shared" si="42"/>
        <v>956</v>
      </c>
      <c r="B957" t="str" cm="1">
        <f t="array" ref="B957">INDEX('Enriched Data'!C:C,A957+1)</f>
        <v>Discount Fence Company</v>
      </c>
      <c r="C957" s="11" cm="1">
        <f t="array" ref="C957">INDEX('Enriched Data'!G:G,A957+1)</f>
        <v>16320</v>
      </c>
      <c r="D957" s="11">
        <f t="shared" si="43"/>
        <v>929634055.36999965</v>
      </c>
      <c r="E957" s="10">
        <f t="shared" si="44"/>
        <v>0.99366470151491693</v>
      </c>
    </row>
    <row r="958" spans="1:5">
      <c r="A958">
        <f t="shared" si="42"/>
        <v>957</v>
      </c>
      <c r="B958" t="str" cm="1">
        <f t="array" ref="B958">INDEX('Enriched Data'!C:C,A958+1)</f>
        <v>Alternative Landscape &amp; Mntc, .</v>
      </c>
      <c r="C958" s="11" cm="1">
        <f t="array" ref="C958">INDEX('Enriched Data'!G:G,A958+1)</f>
        <v>16256.96</v>
      </c>
      <c r="D958" s="11">
        <f t="shared" si="43"/>
        <v>929650312.32999969</v>
      </c>
      <c r="E958" s="10">
        <f t="shared" si="44"/>
        <v>0.99368207820977084</v>
      </c>
    </row>
    <row r="959" spans="1:5">
      <c r="A959">
        <f t="shared" si="42"/>
        <v>958</v>
      </c>
      <c r="B959" t="str" cm="1">
        <f t="array" ref="B959">INDEX('Enriched Data'!C:C,A959+1)</f>
        <v>Pacific Material Handling</v>
      </c>
      <c r="C959" s="11" cm="1">
        <f t="array" ref="C959">INDEX('Enriched Data'!G:G,A959+1)</f>
        <v>16206.09</v>
      </c>
      <c r="D959" s="11">
        <f t="shared" si="43"/>
        <v>929666518.41999972</v>
      </c>
      <c r="E959" s="10">
        <f t="shared" si="44"/>
        <v>0.99369940053083861</v>
      </c>
    </row>
    <row r="960" spans="1:5">
      <c r="A960">
        <f t="shared" si="42"/>
        <v>959</v>
      </c>
      <c r="B960" t="str" cm="1">
        <f t="array" ref="B960">INDEX('Enriched Data'!C:C,A960+1)</f>
        <v>230 Sussex Street LLC</v>
      </c>
      <c r="C960" s="11" cm="1">
        <f t="array" ref="C960">INDEX('Enriched Data'!G:G,A960+1)</f>
        <v>16200</v>
      </c>
      <c r="D960" s="11">
        <f t="shared" si="43"/>
        <v>929682718.41999972</v>
      </c>
      <c r="E960" s="10">
        <f t="shared" si="44"/>
        <v>0.99371671634244374</v>
      </c>
    </row>
    <row r="961" spans="1:5">
      <c r="A961">
        <f t="shared" si="42"/>
        <v>960</v>
      </c>
      <c r="B961" t="str" cm="1">
        <f t="array" ref="B961">INDEX('Enriched Data'!C:C,A961+1)</f>
        <v>Broadway Properties Management LLC</v>
      </c>
      <c r="C961" s="11" cm="1">
        <f t="array" ref="C961">INDEX('Enriched Data'!G:G,A961+1)</f>
        <v>16200</v>
      </c>
      <c r="D961" s="11">
        <f t="shared" si="43"/>
        <v>929698918.41999972</v>
      </c>
      <c r="E961" s="10">
        <f t="shared" si="44"/>
        <v>0.99373403215404899</v>
      </c>
    </row>
    <row r="962" spans="1:5">
      <c r="A962">
        <f t="shared" si="42"/>
        <v>961</v>
      </c>
      <c r="B962" t="str" cm="1">
        <f t="array" ref="B962">INDEX('Enriched Data'!C:C,A962+1)</f>
        <v>TY Investments LLC</v>
      </c>
      <c r="C962" s="11" cm="1">
        <f t="array" ref="C962">INDEX('Enriched Data'!G:G,A962+1)</f>
        <v>16200</v>
      </c>
      <c r="D962" s="11">
        <f t="shared" si="43"/>
        <v>929715118.41999972</v>
      </c>
      <c r="E962" s="10">
        <f t="shared" si="44"/>
        <v>0.99375134796565412</v>
      </c>
    </row>
    <row r="963" spans="1:5">
      <c r="A963">
        <f t="shared" si="42"/>
        <v>962</v>
      </c>
      <c r="B963" t="str" cm="1">
        <f t="array" ref="B963">INDEX('Enriched Data'!C:C,A963+1)</f>
        <v>Mariner-Gulf Consulting &amp; Services</v>
      </c>
      <c r="C963" s="11" cm="1">
        <f t="array" ref="C963">INDEX('Enriched Data'!G:G,A963+1)</f>
        <v>16125</v>
      </c>
      <c r="D963" s="11">
        <f t="shared" si="43"/>
        <v>929731243.41999972</v>
      </c>
      <c r="E963" s="10">
        <f t="shared" si="44"/>
        <v>0.99376858361146481</v>
      </c>
    </row>
    <row r="964" spans="1:5">
      <c r="A964">
        <f t="shared" ref="A964:A1027" si="45">A963+1</f>
        <v>963</v>
      </c>
      <c r="B964" t="str" cm="1">
        <f t="array" ref="B964">INDEX('Enriched Data'!C:C,A964+1)</f>
        <v>CFE Equipment Corporation Do Not Use-(Use This Acc 152307-Northern Coast Lift Truck, Inc.)</v>
      </c>
      <c r="C964" s="11" cm="1">
        <f t="array" ref="C964">INDEX('Enriched Data'!G:G,A964+1)</f>
        <v>16114.78</v>
      </c>
      <c r="D964" s="11">
        <f t="shared" ref="D964:D1027" si="46">D963+C964</f>
        <v>929747358.19999969</v>
      </c>
      <c r="E964" s="10">
        <f t="shared" ref="E964:E1027" si="47">D964/$F$2</f>
        <v>0.99378580833334995</v>
      </c>
    </row>
    <row r="965" spans="1:5">
      <c r="A965">
        <f t="shared" si="45"/>
        <v>964</v>
      </c>
      <c r="B965" t="str" cm="1">
        <f t="array" ref="B965">INDEX('Enriched Data'!C:C,A965+1)</f>
        <v>Maid for Kings Cleaning Service LLC</v>
      </c>
      <c r="C965" s="11" cm="1">
        <f t="array" ref="C965">INDEX('Enriched Data'!G:G,A965+1)</f>
        <v>15950</v>
      </c>
      <c r="D965" s="11">
        <f t="shared" si="46"/>
        <v>929763308.19999969</v>
      </c>
      <c r="E965" s="10">
        <f t="shared" si="47"/>
        <v>0.99380285692564019</v>
      </c>
    </row>
    <row r="966" spans="1:5">
      <c r="A966">
        <f t="shared" si="45"/>
        <v>965</v>
      </c>
      <c r="B966" t="str" cm="1">
        <f t="array" ref="B966">INDEX('Enriched Data'!C:C,A966+1)</f>
        <v>Johnson Controls Security Solutions</v>
      </c>
      <c r="C966" s="11" cm="1">
        <f t="array" ref="C966">INDEX('Enriched Data'!G:G,A966+1)</f>
        <v>15915.63</v>
      </c>
      <c r="D966" s="11">
        <f t="shared" si="46"/>
        <v>929779223.82999969</v>
      </c>
      <c r="E966" s="10">
        <f t="shared" si="47"/>
        <v>0.99381986878061912</v>
      </c>
    </row>
    <row r="967" spans="1:5">
      <c r="A967">
        <f t="shared" si="45"/>
        <v>966</v>
      </c>
      <c r="B967" t="str" cm="1">
        <f t="array" ref="B967">INDEX('Enriched Data'!C:C,A967+1)</f>
        <v>R&amp;S Erection of Santa Rosa, Inc.</v>
      </c>
      <c r="C967" s="11" cm="1">
        <f t="array" ref="C967">INDEX('Enriched Data'!G:G,A967+1)</f>
        <v>15900</v>
      </c>
      <c r="D967" s="11">
        <f t="shared" si="46"/>
        <v>929795123.82999969</v>
      </c>
      <c r="E967" s="10">
        <f t="shared" si="47"/>
        <v>0.99383686392904635</v>
      </c>
    </row>
    <row r="968" spans="1:5">
      <c r="A968">
        <f t="shared" si="45"/>
        <v>967</v>
      </c>
      <c r="B968" t="str" cm="1">
        <f t="array" ref="B968">INDEX('Enriched Data'!C:C,A968+1)</f>
        <v>The driveN Agency Inc.</v>
      </c>
      <c r="C968" s="11" cm="1">
        <f t="array" ref="C968">INDEX('Enriched Data'!G:G,A968+1)</f>
        <v>15840</v>
      </c>
      <c r="D968" s="11">
        <f t="shared" si="46"/>
        <v>929810963.82999969</v>
      </c>
      <c r="E968" s="10">
        <f t="shared" si="47"/>
        <v>0.99385379494483805</v>
      </c>
    </row>
    <row r="969" spans="1:5">
      <c r="A969">
        <f t="shared" si="45"/>
        <v>968</v>
      </c>
      <c r="B969" t="str" cm="1">
        <f t="array" ref="B969">INDEX('Enriched Data'!C:C,A969+1)</f>
        <v>Paloma Model &amp; Talent, Inc</v>
      </c>
      <c r="C969" s="11" cm="1">
        <f t="array" ref="C969">INDEX('Enriched Data'!G:G,A969+1)</f>
        <v>15840</v>
      </c>
      <c r="D969" s="11">
        <f t="shared" si="46"/>
        <v>929826803.82999969</v>
      </c>
      <c r="E969" s="10">
        <f t="shared" si="47"/>
        <v>0.99387072596062986</v>
      </c>
    </row>
    <row r="970" spans="1:5">
      <c r="A970">
        <f t="shared" si="45"/>
        <v>969</v>
      </c>
      <c r="B970" t="str" cm="1">
        <f t="array" ref="B970">INDEX('Enriched Data'!C:C,A970+1)</f>
        <v>Barnwell House Of Tires Inc</v>
      </c>
      <c r="C970" s="11" cm="1">
        <f t="array" ref="C970">INDEX('Enriched Data'!G:G,A970+1)</f>
        <v>15767.38</v>
      </c>
      <c r="D970" s="11">
        <f t="shared" si="46"/>
        <v>929842571.20999968</v>
      </c>
      <c r="E970" s="10">
        <f t="shared" si="47"/>
        <v>0.99388757935455496</v>
      </c>
    </row>
    <row r="971" spans="1:5">
      <c r="A971">
        <f t="shared" si="45"/>
        <v>970</v>
      </c>
      <c r="B971" t="str" cm="1">
        <f t="array" ref="B971">INDEX('Enriched Data'!C:C,A971+1)</f>
        <v>Teamster Local Union No. 384</v>
      </c>
      <c r="C971" s="11" cm="1">
        <f t="array" ref="C971">INDEX('Enriched Data'!G:G,A971+1)</f>
        <v>15756.5</v>
      </c>
      <c r="D971" s="11">
        <f t="shared" si="46"/>
        <v>929858327.70999968</v>
      </c>
      <c r="E971" s="10">
        <f t="shared" si="47"/>
        <v>0.99390442111909549</v>
      </c>
    </row>
    <row r="972" spans="1:5">
      <c r="A972">
        <f t="shared" si="45"/>
        <v>971</v>
      </c>
      <c r="B972" t="str" cm="1">
        <f t="array" ref="B972">INDEX('Enriched Data'!C:C,A972+1)</f>
        <v>Stephen Gould Corporation</v>
      </c>
      <c r="C972" s="11" cm="1">
        <f t="array" ref="C972">INDEX('Enriched Data'!G:G,A972+1)</f>
        <v>15745.05</v>
      </c>
      <c r="D972" s="11">
        <f t="shared" si="46"/>
        <v>929874072.75999963</v>
      </c>
      <c r="E972" s="10">
        <f t="shared" si="47"/>
        <v>0.99392125064499137</v>
      </c>
    </row>
    <row r="973" spans="1:5">
      <c r="A973">
        <f t="shared" si="45"/>
        <v>972</v>
      </c>
      <c r="B973" t="str" cm="1">
        <f t="array" ref="B973">INDEX('Enriched Data'!C:C,A973+1)</f>
        <v>Shred-It USA,LLC</v>
      </c>
      <c r="C973" s="11" cm="1">
        <f t="array" ref="C973">INDEX('Enriched Data'!G:G,A973+1)</f>
        <v>15711.03</v>
      </c>
      <c r="D973" s="11">
        <f t="shared" si="46"/>
        <v>929889783.7899996</v>
      </c>
      <c r="E973" s="10">
        <f t="shared" si="47"/>
        <v>0.99393804380768291</v>
      </c>
    </row>
    <row r="974" spans="1:5">
      <c r="A974">
        <f t="shared" si="45"/>
        <v>973</v>
      </c>
      <c r="B974" t="str" cm="1">
        <f t="array" ref="B974">INDEX('Enriched Data'!C:C,A974+1)</f>
        <v>Quinlan Enterprise, LLC</v>
      </c>
      <c r="C974" s="11" cm="1">
        <f t="array" ref="C974">INDEX('Enriched Data'!G:G,A974+1)</f>
        <v>15682.13</v>
      </c>
      <c r="D974" s="11">
        <f t="shared" si="46"/>
        <v>929905465.9199996</v>
      </c>
      <c r="E974" s="10">
        <f t="shared" si="47"/>
        <v>0.99395480607982167</v>
      </c>
    </row>
    <row r="975" spans="1:5">
      <c r="A975">
        <f t="shared" si="45"/>
        <v>974</v>
      </c>
      <c r="B975" t="str" cm="1">
        <f t="array" ref="B975">INDEX('Enriched Data'!C:C,A975+1)</f>
        <v>ResNav Solutions Inc.</v>
      </c>
      <c r="C975" s="11" cm="1">
        <f t="array" ref="C975">INDEX('Enriched Data'!G:G,A975+1)</f>
        <v>15600</v>
      </c>
      <c r="D975" s="11">
        <f t="shared" si="46"/>
        <v>929921065.9199996</v>
      </c>
      <c r="E975" s="10">
        <f t="shared" si="47"/>
        <v>0.99397148056507112</v>
      </c>
    </row>
    <row r="976" spans="1:5">
      <c r="A976">
        <f t="shared" si="45"/>
        <v>975</v>
      </c>
      <c r="B976" t="str" cm="1">
        <f t="array" ref="B976">INDEX('Enriched Data'!C:C,A976+1)</f>
        <v>Sasha Bogie Inc.</v>
      </c>
      <c r="C976" s="11" cm="1">
        <f t="array" ref="C976">INDEX('Enriched Data'!G:G,A976+1)</f>
        <v>15600</v>
      </c>
      <c r="D976" s="11">
        <f t="shared" si="46"/>
        <v>929936665.9199996</v>
      </c>
      <c r="E976" s="10">
        <f t="shared" si="47"/>
        <v>0.99398815505032057</v>
      </c>
    </row>
    <row r="977" spans="1:5">
      <c r="A977">
        <f t="shared" si="45"/>
        <v>976</v>
      </c>
      <c r="B977" t="str" cm="1">
        <f t="array" ref="B977">INDEX('Enriched Data'!C:C,A977+1)</f>
        <v>Allied Garage Door, Inc.</v>
      </c>
      <c r="C977" s="11" cm="1">
        <f t="array" ref="C977">INDEX('Enriched Data'!G:G,A977+1)</f>
        <v>15585.58</v>
      </c>
      <c r="D977" s="11">
        <f t="shared" si="46"/>
        <v>929952251.49999964</v>
      </c>
      <c r="E977" s="10">
        <f t="shared" si="47"/>
        <v>0.99400481412235986</v>
      </c>
    </row>
    <row r="978" spans="1:5">
      <c r="A978">
        <f t="shared" si="45"/>
        <v>977</v>
      </c>
      <c r="B978" t="str" cm="1">
        <f t="array" ref="B978">INDEX('Enriched Data'!C:C,A978+1)</f>
        <v>Specialty Panel Products USA</v>
      </c>
      <c r="C978" s="11" cm="1">
        <f t="array" ref="C978">INDEX('Enriched Data'!G:G,A978+1)</f>
        <v>15576.29</v>
      </c>
      <c r="D978" s="11">
        <f t="shared" si="46"/>
        <v>929967827.7899996</v>
      </c>
      <c r="E978" s="10">
        <f t="shared" si="47"/>
        <v>0.99402146326452945</v>
      </c>
    </row>
    <row r="979" spans="1:5">
      <c r="A979">
        <f t="shared" si="45"/>
        <v>978</v>
      </c>
      <c r="B979" t="str" cm="1">
        <f t="array" ref="B979">INDEX('Enriched Data'!C:C,A979+1)</f>
        <v>Alpha Services Corporation</v>
      </c>
      <c r="C979" s="11" cm="1">
        <f t="array" ref="C979">INDEX('Enriched Data'!G:G,A979+1)</f>
        <v>15488.21</v>
      </c>
      <c r="D979" s="11">
        <f t="shared" si="46"/>
        <v>929983315.99999964</v>
      </c>
      <c r="E979" s="10">
        <f t="shared" si="47"/>
        <v>0.99403801825999005</v>
      </c>
    </row>
    <row r="980" spans="1:5">
      <c r="A980">
        <f t="shared" si="45"/>
        <v>979</v>
      </c>
      <c r="B980" t="str" cm="1">
        <f t="array" ref="B980">INDEX('Enriched Data'!C:C,A980+1)</f>
        <v>Davis-Ulmer Sprinkler Co. Inc</v>
      </c>
      <c r="C980" s="11" cm="1">
        <f t="array" ref="C980">INDEX('Enriched Data'!G:G,A980+1)</f>
        <v>15470.8</v>
      </c>
      <c r="D980" s="11">
        <f t="shared" si="46"/>
        <v>929998786.79999959</v>
      </c>
      <c r="E980" s="10">
        <f t="shared" si="47"/>
        <v>0.99405455464629755</v>
      </c>
    </row>
    <row r="981" spans="1:5">
      <c r="A981">
        <f t="shared" si="45"/>
        <v>980</v>
      </c>
      <c r="B981" t="str" cm="1">
        <f t="array" ref="B981">INDEX('Enriched Data'!C:C,A981+1)</f>
        <v>Gabbard Overhead Door</v>
      </c>
      <c r="C981" s="11" cm="1">
        <f t="array" ref="C981">INDEX('Enriched Data'!G:G,A981+1)</f>
        <v>15400</v>
      </c>
      <c r="D981" s="11">
        <f t="shared" si="46"/>
        <v>930014186.79999959</v>
      </c>
      <c r="E981" s="10">
        <f t="shared" si="47"/>
        <v>0.99407101535609499</v>
      </c>
    </row>
    <row r="982" spans="1:5">
      <c r="A982">
        <f t="shared" si="45"/>
        <v>981</v>
      </c>
      <c r="B982" t="str" cm="1">
        <f t="array" ref="B982">INDEX('Enriched Data'!C:C,A982+1)</f>
        <v>Ryan Lantz and Sons Painting LLC</v>
      </c>
      <c r="C982" s="11" cm="1">
        <f t="array" ref="C982">INDEX('Enriched Data'!G:G,A982+1)</f>
        <v>15360</v>
      </c>
      <c r="D982" s="11">
        <f t="shared" si="46"/>
        <v>930029546.79999959</v>
      </c>
      <c r="E982" s="10">
        <f t="shared" si="47"/>
        <v>0.99408743331080218</v>
      </c>
    </row>
    <row r="983" spans="1:5">
      <c r="A983">
        <f t="shared" si="45"/>
        <v>982</v>
      </c>
      <c r="B983" t="str" cm="1">
        <f t="array" ref="B983">INDEX('Enriched Data'!C:C,A983+1)</f>
        <v>Power Systems Inc.</v>
      </c>
      <c r="C983" s="11" cm="1">
        <f t="array" ref="C983">INDEX('Enriched Data'!G:G,A983+1)</f>
        <v>15355.98</v>
      </c>
      <c r="D983" s="11">
        <f t="shared" si="46"/>
        <v>930044902.77999961</v>
      </c>
      <c r="E983" s="10">
        <f t="shared" si="47"/>
        <v>0.99410384696862275</v>
      </c>
    </row>
    <row r="984" spans="1:5">
      <c r="A984">
        <f t="shared" si="45"/>
        <v>983</v>
      </c>
      <c r="B984" t="str" cm="1">
        <f t="array" ref="B984">INDEX('Enriched Data'!C:C,A984+1)</f>
        <v>Lordco Auto Parts</v>
      </c>
      <c r="C984" s="11" cm="1">
        <f t="array" ref="C984">INDEX('Enriched Data'!G:G,A984+1)</f>
        <v>15206.51</v>
      </c>
      <c r="D984" s="11">
        <f t="shared" si="46"/>
        <v>930060109.2899996</v>
      </c>
      <c r="E984" s="10">
        <f t="shared" si="47"/>
        <v>0.99412010086135927</v>
      </c>
    </row>
    <row r="985" spans="1:5">
      <c r="A985">
        <f t="shared" si="45"/>
        <v>984</v>
      </c>
      <c r="B985" t="str" cm="1">
        <f t="array" ref="B985">INDEX('Enriched Data'!C:C,A985+1)</f>
        <v>Passport Unlimited Inc.</v>
      </c>
      <c r="C985" s="11" cm="1">
        <f t="array" ref="C985">INDEX('Enriched Data'!G:G,A985+1)</f>
        <v>15144.29</v>
      </c>
      <c r="D985" s="11">
        <f t="shared" si="46"/>
        <v>930075253.57999957</v>
      </c>
      <c r="E985" s="10">
        <f t="shared" si="47"/>
        <v>0.99413628824855271</v>
      </c>
    </row>
    <row r="986" spans="1:5">
      <c r="A986">
        <f t="shared" si="45"/>
        <v>985</v>
      </c>
      <c r="B986" t="str" cm="1">
        <f t="array" ref="B986">INDEX('Enriched Data'!C:C,A986+1)</f>
        <v>Alhambra</v>
      </c>
      <c r="C986" s="11" cm="1">
        <f t="array" ref="C986">INDEX('Enriched Data'!G:G,A986+1)</f>
        <v>15126.1</v>
      </c>
      <c r="D986" s="11">
        <f t="shared" si="46"/>
        <v>930090379.67999959</v>
      </c>
      <c r="E986" s="10">
        <f t="shared" si="47"/>
        <v>0.99415245619286885</v>
      </c>
    </row>
    <row r="987" spans="1:5">
      <c r="A987">
        <f t="shared" si="45"/>
        <v>986</v>
      </c>
      <c r="B987" t="str" cm="1">
        <f t="array" ref="B987">INDEX('Enriched Data'!C:C,A987+1)</f>
        <v>DH Pace Company, Inc.</v>
      </c>
      <c r="C987" s="11" cm="1">
        <f t="array" ref="C987">INDEX('Enriched Data'!G:G,A987+1)</f>
        <v>15040.41</v>
      </c>
      <c r="D987" s="11">
        <f t="shared" si="46"/>
        <v>930105420.08999956</v>
      </c>
      <c r="E987" s="10">
        <f t="shared" si="47"/>
        <v>0.99416853254509252</v>
      </c>
    </row>
    <row r="988" spans="1:5">
      <c r="A988">
        <f t="shared" si="45"/>
        <v>987</v>
      </c>
      <c r="B988" t="str" cm="1">
        <f t="array" ref="B988">INDEX('Enriched Data'!C:C,A988+1)</f>
        <v>Alta Industrial Equipment MI. LLC</v>
      </c>
      <c r="C988" s="11" cm="1">
        <f t="array" ref="C988">INDEX('Enriched Data'!G:G,A988+1)</f>
        <v>15037.22</v>
      </c>
      <c r="D988" s="11">
        <f t="shared" si="46"/>
        <v>930120457.30999959</v>
      </c>
      <c r="E988" s="10">
        <f t="shared" si="47"/>
        <v>0.99418460548759791</v>
      </c>
    </row>
    <row r="989" spans="1:5">
      <c r="A989">
        <f t="shared" si="45"/>
        <v>988</v>
      </c>
      <c r="B989" t="str" cm="1">
        <f t="array" ref="B989">INDEX('Enriched Data'!C:C,A989+1)</f>
        <v>AudiencePoint Inc.</v>
      </c>
      <c r="C989" s="11" cm="1">
        <f t="array" ref="C989">INDEX('Enriched Data'!G:G,A989+1)</f>
        <v>15000</v>
      </c>
      <c r="D989" s="11">
        <f t="shared" si="46"/>
        <v>930135457.30999959</v>
      </c>
      <c r="E989" s="10">
        <f t="shared" si="47"/>
        <v>0.99420063864649155</v>
      </c>
    </row>
    <row r="990" spans="1:5">
      <c r="A990">
        <f t="shared" si="45"/>
        <v>989</v>
      </c>
      <c r="B990" t="str" cm="1">
        <f t="array" ref="B990">INDEX('Enriched Data'!C:C,A990+1)</f>
        <v>Asana Inc.</v>
      </c>
      <c r="C990" s="11" cm="1">
        <f t="array" ref="C990">INDEX('Enriched Data'!G:G,A990+1)</f>
        <v>14994</v>
      </c>
      <c r="D990" s="11">
        <f t="shared" si="46"/>
        <v>930150451.30999959</v>
      </c>
      <c r="E990" s="10">
        <f t="shared" si="47"/>
        <v>0.99421666539212161</v>
      </c>
    </row>
    <row r="991" spans="1:5">
      <c r="A991">
        <f t="shared" si="45"/>
        <v>990</v>
      </c>
      <c r="B991" t="str" cm="1">
        <f t="array" ref="B991">INDEX('Enriched Data'!C:C,A991+1)</f>
        <v>Cty Secure Parking &amp; Trailer Repair</v>
      </c>
      <c r="C991" s="11" cm="1">
        <f t="array" ref="C991">INDEX('Enriched Data'!G:G,A991+1)</f>
        <v>14900</v>
      </c>
      <c r="D991" s="11">
        <f t="shared" si="46"/>
        <v>930165351.30999959</v>
      </c>
      <c r="E991" s="10">
        <f t="shared" si="47"/>
        <v>0.99423259166328937</v>
      </c>
    </row>
    <row r="992" spans="1:5">
      <c r="A992">
        <f t="shared" si="45"/>
        <v>991</v>
      </c>
      <c r="B992" t="str" cm="1">
        <f t="array" ref="B992">INDEX('Enriched Data'!C:C,A992+1)</f>
        <v>Gardners Cleaning</v>
      </c>
      <c r="C992" s="11" cm="1">
        <f t="array" ref="C992">INDEX('Enriched Data'!G:G,A992+1)</f>
        <v>14875</v>
      </c>
      <c r="D992" s="11">
        <f t="shared" si="46"/>
        <v>930180226.30999959</v>
      </c>
      <c r="E992" s="10">
        <f t="shared" si="47"/>
        <v>0.99424849121252568</v>
      </c>
    </row>
    <row r="993" spans="1:5">
      <c r="A993">
        <f t="shared" si="45"/>
        <v>992</v>
      </c>
      <c r="B993" t="str" cm="1">
        <f t="array" ref="B993">INDEX('Enriched Data'!C:C,A993+1)</f>
        <v>Johnny Piper</v>
      </c>
      <c r="C993" s="11" cm="1">
        <f t="array" ref="C993">INDEX('Enriched Data'!G:G,A993+1)</f>
        <v>14850</v>
      </c>
      <c r="D993" s="11">
        <f t="shared" si="46"/>
        <v>930195076.30999959</v>
      </c>
      <c r="E993" s="10">
        <f t="shared" si="47"/>
        <v>0.99426436403983032</v>
      </c>
    </row>
    <row r="994" spans="1:5">
      <c r="A994">
        <f t="shared" si="45"/>
        <v>993</v>
      </c>
      <c r="B994" t="str" cm="1">
        <f t="array" ref="B994">INDEX('Enriched Data'!C:C,A994+1)</f>
        <v>Allegra Marketing Print Mail</v>
      </c>
      <c r="C994" s="11" cm="1">
        <f t="array" ref="C994">INDEX('Enriched Data'!G:G,A994+1)</f>
        <v>14848.37</v>
      </c>
      <c r="D994" s="11">
        <f t="shared" si="46"/>
        <v>930209924.67999959</v>
      </c>
      <c r="E994" s="10">
        <f t="shared" si="47"/>
        <v>0.99428023512486519</v>
      </c>
    </row>
    <row r="995" spans="1:5">
      <c r="A995">
        <f t="shared" si="45"/>
        <v>994</v>
      </c>
      <c r="B995" t="str" cm="1">
        <f t="array" ref="B995">INDEX('Enriched Data'!C:C,A995+1)</f>
        <v>Elite Landscaping and Lawn Mntc</v>
      </c>
      <c r="C995" s="11" cm="1">
        <f t="array" ref="C995">INDEX('Enriched Data'!G:G,A995+1)</f>
        <v>14820</v>
      </c>
      <c r="D995" s="11">
        <f t="shared" si="46"/>
        <v>930224744.67999959</v>
      </c>
      <c r="E995" s="10">
        <f t="shared" si="47"/>
        <v>0.99429607588585212</v>
      </c>
    </row>
    <row r="996" spans="1:5">
      <c r="A996">
        <f t="shared" si="45"/>
        <v>995</v>
      </c>
      <c r="B996" t="str" cm="1">
        <f t="array" ref="B996">INDEX('Enriched Data'!C:C,A996+1)</f>
        <v>Parker Gas Company Inc.</v>
      </c>
      <c r="C996" s="11" cm="1">
        <f t="array" ref="C996">INDEX('Enriched Data'!G:G,A996+1)</f>
        <v>14802.24</v>
      </c>
      <c r="D996" s="11">
        <f t="shared" si="46"/>
        <v>930239546.9199996</v>
      </c>
      <c r="E996" s="10">
        <f t="shared" si="47"/>
        <v>0.99431189766357897</v>
      </c>
    </row>
    <row r="997" spans="1:5">
      <c r="A997">
        <f t="shared" si="45"/>
        <v>996</v>
      </c>
      <c r="B997" t="str" cm="1">
        <f t="array" ref="B997">INDEX('Enriched Data'!C:C,A997+1)</f>
        <v>Kinko ./Overhead Door Co. of Waco</v>
      </c>
      <c r="C997" s="11" cm="1">
        <f t="array" ref="C997">INDEX('Enriched Data'!G:G,A997+1)</f>
        <v>14722</v>
      </c>
      <c r="D997" s="11">
        <f t="shared" si="46"/>
        <v>930254268.9199996</v>
      </c>
      <c r="E997" s="10">
        <f t="shared" si="47"/>
        <v>0.99432763367459454</v>
      </c>
    </row>
    <row r="998" spans="1:5">
      <c r="A998">
        <f t="shared" si="45"/>
        <v>997</v>
      </c>
      <c r="B998" t="str" cm="1">
        <f t="array" ref="B998">INDEX('Enriched Data'!C:C,A998+1)</f>
        <v>Black and McDonald Ltd.</v>
      </c>
      <c r="C998" s="11" cm="1">
        <f t="array" ref="C998">INDEX('Enriched Data'!G:G,A998+1)</f>
        <v>14668.21</v>
      </c>
      <c r="D998" s="11">
        <f t="shared" si="46"/>
        <v>930268937.12999964</v>
      </c>
      <c r="E998" s="10">
        <f t="shared" si="47"/>
        <v>0.99434331219070227</v>
      </c>
    </row>
    <row r="999" spans="1:5">
      <c r="A999">
        <f t="shared" si="45"/>
        <v>998</v>
      </c>
      <c r="B999" t="str" cm="1">
        <f t="array" ref="B999">INDEX('Enriched Data'!C:C,A999+1)</f>
        <v>Linde Gas &amp; Equipment</v>
      </c>
      <c r="C999" s="11" cm="1">
        <f t="array" ref="C999">INDEX('Enriched Data'!G:G,A999+1)</f>
        <v>14477.22</v>
      </c>
      <c r="D999" s="11">
        <f t="shared" si="46"/>
        <v>930283414.34999967</v>
      </c>
      <c r="E999" s="10">
        <f t="shared" si="47"/>
        <v>0.99435878656194221</v>
      </c>
    </row>
    <row r="1000" spans="1:5">
      <c r="A1000">
        <f t="shared" si="45"/>
        <v>999</v>
      </c>
      <c r="B1000" t="str" cm="1">
        <f t="array" ref="B1000">INDEX('Enriched Data'!C:C,A1000+1)</f>
        <v>Brainlabs USA, LLC</v>
      </c>
      <c r="C1000" s="11" cm="1">
        <f t="array" ref="C1000">INDEX('Enriched Data'!G:G,A1000+1)</f>
        <v>14467.5</v>
      </c>
      <c r="D1000" s="11">
        <f t="shared" si="46"/>
        <v>930297881.84999967</v>
      </c>
      <c r="E1000" s="10">
        <f t="shared" si="47"/>
        <v>0.9943742505436951</v>
      </c>
    </row>
    <row r="1001" spans="1:5">
      <c r="A1001">
        <f t="shared" si="45"/>
        <v>1000</v>
      </c>
      <c r="B1001" t="str" cm="1">
        <f t="array" ref="B1001">INDEX('Enriched Data'!C:C,A1001+1)</f>
        <v>Bolt Acquireco, Inc.</v>
      </c>
      <c r="C1001" s="11" cm="1">
        <f t="array" ref="C1001">INDEX('Enriched Data'!G:G,A1001+1)</f>
        <v>14400.37</v>
      </c>
      <c r="D1001" s="11">
        <f t="shared" si="46"/>
        <v>930312282.21999967</v>
      </c>
      <c r="E1001" s="10">
        <f t="shared" si="47"/>
        <v>0.99438964277171771</v>
      </c>
    </row>
    <row r="1002" spans="1:5">
      <c r="A1002">
        <f t="shared" si="45"/>
        <v>1001</v>
      </c>
      <c r="B1002" t="str" cm="1">
        <f t="array" ref="B1002">INDEX('Enriched Data'!C:C,A1002+1)</f>
        <v>Albert Vaughters</v>
      </c>
      <c r="C1002" s="11" cm="1">
        <f t="array" ref="C1002">INDEX('Enriched Data'!G:G,A1002+1)</f>
        <v>14400</v>
      </c>
      <c r="D1002" s="11">
        <f t="shared" si="46"/>
        <v>930326682.21999967</v>
      </c>
      <c r="E1002" s="10">
        <f t="shared" si="47"/>
        <v>0.99440503460425567</v>
      </c>
    </row>
    <row r="1003" spans="1:5">
      <c r="A1003">
        <f t="shared" si="45"/>
        <v>1002</v>
      </c>
      <c r="B1003" t="str" cm="1">
        <f t="array" ref="B1003">INDEX('Enriched Data'!C:C,A1003+1)</f>
        <v>Bash Realty FL, LLC</v>
      </c>
      <c r="C1003" s="11" cm="1">
        <f t="array" ref="C1003">INDEX('Enriched Data'!G:G,A1003+1)</f>
        <v>14400</v>
      </c>
      <c r="D1003" s="11">
        <f t="shared" si="46"/>
        <v>930341082.21999967</v>
      </c>
      <c r="E1003" s="10">
        <f t="shared" si="47"/>
        <v>0.99442042643679351</v>
      </c>
    </row>
    <row r="1004" spans="1:5">
      <c r="A1004">
        <f t="shared" si="45"/>
        <v>1003</v>
      </c>
      <c r="B1004" t="str" cm="1">
        <f t="array" ref="B1004">INDEX('Enriched Data'!C:C,A1004+1)</f>
        <v>Cinnati Lift Truck &amp; Battery Serv</v>
      </c>
      <c r="C1004" s="11" cm="1">
        <f t="array" ref="C1004">INDEX('Enriched Data'!G:G,A1004+1)</f>
        <v>14335.71</v>
      </c>
      <c r="D1004" s="11">
        <f t="shared" si="46"/>
        <v>930355417.92999971</v>
      </c>
      <c r="E1004" s="10">
        <f t="shared" si="47"/>
        <v>0.9944357495512125</v>
      </c>
    </row>
    <row r="1005" spans="1:5">
      <c r="A1005">
        <f t="shared" si="45"/>
        <v>1004</v>
      </c>
      <c r="B1005" t="str" cm="1">
        <f t="array" ref="B1005">INDEX('Enriched Data'!C:C,A1005+1)</f>
        <v>COS IV LLC</v>
      </c>
      <c r="C1005" s="11" cm="1">
        <f t="array" ref="C1005">INDEX('Enriched Data'!G:G,A1005+1)</f>
        <v>14328.79</v>
      </c>
      <c r="D1005" s="11">
        <f t="shared" si="46"/>
        <v>930369746.71999967</v>
      </c>
      <c r="E1005" s="10">
        <f t="shared" si="47"/>
        <v>0.99445106526900073</v>
      </c>
    </row>
    <row r="1006" spans="1:5">
      <c r="A1006">
        <f t="shared" si="45"/>
        <v>1005</v>
      </c>
      <c r="B1006" t="str" cm="1">
        <f t="array" ref="B1006">INDEX('Enriched Data'!C:C,A1006+1)</f>
        <v>Hotsy Equipment Company</v>
      </c>
      <c r="C1006" s="11" cm="1">
        <f t="array" ref="C1006">INDEX('Enriched Data'!G:G,A1006+1)</f>
        <v>14267.72</v>
      </c>
      <c r="D1006" s="11">
        <f t="shared" si="46"/>
        <v>930384014.4399997</v>
      </c>
      <c r="E1006" s="10">
        <f t="shared" si="47"/>
        <v>0.99446631571045485</v>
      </c>
    </row>
    <row r="1007" spans="1:5">
      <c r="A1007">
        <f t="shared" si="45"/>
        <v>1006</v>
      </c>
      <c r="B1007" t="str" cm="1">
        <f t="array" ref="B1007">INDEX('Enriched Data'!C:C,A1007+1)</f>
        <v>Signarama, Inc. - West Palm Beach</v>
      </c>
      <c r="C1007" s="11" cm="1">
        <f t="array" ref="C1007">INDEX('Enriched Data'!G:G,A1007+1)</f>
        <v>14189.22</v>
      </c>
      <c r="D1007" s="11">
        <f t="shared" si="46"/>
        <v>930398203.65999973</v>
      </c>
      <c r="E1007" s="10">
        <f t="shared" si="47"/>
        <v>0.99448148224504396</v>
      </c>
    </row>
    <row r="1008" spans="1:5">
      <c r="A1008">
        <f t="shared" si="45"/>
        <v>1007</v>
      </c>
      <c r="B1008" t="str" cm="1">
        <f t="array" ref="B1008">INDEX('Enriched Data'!C:C,A1008+1)</f>
        <v>TCL Industries, Inc.</v>
      </c>
      <c r="C1008" s="11" cm="1">
        <f t="array" ref="C1008">INDEX('Enriched Data'!G:G,A1008+1)</f>
        <v>14077.93</v>
      </c>
      <c r="D1008" s="11">
        <f t="shared" si="46"/>
        <v>930412281.58999968</v>
      </c>
      <c r="E1008" s="10">
        <f t="shared" si="47"/>
        <v>0.99449652982428294</v>
      </c>
    </row>
    <row r="1009" spans="1:5">
      <c r="A1009">
        <f t="shared" si="45"/>
        <v>1008</v>
      </c>
      <c r="B1009" t="str" cm="1">
        <f t="array" ref="B1009">INDEX('Enriched Data'!C:C,A1009+1)</f>
        <v>Tritech Electric, LLC</v>
      </c>
      <c r="C1009" s="11" cm="1">
        <f t="array" ref="C1009">INDEX('Enriched Data'!G:G,A1009+1)</f>
        <v>14050</v>
      </c>
      <c r="D1009" s="11">
        <f t="shared" si="46"/>
        <v>930426331.58999968</v>
      </c>
      <c r="E1009" s="10">
        <f t="shared" si="47"/>
        <v>0.99451154754978</v>
      </c>
    </row>
    <row r="1010" spans="1:5">
      <c r="A1010">
        <f t="shared" si="45"/>
        <v>1009</v>
      </c>
      <c r="B1010" t="str" cm="1">
        <f t="array" ref="B1010">INDEX('Enriched Data'!C:C,A1010+1)</f>
        <v>Motor City Door Company, Inc.</v>
      </c>
      <c r="C1010" s="11" cm="1">
        <f t="array" ref="C1010">INDEX('Enriched Data'!G:G,A1010+1)</f>
        <v>13986.46</v>
      </c>
      <c r="D1010" s="11">
        <f t="shared" si="46"/>
        <v>930440318.04999971</v>
      </c>
      <c r="E1010" s="10">
        <f t="shared" si="47"/>
        <v>0.99452649735881604</v>
      </c>
    </row>
    <row r="1011" spans="1:5">
      <c r="A1011">
        <f t="shared" si="45"/>
        <v>1010</v>
      </c>
      <c r="B1011" t="str" cm="1">
        <f t="array" ref="B1011">INDEX('Enriched Data'!C:C,A1011+1)</f>
        <v>United Rentals of Canada Inc</v>
      </c>
      <c r="C1011" s="11" cm="1">
        <f t="array" ref="C1011">INDEX('Enriched Data'!G:G,A1011+1)</f>
        <v>13931.31</v>
      </c>
      <c r="D1011" s="11">
        <f t="shared" si="46"/>
        <v>930454249.35999966</v>
      </c>
      <c r="E1011" s="10">
        <f t="shared" si="47"/>
        <v>0.99454138821927107</v>
      </c>
    </row>
    <row r="1012" spans="1:5">
      <c r="A1012">
        <f t="shared" si="45"/>
        <v>1011</v>
      </c>
      <c r="B1012" t="str" cm="1">
        <f t="array" ref="B1012">INDEX('Enriched Data'!C:C,A1012+1)</f>
        <v>Quarles &amp; Brady LLP</v>
      </c>
      <c r="C1012" s="11" cm="1">
        <f t="array" ref="C1012">INDEX('Enriched Data'!G:G,A1012+1)</f>
        <v>13857</v>
      </c>
      <c r="D1012" s="11">
        <f t="shared" si="46"/>
        <v>930468106.35999966</v>
      </c>
      <c r="E1012" s="10">
        <f t="shared" si="47"/>
        <v>0.99455619965145703</v>
      </c>
    </row>
    <row r="1013" spans="1:5">
      <c r="A1013">
        <f t="shared" si="45"/>
        <v>1012</v>
      </c>
      <c r="B1013" t="str" cm="1">
        <f t="array" ref="B1013">INDEX('Enriched Data'!C:C,A1013+1)</f>
        <v>Brothers Electric Co., Inc.</v>
      </c>
      <c r="C1013" s="11" cm="1">
        <f t="array" ref="C1013">INDEX('Enriched Data'!G:G,A1013+1)</f>
        <v>13835</v>
      </c>
      <c r="D1013" s="11">
        <f t="shared" si="46"/>
        <v>930481941.35999966</v>
      </c>
      <c r="E1013" s="10">
        <f t="shared" si="47"/>
        <v>0.99457098756834339</v>
      </c>
    </row>
    <row r="1014" spans="1:5">
      <c r="A1014">
        <f t="shared" si="45"/>
        <v>1013</v>
      </c>
      <c r="B1014" t="str" cm="1">
        <f t="array" ref="B1014">INDEX('Enriched Data'!C:C,A1014+1)</f>
        <v>EFuel, LLC</v>
      </c>
      <c r="C1014" s="11" cm="1">
        <f t="array" ref="C1014">INDEX('Enriched Data'!G:G,A1014+1)</f>
        <v>13647.84</v>
      </c>
      <c r="D1014" s="11">
        <f t="shared" si="46"/>
        <v>930495589.19999969</v>
      </c>
      <c r="E1014" s="10">
        <f t="shared" si="47"/>
        <v>0.99458557543416171</v>
      </c>
    </row>
    <row r="1015" spans="1:5">
      <c r="A1015">
        <f t="shared" si="45"/>
        <v>1014</v>
      </c>
      <c r="B1015" t="str" cm="1">
        <f t="array" ref="B1015">INDEX('Enriched Data'!C:C,A1015+1)</f>
        <v>Wayne Automatic Fire Sprinklers</v>
      </c>
      <c r="C1015" s="11" cm="1">
        <f t="array" ref="C1015">INDEX('Enriched Data'!G:G,A1015+1)</f>
        <v>13624.63</v>
      </c>
      <c r="D1015" s="11">
        <f t="shared" si="46"/>
        <v>930509213.82999969</v>
      </c>
      <c r="E1015" s="10">
        <f t="shared" si="47"/>
        <v>0.99460013849133888</v>
      </c>
    </row>
    <row r="1016" spans="1:5">
      <c r="A1016">
        <f t="shared" si="45"/>
        <v>1015</v>
      </c>
      <c r="B1016" t="str" cm="1">
        <f t="array" ref="B1016">INDEX('Enriched Data'!C:C,A1016+1)</f>
        <v>Outlaw Equipment Service</v>
      </c>
      <c r="C1016" s="11" cm="1">
        <f t="array" ref="C1016">INDEX('Enriched Data'!G:G,A1016+1)</f>
        <v>13621</v>
      </c>
      <c r="D1016" s="11">
        <f t="shared" si="46"/>
        <v>930522834.82999969</v>
      </c>
      <c r="E1016" s="10">
        <f t="shared" si="47"/>
        <v>0.99461469766849164</v>
      </c>
    </row>
    <row r="1017" spans="1:5">
      <c r="A1017">
        <f t="shared" si="45"/>
        <v>1016</v>
      </c>
      <c r="B1017" t="str" cm="1">
        <f t="array" ref="B1017">INDEX('Enriched Data'!C:C,A1017+1)</f>
        <v>Keystone Contractors Partnership</v>
      </c>
      <c r="C1017" s="11" cm="1">
        <f t="array" ref="C1017">INDEX('Enriched Data'!G:G,A1017+1)</f>
        <v>13600</v>
      </c>
      <c r="D1017" s="11">
        <f t="shared" si="46"/>
        <v>930536434.82999969</v>
      </c>
      <c r="E1017" s="10">
        <f t="shared" si="47"/>
        <v>0.99462923439922191</v>
      </c>
    </row>
    <row r="1018" spans="1:5">
      <c r="A1018">
        <f t="shared" si="45"/>
        <v>1017</v>
      </c>
      <c r="B1018" t="str" cm="1">
        <f t="array" ref="B1018">INDEX('Enriched Data'!C:C,A1018+1)</f>
        <v>Port of Bremerton</v>
      </c>
      <c r="C1018" s="11" cm="1">
        <f t="array" ref="C1018">INDEX('Enriched Data'!G:G,A1018+1)</f>
        <v>13544.88</v>
      </c>
      <c r="D1018" s="11">
        <f t="shared" si="46"/>
        <v>930549979.70999968</v>
      </c>
      <c r="E1018" s="10">
        <f t="shared" si="47"/>
        <v>0.99464371221343761</v>
      </c>
    </row>
    <row r="1019" spans="1:5">
      <c r="A1019">
        <f t="shared" si="45"/>
        <v>1018</v>
      </c>
      <c r="B1019" t="str" cm="1">
        <f t="array" ref="B1019">INDEX('Enriched Data'!C:C,A1019+1)</f>
        <v>McCarthy Tire Service Company</v>
      </c>
      <c r="C1019" s="11" cm="1">
        <f t="array" ref="C1019">INDEX('Enriched Data'!G:G,A1019+1)</f>
        <v>13432.99</v>
      </c>
      <c r="D1019" s="11">
        <f t="shared" si="46"/>
        <v>930563412.69999969</v>
      </c>
      <c r="E1019" s="10">
        <f t="shared" si="47"/>
        <v>0.99465807043097676</v>
      </c>
    </row>
    <row r="1020" spans="1:5">
      <c r="A1020">
        <f t="shared" si="45"/>
        <v>1019</v>
      </c>
      <c r="B1020" t="str" cm="1">
        <f t="array" ref="B1020">INDEX('Enriched Data'!C:C,A1020+1)</f>
        <v>JPMorgan Chase Bank N.A., Toronto Branch</v>
      </c>
      <c r="C1020" s="11" cm="1">
        <f t="array" ref="C1020">INDEX('Enriched Data'!G:G,A1020+1)</f>
        <v>13421.99</v>
      </c>
      <c r="D1020" s="11">
        <f t="shared" si="46"/>
        <v>930576834.6899997</v>
      </c>
      <c r="E1020" s="10">
        <f t="shared" si="47"/>
        <v>0.99467241689086605</v>
      </c>
    </row>
    <row r="1021" spans="1:5">
      <c r="A1021">
        <f t="shared" si="45"/>
        <v>1020</v>
      </c>
      <c r="B1021" t="str" cm="1">
        <f t="array" ref="B1021">INDEX('Enriched Data'!C:C,A1021+1)</f>
        <v>Clean Water Technologies, LLC</v>
      </c>
      <c r="C1021" s="11" cm="1">
        <f t="array" ref="C1021">INDEX('Enriched Data'!G:G,A1021+1)</f>
        <v>13384.44</v>
      </c>
      <c r="D1021" s="11">
        <f t="shared" si="46"/>
        <v>930590219.12999976</v>
      </c>
      <c r="E1021" s="10">
        <f t="shared" si="47"/>
        <v>0.99468672321441431</v>
      </c>
    </row>
    <row r="1022" spans="1:5">
      <c r="A1022">
        <f t="shared" si="45"/>
        <v>1021</v>
      </c>
      <c r="B1022" t="str" cm="1">
        <f t="array" ref="B1022">INDEX('Enriched Data'!C:C,A1022+1)</f>
        <v>Evolution Forklift, LLC</v>
      </c>
      <c r="C1022" s="11" cm="1">
        <f t="array" ref="C1022">INDEX('Enriched Data'!G:G,A1022+1)</f>
        <v>13315.59</v>
      </c>
      <c r="D1022" s="11">
        <f t="shared" si="46"/>
        <v>930603534.71999979</v>
      </c>
      <c r="E1022" s="10">
        <f t="shared" si="47"/>
        <v>0.99470095594576324</v>
      </c>
    </row>
    <row r="1023" spans="1:5">
      <c r="A1023">
        <f t="shared" si="45"/>
        <v>1022</v>
      </c>
      <c r="B1023" t="str" cm="1">
        <f t="array" ref="B1023">INDEX('Enriched Data'!C:C,A1023+1)</f>
        <v>Ferrellgas</v>
      </c>
      <c r="C1023" s="11" cm="1">
        <f t="array" ref="C1023">INDEX('Enriched Data'!G:G,A1023+1)</f>
        <v>13292.62</v>
      </c>
      <c r="D1023" s="11">
        <f t="shared" si="46"/>
        <v>930616827.33999979</v>
      </c>
      <c r="E1023" s="10">
        <f t="shared" si="47"/>
        <v>0.99471516412500149</v>
      </c>
    </row>
    <row r="1024" spans="1:5">
      <c r="A1024">
        <f t="shared" si="45"/>
        <v>1023</v>
      </c>
      <c r="B1024" t="str" cm="1">
        <f t="array" ref="B1024">INDEX('Enriched Data'!C:C,A1024+1)</f>
        <v>Benesch, Friedlander, Coplan &amp; Aron</v>
      </c>
      <c r="C1024" s="11" cm="1">
        <f t="array" ref="C1024">INDEX('Enriched Data'!G:G,A1024+1)</f>
        <v>13253</v>
      </c>
      <c r="D1024" s="11">
        <f t="shared" si="46"/>
        <v>930630080.33999979</v>
      </c>
      <c r="E1024" s="10">
        <f t="shared" si="47"/>
        <v>0.99472932995532271</v>
      </c>
    </row>
    <row r="1025" spans="1:5">
      <c r="A1025">
        <f t="shared" si="45"/>
        <v>1024</v>
      </c>
      <c r="B1025" t="str" cm="1">
        <f t="array" ref="B1025">INDEX('Enriched Data'!C:C,A1025+1)</f>
        <v>Anne M. Carter</v>
      </c>
      <c r="C1025" s="11" cm="1">
        <f t="array" ref="C1025">INDEX('Enriched Data'!G:G,A1025+1)</f>
        <v>13200</v>
      </c>
      <c r="D1025" s="11">
        <f t="shared" si="46"/>
        <v>930643280.33999979</v>
      </c>
      <c r="E1025" s="10">
        <f t="shared" si="47"/>
        <v>0.99474343913514907</v>
      </c>
    </row>
    <row r="1026" spans="1:5">
      <c r="A1026">
        <f t="shared" si="45"/>
        <v>1025</v>
      </c>
      <c r="B1026" t="str" cm="1">
        <f t="array" ref="B1026">INDEX('Enriched Data'!C:C,A1026+1)</f>
        <v>Consolidated Pallet Co. INC</v>
      </c>
      <c r="C1026" s="11" cm="1">
        <f t="array" ref="C1026">INDEX('Enriched Data'!G:G,A1026+1)</f>
        <v>13195.06</v>
      </c>
      <c r="D1026" s="11">
        <f t="shared" si="46"/>
        <v>930656475.39999974</v>
      </c>
      <c r="E1026" s="10">
        <f t="shared" si="47"/>
        <v>0.99475754303472186</v>
      </c>
    </row>
    <row r="1027" spans="1:5">
      <c r="A1027">
        <f t="shared" si="45"/>
        <v>1026</v>
      </c>
      <c r="B1027" t="str" cm="1">
        <f t="array" ref="B1027">INDEX('Enriched Data'!C:C,A1027+1)</f>
        <v>Ogletree, Deakins, Nash, Smoak, P.C</v>
      </c>
      <c r="C1027" s="11" cm="1">
        <f t="array" ref="C1027">INDEX('Enriched Data'!G:G,A1027+1)</f>
        <v>13173.85</v>
      </c>
      <c r="D1027" s="11">
        <f t="shared" si="46"/>
        <v>930669649.24999976</v>
      </c>
      <c r="E1027" s="10">
        <f t="shared" si="47"/>
        <v>0.99477162426340793</v>
      </c>
    </row>
    <row r="1028" spans="1:5">
      <c r="A1028">
        <f t="shared" ref="A1028:A1091" si="48">A1027+1</f>
        <v>1027</v>
      </c>
      <c r="B1028" t="str" cm="1">
        <f t="array" ref="B1028">INDEX('Enriched Data'!C:C,A1028+1)</f>
        <v>Hatfield Brothers Truck Service LTD</v>
      </c>
      <c r="C1028" s="11" cm="1">
        <f t="array" ref="C1028">INDEX('Enriched Data'!G:G,A1028+1)</f>
        <v>13128.25</v>
      </c>
      <c r="D1028" s="11">
        <f t="shared" ref="D1028:D1091" si="49">D1027+C1028</f>
        <v>930682777.49999976</v>
      </c>
      <c r="E1028" s="10">
        <f t="shared" ref="E1028:E1091" si="50">D1028/$F$2</f>
        <v>0.99478565675129105</v>
      </c>
    </row>
    <row r="1029" spans="1:5">
      <c r="A1029">
        <f t="shared" si="48"/>
        <v>1028</v>
      </c>
      <c r="B1029" t="str" cm="1">
        <f t="array" ref="B1029">INDEX('Enriched Data'!C:C,A1029+1)</f>
        <v>Chris Wolodkowlcz</v>
      </c>
      <c r="C1029" s="11" cm="1">
        <f t="array" ref="C1029">INDEX('Enriched Data'!G:G,A1029+1)</f>
        <v>13100.3</v>
      </c>
      <c r="D1029" s="11">
        <f t="shared" si="49"/>
        <v>930695877.79999971</v>
      </c>
      <c r="E1029" s="10">
        <f t="shared" si="50"/>
        <v>0.99479965936405468</v>
      </c>
    </row>
    <row r="1030" spans="1:5">
      <c r="A1030">
        <f t="shared" si="48"/>
        <v>1029</v>
      </c>
      <c r="B1030" t="str" cm="1">
        <f t="array" ref="B1030">INDEX('Enriched Data'!C:C,A1030+1)</f>
        <v>Woodfin Heating Inc dba Woodfin Oil</v>
      </c>
      <c r="C1030" s="11" cm="1">
        <f t="array" ref="C1030">INDEX('Enriched Data'!G:G,A1030+1)</f>
        <v>13046.23</v>
      </c>
      <c r="D1030" s="11">
        <f t="shared" si="49"/>
        <v>930708924.02999973</v>
      </c>
      <c r="E1030" s="10">
        <f t="shared" si="50"/>
        <v>0.99481360418262488</v>
      </c>
    </row>
    <row r="1031" spans="1:5">
      <c r="A1031">
        <f t="shared" si="48"/>
        <v>1030</v>
      </c>
      <c r="B1031" t="str" cm="1">
        <f t="array" ref="B1031">INDEX('Enriched Data'!C:C,A1031+1)</f>
        <v>CLS Facilitites Mgt Servs,</v>
      </c>
      <c r="C1031" s="11" cm="1">
        <f t="array" ref="C1031">INDEX('Enriched Data'!G:G,A1031+1)</f>
        <v>12975.47</v>
      </c>
      <c r="D1031" s="11">
        <f t="shared" si="49"/>
        <v>930721899.49999976</v>
      </c>
      <c r="E1031" s="10">
        <f t="shared" si="50"/>
        <v>0.99482747336744026</v>
      </c>
    </row>
    <row r="1032" spans="1:5">
      <c r="A1032">
        <f t="shared" si="48"/>
        <v>1031</v>
      </c>
      <c r="B1032" t="str" cm="1">
        <f t="array" ref="B1032">INDEX('Enriched Data'!C:C,A1032+1)</f>
        <v>Canyon Overhead Doors Inc.</v>
      </c>
      <c r="C1032" s="11" cm="1">
        <f t="array" ref="C1032">INDEX('Enriched Data'!G:G,A1032+1)</f>
        <v>12913</v>
      </c>
      <c r="D1032" s="11">
        <f t="shared" si="49"/>
        <v>930734812.49999976</v>
      </c>
      <c r="E1032" s="10">
        <f t="shared" si="50"/>
        <v>0.99484127577949322</v>
      </c>
    </row>
    <row r="1033" spans="1:5">
      <c r="A1033">
        <f t="shared" si="48"/>
        <v>1032</v>
      </c>
      <c r="B1033" t="str" cm="1">
        <f t="array" ref="B1033">INDEX('Enriched Data'!C:C,A1033+1)</f>
        <v>Vans Towing &amp; Transport</v>
      </c>
      <c r="C1033" s="11" cm="1">
        <f t="array" ref="C1033">INDEX('Enriched Data'!G:G,A1033+1)</f>
        <v>12900</v>
      </c>
      <c r="D1033" s="11">
        <f t="shared" si="49"/>
        <v>930747712.49999976</v>
      </c>
      <c r="E1033" s="10">
        <f t="shared" si="50"/>
        <v>0.99485506429614179</v>
      </c>
    </row>
    <row r="1034" spans="1:5">
      <c r="A1034">
        <f t="shared" si="48"/>
        <v>1033</v>
      </c>
      <c r="B1034" t="str" cm="1">
        <f t="array" ref="B1034">INDEX('Enriched Data'!C:C,A1034+1)</f>
        <v>Staples Business Advantage</v>
      </c>
      <c r="C1034" s="11" cm="1">
        <f t="array" ref="C1034">INDEX('Enriched Data'!G:G,A1034+1)</f>
        <v>12881.11</v>
      </c>
      <c r="D1034" s="11">
        <f t="shared" si="49"/>
        <v>930760593.60999978</v>
      </c>
      <c r="E1034" s="10">
        <f t="shared" si="50"/>
        <v>0.9948688326216989</v>
      </c>
    </row>
    <row r="1035" spans="1:5">
      <c r="A1035">
        <f t="shared" si="48"/>
        <v>1034</v>
      </c>
      <c r="B1035" t="str" cm="1">
        <f t="array" ref="B1035">INDEX('Enriched Data'!C:C,A1035+1)</f>
        <v>F &amp; A Concrete and Landsc Servs,</v>
      </c>
      <c r="C1035" s="11" cm="1">
        <f t="array" ref="C1035">INDEX('Enriched Data'!G:G,A1035+1)</f>
        <v>12865</v>
      </c>
      <c r="D1035" s="11">
        <f t="shared" si="49"/>
        <v>930773458.60999978</v>
      </c>
      <c r="E1035" s="10">
        <f t="shared" si="50"/>
        <v>0.99488258372764338</v>
      </c>
    </row>
    <row r="1036" spans="1:5">
      <c r="A1036">
        <f t="shared" si="48"/>
        <v>1035</v>
      </c>
      <c r="B1036" t="str" cm="1">
        <f t="array" ref="B1036">INDEX('Enriched Data'!C:C,A1036+1)</f>
        <v>Honey Bucket</v>
      </c>
      <c r="C1036" s="11" cm="1">
        <f t="array" ref="C1036">INDEX('Enriched Data'!G:G,A1036+1)</f>
        <v>12861.58</v>
      </c>
      <c r="D1036" s="11">
        <f t="shared" si="49"/>
        <v>930786320.18999982</v>
      </c>
      <c r="E1036" s="10">
        <f t="shared" si="50"/>
        <v>0.99489633117802767</v>
      </c>
    </row>
    <row r="1037" spans="1:5">
      <c r="A1037">
        <f t="shared" si="48"/>
        <v>1036</v>
      </c>
      <c r="B1037" t="str" cm="1">
        <f t="array" ref="B1037">INDEX('Enriched Data'!C:C,A1037+1)</f>
        <v>Maricela Garcia</v>
      </c>
      <c r="C1037" s="11" cm="1">
        <f t="array" ref="C1037">INDEX('Enriched Data'!G:G,A1037+1)</f>
        <v>12860</v>
      </c>
      <c r="D1037" s="11">
        <f t="shared" si="49"/>
        <v>930799180.18999982</v>
      </c>
      <c r="E1037" s="10">
        <f t="shared" si="50"/>
        <v>0.99491007693958589</v>
      </c>
    </row>
    <row r="1038" spans="1:5">
      <c r="A1038">
        <f t="shared" si="48"/>
        <v>1037</v>
      </c>
      <c r="B1038" t="str" cm="1">
        <f t="array" ref="B1038">INDEX('Enriched Data'!C:C,A1038+1)</f>
        <v>Kept Co. Inc. dba Fleetwash</v>
      </c>
      <c r="C1038" s="11" cm="1">
        <f t="array" ref="C1038">INDEX('Enriched Data'!G:G,A1038+1)</f>
        <v>12851.84</v>
      </c>
      <c r="D1038" s="11">
        <f t="shared" si="49"/>
        <v>930812032.02999985</v>
      </c>
      <c r="E1038" s="10">
        <f t="shared" si="50"/>
        <v>0.99492381397910568</v>
      </c>
    </row>
    <row r="1039" spans="1:5">
      <c r="A1039">
        <f t="shared" si="48"/>
        <v>1038</v>
      </c>
      <c r="B1039" t="str" cm="1">
        <f t="array" ref="B1039">INDEX('Enriched Data'!C:C,A1039+1)</f>
        <v>J.V.S. Sprint Enterprises, Inc.</v>
      </c>
      <c r="C1039" s="11" cm="1">
        <f t="array" ref="C1039">INDEX('Enriched Data'!G:G,A1039+1)</f>
        <v>12775.61</v>
      </c>
      <c r="D1039" s="11">
        <f t="shared" si="49"/>
        <v>930824807.63999987</v>
      </c>
      <c r="E1039" s="10">
        <f t="shared" si="50"/>
        <v>0.99493746953811191</v>
      </c>
    </row>
    <row r="1040" spans="1:5">
      <c r="A1040">
        <f t="shared" si="48"/>
        <v>1039</v>
      </c>
      <c r="B1040" t="str" cm="1">
        <f t="array" ref="B1040">INDEX('Enriched Data'!C:C,A1040+1)</f>
        <v>Encore Fire Protection</v>
      </c>
      <c r="C1040" s="11" cm="1">
        <f t="array" ref="C1040">INDEX('Enriched Data'!G:G,A1040+1)</f>
        <v>12766.71</v>
      </c>
      <c r="D1040" s="11">
        <f t="shared" si="49"/>
        <v>930837574.3499999</v>
      </c>
      <c r="E1040" s="10">
        <f t="shared" si="50"/>
        <v>0.99495111558411065</v>
      </c>
    </row>
    <row r="1041" spans="1:5">
      <c r="A1041">
        <f t="shared" si="48"/>
        <v>1040</v>
      </c>
      <c r="B1041" t="str" cm="1">
        <f t="array" ref="B1041">INDEX('Enriched Data'!C:C,A1041+1)</f>
        <v>Sampsons Automotive LLC</v>
      </c>
      <c r="C1041" s="11" cm="1">
        <f t="array" ref="C1041">INDEX('Enriched Data'!G:G,A1041+1)</f>
        <v>12763.94</v>
      </c>
      <c r="D1041" s="11">
        <f t="shared" si="49"/>
        <v>930850338.28999996</v>
      </c>
      <c r="E1041" s="10">
        <f t="shared" si="50"/>
        <v>0.99496475866931933</v>
      </c>
    </row>
    <row r="1042" spans="1:5">
      <c r="A1042">
        <f t="shared" si="48"/>
        <v>1041</v>
      </c>
      <c r="B1042" t="str" cm="1">
        <f t="array" ref="B1042">INDEX('Enriched Data'!C:C,A1042+1)</f>
        <v>Laura Gabriel</v>
      </c>
      <c r="C1042" s="11" cm="1">
        <f t="array" ref="C1042">INDEX('Enriched Data'!G:G,A1042+1)</f>
        <v>12760</v>
      </c>
      <c r="D1042" s="11">
        <f t="shared" si="49"/>
        <v>930863098.28999996</v>
      </c>
      <c r="E1042" s="10">
        <f t="shared" si="50"/>
        <v>0.99497839754315154</v>
      </c>
    </row>
    <row r="1043" spans="1:5">
      <c r="A1043">
        <f t="shared" si="48"/>
        <v>1042</v>
      </c>
      <c r="B1043" t="str" cm="1">
        <f t="array" ref="B1043">INDEX('Enriched Data'!C:C,A1043+1)</f>
        <v>Steve and Sally Wood</v>
      </c>
      <c r="C1043" s="11" cm="1">
        <f t="array" ref="C1043">INDEX('Enriched Data'!G:G,A1043+1)</f>
        <v>12660</v>
      </c>
      <c r="D1043" s="11">
        <f t="shared" si="49"/>
        <v>930875758.28999996</v>
      </c>
      <c r="E1043" s="10">
        <f t="shared" si="50"/>
        <v>0.99499192952925775</v>
      </c>
    </row>
    <row r="1044" spans="1:5">
      <c r="A1044">
        <f t="shared" si="48"/>
        <v>1043</v>
      </c>
      <c r="B1044" t="str" cm="1">
        <f t="array" ref="B1044">INDEX('Enriched Data'!C:C,A1044+1)</f>
        <v>Pulte Group Divosta</v>
      </c>
      <c r="C1044" s="11" cm="1">
        <f t="array" ref="C1044">INDEX('Enriched Data'!G:G,A1044+1)</f>
        <v>12654.77</v>
      </c>
      <c r="D1044" s="11">
        <f t="shared" si="49"/>
        <v>930888413.05999994</v>
      </c>
      <c r="E1044" s="10">
        <f t="shared" si="50"/>
        <v>0.9950054559251359</v>
      </c>
    </row>
    <row r="1045" spans="1:5">
      <c r="A1045">
        <f t="shared" si="48"/>
        <v>1044</v>
      </c>
      <c r="B1045" t="str" cm="1">
        <f t="array" ref="B1045">INDEX('Enriched Data'!C:C,A1045+1)</f>
        <v>A.M.B. LIFT INC</v>
      </c>
      <c r="C1045" s="11" cm="1">
        <f t="array" ref="C1045">INDEX('Enriched Data'!G:G,A1045+1)</f>
        <v>12629.62</v>
      </c>
      <c r="D1045" s="11">
        <f t="shared" si="49"/>
        <v>930901042.67999995</v>
      </c>
      <c r="E1045" s="10">
        <f t="shared" si="50"/>
        <v>0.99501895543875107</v>
      </c>
    </row>
    <row r="1046" spans="1:5">
      <c r="A1046">
        <f t="shared" si="48"/>
        <v>1045</v>
      </c>
      <c r="B1046" t="str" cm="1">
        <f t="array" ref="B1046">INDEX('Enriched Data'!C:C,A1046+1)</f>
        <v>Cal-State Site Services</v>
      </c>
      <c r="C1046" s="11" cm="1">
        <f t="array" ref="C1046">INDEX('Enriched Data'!G:G,A1046+1)</f>
        <v>12522.32</v>
      </c>
      <c r="D1046" s="11">
        <f t="shared" si="49"/>
        <v>930913565</v>
      </c>
      <c r="E1046" s="10">
        <f t="shared" si="50"/>
        <v>0.99503234026183629</v>
      </c>
    </row>
    <row r="1047" spans="1:5">
      <c r="A1047">
        <f t="shared" si="48"/>
        <v>1046</v>
      </c>
      <c r="B1047" t="str" cm="1">
        <f t="array" ref="B1047">INDEX('Enriched Data'!C:C,A1047+1)</f>
        <v>Plant A Insights Group, LLC</v>
      </c>
      <c r="C1047" s="11" cm="1">
        <f t="array" ref="C1047">INDEX('Enriched Data'!G:G,A1047+1)</f>
        <v>12500</v>
      </c>
      <c r="D1047" s="11">
        <f t="shared" si="49"/>
        <v>930926065</v>
      </c>
      <c r="E1047" s="10">
        <f t="shared" si="50"/>
        <v>0.99504570122758107</v>
      </c>
    </row>
    <row r="1048" spans="1:5">
      <c r="A1048">
        <f t="shared" si="48"/>
        <v>1047</v>
      </c>
      <c r="B1048" t="str" cm="1">
        <f t="array" ref="B1048">INDEX('Enriched Data'!C:C,A1048+1)</f>
        <v>Sila Services, LLC</v>
      </c>
      <c r="C1048" s="11" cm="1">
        <f t="array" ref="C1048">INDEX('Enriched Data'!G:G,A1048+1)</f>
        <v>12485.51</v>
      </c>
      <c r="D1048" s="11">
        <f t="shared" si="49"/>
        <v>930938550.50999999</v>
      </c>
      <c r="E1048" s="10">
        <f t="shared" si="50"/>
        <v>0.99505904670529421</v>
      </c>
    </row>
    <row r="1049" spans="1:5">
      <c r="A1049">
        <f t="shared" si="48"/>
        <v>1048</v>
      </c>
      <c r="B1049" t="str" cm="1">
        <f t="array" ref="B1049">INDEX('Enriched Data'!C:C,A1049+1)</f>
        <v>Jim Whitehead Tire &amp; Auto</v>
      </c>
      <c r="C1049" s="11" cm="1">
        <f t="array" ref="C1049">INDEX('Enriched Data'!G:G,A1049+1)</f>
        <v>12456.57</v>
      </c>
      <c r="D1049" s="11">
        <f t="shared" si="49"/>
        <v>930951007.08000004</v>
      </c>
      <c r="E1049" s="10">
        <f t="shared" si="50"/>
        <v>0.99507236124969967</v>
      </c>
    </row>
    <row r="1050" spans="1:5">
      <c r="A1050">
        <f t="shared" si="48"/>
        <v>1049</v>
      </c>
      <c r="B1050" t="str" cm="1">
        <f t="array" ref="B1050">INDEX('Enriched Data'!C:C,A1050+1)</f>
        <v>Jet Brains Americas Inc.</v>
      </c>
      <c r="C1050" s="11" cm="1">
        <f t="array" ref="C1050">INDEX('Enriched Data'!G:G,A1050+1)</f>
        <v>12436.53</v>
      </c>
      <c r="D1050" s="11">
        <f t="shared" si="49"/>
        <v>930963443.61000001</v>
      </c>
      <c r="E1050" s="10">
        <f t="shared" si="50"/>
        <v>0.9950856543738047</v>
      </c>
    </row>
    <row r="1051" spans="1:5">
      <c r="A1051">
        <f t="shared" si="48"/>
        <v>1050</v>
      </c>
      <c r="B1051" t="str" cm="1">
        <f t="array" ref="B1051">INDEX('Enriched Data'!C:C,A1051+1)</f>
        <v>The Crazy Eight</v>
      </c>
      <c r="C1051" s="11" cm="1">
        <f t="array" ref="C1051">INDEX('Enriched Data'!G:G,A1051+1)</f>
        <v>12400</v>
      </c>
      <c r="D1051" s="11">
        <f t="shared" si="49"/>
        <v>930975843.61000001</v>
      </c>
      <c r="E1051" s="10">
        <f t="shared" si="50"/>
        <v>0.99509890845182347</v>
      </c>
    </row>
    <row r="1052" spans="1:5">
      <c r="A1052">
        <f t="shared" si="48"/>
        <v>1051</v>
      </c>
      <c r="B1052" t="str" cm="1">
        <f t="array" ref="B1052">INDEX('Enriched Data'!C:C,A1052+1)</f>
        <v>Rental Concepts Inc</v>
      </c>
      <c r="C1052" s="11" cm="1">
        <f t="array" ref="C1052">INDEX('Enriched Data'!G:G,A1052+1)</f>
        <v>12379.56</v>
      </c>
      <c r="D1052" s="11">
        <f t="shared" si="49"/>
        <v>930988223.16999996</v>
      </c>
      <c r="E1052" s="10">
        <f t="shared" si="50"/>
        <v>0.99511214068199105</v>
      </c>
    </row>
    <row r="1053" spans="1:5">
      <c r="A1053">
        <f t="shared" si="48"/>
        <v>1052</v>
      </c>
      <c r="B1053" t="str" cm="1">
        <f t="array" ref="B1053">INDEX('Enriched Data'!C:C,A1053+1)</f>
        <v>Maria Maldonado</v>
      </c>
      <c r="C1053" s="11" cm="1">
        <f t="array" ref="C1053">INDEX('Enriched Data'!G:G,A1053+1)</f>
        <v>12375.5</v>
      </c>
      <c r="D1053" s="11">
        <f t="shared" si="49"/>
        <v>931000598.66999996</v>
      </c>
      <c r="E1053" s="10">
        <f t="shared" si="50"/>
        <v>0.99512536857251688</v>
      </c>
    </row>
    <row r="1054" spans="1:5">
      <c r="A1054">
        <f t="shared" si="48"/>
        <v>1053</v>
      </c>
      <c r="B1054" t="str" cm="1">
        <f t="array" ref="B1054">INDEX('Enriched Data'!C:C,A1054+1)</f>
        <v>Figma Inc.</v>
      </c>
      <c r="C1054" s="11" cm="1">
        <f t="array" ref="C1054">INDEX('Enriched Data'!G:G,A1054+1)</f>
        <v>12360</v>
      </c>
      <c r="D1054" s="11">
        <f t="shared" si="49"/>
        <v>931012958.66999996</v>
      </c>
      <c r="E1054" s="10">
        <f t="shared" si="50"/>
        <v>0.9951385798954453</v>
      </c>
    </row>
    <row r="1055" spans="1:5">
      <c r="A1055">
        <f t="shared" si="48"/>
        <v>1054</v>
      </c>
      <c r="B1055" t="str" cm="1">
        <f t="array" ref="B1055">INDEX('Enriched Data'!C:C,A1055+1)</f>
        <v>Jason Edwards</v>
      </c>
      <c r="C1055" s="11" cm="1">
        <f t="array" ref="C1055">INDEX('Enriched Data'!G:G,A1055+1)</f>
        <v>12340.3</v>
      </c>
      <c r="D1055" s="11">
        <f t="shared" si="49"/>
        <v>931025298.96999991</v>
      </c>
      <c r="E1055" s="10">
        <f t="shared" si="50"/>
        <v>0.9951517701614917</v>
      </c>
    </row>
    <row r="1056" spans="1:5">
      <c r="A1056">
        <f t="shared" si="48"/>
        <v>1055</v>
      </c>
      <c r="B1056" t="str" cm="1">
        <f t="array" ref="B1056">INDEX('Enriched Data'!C:C,A1056+1)</f>
        <v>Lighthouse Electrical Contractors</v>
      </c>
      <c r="C1056" s="11" cm="1">
        <f t="array" ref="C1056">INDEX('Enriched Data'!G:G,A1056+1)</f>
        <v>12337.5</v>
      </c>
      <c r="D1056" s="11">
        <f t="shared" si="49"/>
        <v>931037636.46999991</v>
      </c>
      <c r="E1056" s="10">
        <f t="shared" si="50"/>
        <v>0.9951649574346817</v>
      </c>
    </row>
    <row r="1057" spans="1:5">
      <c r="A1057">
        <f t="shared" si="48"/>
        <v>1056</v>
      </c>
      <c r="B1057" t="str" cm="1">
        <f t="array" ref="B1057">INDEX('Enriched Data'!C:C,A1057+1)</f>
        <v>Extreme Cleaning and Detailing LLC</v>
      </c>
      <c r="C1057" s="11" cm="1">
        <f t="array" ref="C1057">INDEX('Enriched Data'!G:G,A1057+1)</f>
        <v>12300</v>
      </c>
      <c r="D1057" s="11">
        <f t="shared" si="49"/>
        <v>931049936.46999991</v>
      </c>
      <c r="E1057" s="10">
        <f t="shared" si="50"/>
        <v>0.99517810462497447</v>
      </c>
    </row>
    <row r="1058" spans="1:5">
      <c r="A1058">
        <f t="shared" si="48"/>
        <v>1057</v>
      </c>
      <c r="B1058" t="str" cm="1">
        <f t="array" ref="B1058">INDEX('Enriched Data'!C:C,A1058+1)</f>
        <v>St.Augustine Electric Motor Works</v>
      </c>
      <c r="C1058" s="11" cm="1">
        <f t="array" ref="C1058">INDEX('Enriched Data'!G:G,A1058+1)</f>
        <v>12204.9</v>
      </c>
      <c r="D1058" s="11">
        <f t="shared" si="49"/>
        <v>931062141.36999989</v>
      </c>
      <c r="E1058" s="10">
        <f t="shared" si="50"/>
        <v>0.9951911501650399</v>
      </c>
    </row>
    <row r="1059" spans="1:5">
      <c r="A1059">
        <f t="shared" si="48"/>
        <v>1058</v>
      </c>
      <c r="B1059" t="str" cm="1">
        <f t="array" ref="B1059">INDEX('Enriched Data'!C:C,A1059+1)</f>
        <v>Danielle Facer</v>
      </c>
      <c r="C1059" s="11" cm="1">
        <f t="array" ref="C1059">INDEX('Enriched Data'!G:G,A1059+1)</f>
        <v>12200</v>
      </c>
      <c r="D1059" s="11">
        <f t="shared" si="49"/>
        <v>931074341.36999989</v>
      </c>
      <c r="E1059" s="10">
        <f t="shared" si="50"/>
        <v>0.99520419046760678</v>
      </c>
    </row>
    <row r="1060" spans="1:5">
      <c r="A1060">
        <f t="shared" si="48"/>
        <v>1059</v>
      </c>
      <c r="B1060" t="str" cm="1">
        <f t="array" ref="B1060">INDEX('Enriched Data'!C:C,A1060+1)</f>
        <v>Joseph P Steo</v>
      </c>
      <c r="C1060" s="11" cm="1">
        <f t="array" ref="C1060">INDEX('Enriched Data'!G:G,A1060+1)</f>
        <v>12200</v>
      </c>
      <c r="D1060" s="11">
        <f t="shared" si="49"/>
        <v>931086541.36999989</v>
      </c>
      <c r="E1060" s="10">
        <f t="shared" si="50"/>
        <v>0.99521723077017366</v>
      </c>
    </row>
    <row r="1061" spans="1:5">
      <c r="A1061">
        <f t="shared" si="48"/>
        <v>1060</v>
      </c>
      <c r="B1061" t="str" cm="1">
        <f t="array" ref="B1061">INDEX('Enriched Data'!C:C,A1061+1)</f>
        <v>AS&amp;P Billing Services Corp.</v>
      </c>
      <c r="C1061" s="11" cm="1">
        <f t="array" ref="C1061">INDEX('Enriched Data'!G:G,A1061+1)</f>
        <v>12176.62</v>
      </c>
      <c r="D1061" s="11">
        <f t="shared" si="49"/>
        <v>931098717.98999989</v>
      </c>
      <c r="E1061" s="10">
        <f t="shared" si="50"/>
        <v>0.99523024608239019</v>
      </c>
    </row>
    <row r="1062" spans="1:5">
      <c r="A1062">
        <f t="shared" si="48"/>
        <v>1061</v>
      </c>
      <c r="B1062" t="str" cm="1">
        <f t="array" ref="B1062">INDEX('Enriched Data'!C:C,A1062+1)</f>
        <v>Mojave Air and Space Port</v>
      </c>
      <c r="C1062" s="11" cm="1">
        <f t="array" ref="C1062">INDEX('Enriched Data'!G:G,A1062+1)</f>
        <v>12176.12</v>
      </c>
      <c r="D1062" s="11">
        <f t="shared" si="49"/>
        <v>931110894.1099999</v>
      </c>
      <c r="E1062" s="10">
        <f t="shared" si="50"/>
        <v>0.99524326086016812</v>
      </c>
    </row>
    <row r="1063" spans="1:5">
      <c r="A1063">
        <f t="shared" si="48"/>
        <v>1062</v>
      </c>
      <c r="B1063" t="str" cm="1">
        <f t="array" ref="B1063">INDEX('Enriched Data'!C:C,A1063+1)</f>
        <v>Nitco LLC</v>
      </c>
      <c r="C1063" s="11" cm="1">
        <f t="array" ref="C1063">INDEX('Enriched Data'!G:G,A1063+1)</f>
        <v>12142.56</v>
      </c>
      <c r="D1063" s="11">
        <f t="shared" si="49"/>
        <v>931123036.66999984</v>
      </c>
      <c r="E1063" s="10">
        <f t="shared" si="50"/>
        <v>0.99525623976642508</v>
      </c>
    </row>
    <row r="1064" spans="1:5">
      <c r="A1064">
        <f t="shared" si="48"/>
        <v>1063</v>
      </c>
      <c r="B1064" t="str" cm="1">
        <f t="array" ref="B1064">INDEX('Enriched Data'!C:C,A1064+1)</f>
        <v>HQI Hydraulics</v>
      </c>
      <c r="C1064" s="11" cm="1">
        <f t="array" ref="C1064">INDEX('Enriched Data'!G:G,A1064+1)</f>
        <v>12117.58</v>
      </c>
      <c r="D1064" s="11">
        <f t="shared" si="49"/>
        <v>931135154.24999988</v>
      </c>
      <c r="E1064" s="10">
        <f t="shared" si="50"/>
        <v>0.99526919197212826</v>
      </c>
    </row>
    <row r="1065" spans="1:5">
      <c r="A1065">
        <f t="shared" si="48"/>
        <v>1064</v>
      </c>
      <c r="B1065" t="str" cm="1">
        <f t="array" ref="B1065">INDEX('Enriched Data'!C:C,A1065+1)</f>
        <v>Liberty Ashes</v>
      </c>
      <c r="C1065" s="11" cm="1">
        <f t="array" ref="C1065">INDEX('Enriched Data'!G:G,A1065+1)</f>
        <v>12064.26</v>
      </c>
      <c r="D1065" s="11">
        <f t="shared" si="49"/>
        <v>931147218.50999987</v>
      </c>
      <c r="E1065" s="10">
        <f t="shared" si="50"/>
        <v>0.99528208718529587</v>
      </c>
    </row>
    <row r="1066" spans="1:5">
      <c r="A1066">
        <f t="shared" si="48"/>
        <v>1065</v>
      </c>
      <c r="B1066" t="str" cm="1">
        <f t="array" ref="B1066">INDEX('Enriched Data'!C:C,A1066+1)</f>
        <v>Andersen Construction</v>
      </c>
      <c r="C1066" s="11" cm="1">
        <f t="array" ref="C1066">INDEX('Enriched Data'!G:G,A1066+1)</f>
        <v>12025</v>
      </c>
      <c r="D1066" s="11">
        <f t="shared" si="49"/>
        <v>931159243.50999987</v>
      </c>
      <c r="E1066" s="10">
        <f t="shared" si="50"/>
        <v>0.9952949404343423</v>
      </c>
    </row>
    <row r="1067" spans="1:5">
      <c r="A1067">
        <f t="shared" si="48"/>
        <v>1066</v>
      </c>
      <c r="B1067" t="str" cm="1">
        <f t="array" ref="B1067">INDEX('Enriched Data'!C:C,A1067+1)</f>
        <v>Killeen S Park Commercial Prop,</v>
      </c>
      <c r="C1067" s="11" cm="1">
        <f t="array" ref="C1067">INDEX('Enriched Data'!G:G,A1067+1)</f>
        <v>12000</v>
      </c>
      <c r="D1067" s="11">
        <f t="shared" si="49"/>
        <v>931171243.50999987</v>
      </c>
      <c r="E1067" s="10">
        <f t="shared" si="50"/>
        <v>0.99530776696145729</v>
      </c>
    </row>
    <row r="1068" spans="1:5">
      <c r="A1068">
        <f t="shared" si="48"/>
        <v>1067</v>
      </c>
      <c r="B1068" t="str" cm="1">
        <f t="array" ref="B1068">INDEX('Enriched Data'!C:C,A1068+1)</f>
        <v>Jellyfish US Limited</v>
      </c>
      <c r="C1068" s="11" cm="1">
        <f t="array" ref="C1068">INDEX('Enriched Data'!G:G,A1068+1)</f>
        <v>12000</v>
      </c>
      <c r="D1068" s="11">
        <f t="shared" si="49"/>
        <v>931183243.50999987</v>
      </c>
      <c r="E1068" s="10">
        <f t="shared" si="50"/>
        <v>0.99532059348857227</v>
      </c>
    </row>
    <row r="1069" spans="1:5">
      <c r="A1069">
        <f t="shared" si="48"/>
        <v>1068</v>
      </c>
      <c r="B1069" t="str" cm="1">
        <f t="array" ref="B1069">INDEX('Enriched Data'!C:C,A1069+1)</f>
        <v>Sawyers Self Strg of East Troy,LLC</v>
      </c>
      <c r="C1069" s="11" cm="1">
        <f t="array" ref="C1069">INDEX('Enriched Data'!G:G,A1069+1)</f>
        <v>12000</v>
      </c>
      <c r="D1069" s="11">
        <f t="shared" si="49"/>
        <v>931195243.50999987</v>
      </c>
      <c r="E1069" s="10">
        <f t="shared" si="50"/>
        <v>0.99533342001568714</v>
      </c>
    </row>
    <row r="1070" spans="1:5">
      <c r="A1070">
        <f t="shared" si="48"/>
        <v>1069</v>
      </c>
      <c r="B1070" t="str" cm="1">
        <f t="array" ref="B1070">INDEX('Enriched Data'!C:C,A1070+1)</f>
        <v>Russos Cape Cod Bark &amp; Landsc</v>
      </c>
      <c r="C1070" s="11" cm="1">
        <f t="array" ref="C1070">INDEX('Enriched Data'!G:G,A1070+1)</f>
        <v>12000</v>
      </c>
      <c r="D1070" s="11">
        <f t="shared" si="49"/>
        <v>931207243.50999987</v>
      </c>
      <c r="E1070" s="10">
        <f t="shared" si="50"/>
        <v>0.99534624654280213</v>
      </c>
    </row>
    <row r="1071" spans="1:5">
      <c r="A1071">
        <f t="shared" si="48"/>
        <v>1070</v>
      </c>
      <c r="B1071" t="str" cm="1">
        <f t="array" ref="B1071">INDEX('Enriched Data'!C:C,A1071+1)</f>
        <v>The S Land Company LLC</v>
      </c>
      <c r="C1071" s="11" cm="1">
        <f t="array" ref="C1071">INDEX('Enriched Data'!G:G,A1071+1)</f>
        <v>12000</v>
      </c>
      <c r="D1071" s="11">
        <f t="shared" si="49"/>
        <v>931219243.50999987</v>
      </c>
      <c r="E1071" s="10">
        <f t="shared" si="50"/>
        <v>0.99535907306991711</v>
      </c>
    </row>
    <row r="1072" spans="1:5">
      <c r="A1072">
        <f t="shared" si="48"/>
        <v>1071</v>
      </c>
      <c r="B1072" t="str" cm="1">
        <f t="array" ref="B1072">INDEX('Enriched Data'!C:C,A1072+1)</f>
        <v>1st Choice Material Handling</v>
      </c>
      <c r="C1072" s="11" cm="1">
        <f t="array" ref="C1072">INDEX('Enriched Data'!G:G,A1072+1)</f>
        <v>11965.74</v>
      </c>
      <c r="D1072" s="11">
        <f t="shared" si="49"/>
        <v>931231209.24999988</v>
      </c>
      <c r="E1072" s="10">
        <f t="shared" si="50"/>
        <v>0.99537186297729707</v>
      </c>
    </row>
    <row r="1073" spans="1:5">
      <c r="A1073">
        <f t="shared" si="48"/>
        <v>1072</v>
      </c>
      <c r="B1073" t="str" cm="1">
        <f t="array" ref="B1073">INDEX('Enriched Data'!C:C,A1073+1)</f>
        <v>OpenTech Alliance, Inc.</v>
      </c>
      <c r="C1073" s="11" cm="1">
        <f t="array" ref="C1073">INDEX('Enriched Data'!G:G,A1073+1)</f>
        <v>11932.68</v>
      </c>
      <c r="D1073" s="11">
        <f t="shared" si="49"/>
        <v>931243141.92999983</v>
      </c>
      <c r="E1073" s="10">
        <f t="shared" si="50"/>
        <v>0.99538461754759489</v>
      </c>
    </row>
    <row r="1074" spans="1:5">
      <c r="A1074">
        <f t="shared" si="48"/>
        <v>1073</v>
      </c>
      <c r="B1074" t="str" cm="1">
        <f t="array" ref="B1074">INDEX('Enriched Data'!C:C,A1074+1)</f>
        <v>McDoles Fabricating and Repair LLC</v>
      </c>
      <c r="C1074" s="11" cm="1">
        <f t="array" ref="C1074">INDEX('Enriched Data'!G:G,A1074+1)</f>
        <v>11926.03</v>
      </c>
      <c r="D1074" s="11">
        <f t="shared" si="49"/>
        <v>931255067.9599998</v>
      </c>
      <c r="E1074" s="10">
        <f t="shared" si="50"/>
        <v>0.99539736500985887</v>
      </c>
    </row>
    <row r="1075" spans="1:5">
      <c r="A1075">
        <f t="shared" si="48"/>
        <v>1074</v>
      </c>
      <c r="B1075" t="str" cm="1">
        <f t="array" ref="B1075">INDEX('Enriched Data'!C:C,A1075+1)</f>
        <v>200 Summer Street Kingston LLC</v>
      </c>
      <c r="C1075" s="11" cm="1">
        <f t="array" ref="C1075">INDEX('Enriched Data'!G:G,A1075+1)</f>
        <v>11910</v>
      </c>
      <c r="D1075" s="11">
        <f t="shared" si="49"/>
        <v>931266977.9599998</v>
      </c>
      <c r="E1075" s="10">
        <f t="shared" si="50"/>
        <v>0.9954100953380205</v>
      </c>
    </row>
    <row r="1076" spans="1:5">
      <c r="A1076">
        <f t="shared" si="48"/>
        <v>1075</v>
      </c>
      <c r="B1076" t="str" cm="1">
        <f t="array" ref="B1076">INDEX('Enriched Data'!C:C,A1076+1)</f>
        <v>The Hose Helper</v>
      </c>
      <c r="C1076" s="11" cm="1">
        <f t="array" ref="C1076">INDEX('Enriched Data'!G:G,A1076+1)</f>
        <v>11859.73</v>
      </c>
      <c r="D1076" s="11">
        <f t="shared" si="49"/>
        <v>931278837.68999982</v>
      </c>
      <c r="E1076" s="10">
        <f t="shared" si="50"/>
        <v>0.99542277193372219</v>
      </c>
    </row>
    <row r="1077" spans="1:5">
      <c r="A1077">
        <f t="shared" si="48"/>
        <v>1076</v>
      </c>
      <c r="B1077" t="str" cm="1">
        <f t="array" ref="B1077">INDEX('Enriched Data'!C:C,A1077+1)</f>
        <v>Absolute Protective Systems, Inc.</v>
      </c>
      <c r="C1077" s="11" cm="1">
        <f t="array" ref="C1077">INDEX('Enriched Data'!G:G,A1077+1)</f>
        <v>11839.2</v>
      </c>
      <c r="D1077" s="11">
        <f t="shared" si="49"/>
        <v>931290676.88999987</v>
      </c>
      <c r="E1077" s="10">
        <f t="shared" si="50"/>
        <v>0.99543542658537387</v>
      </c>
    </row>
    <row r="1078" spans="1:5">
      <c r="A1078">
        <f t="shared" si="48"/>
        <v>1077</v>
      </c>
      <c r="B1078" t="str" cm="1">
        <f t="array" ref="B1078">INDEX('Enriched Data'!C:C,A1078+1)</f>
        <v>Twin Spans Business Park, LLC</v>
      </c>
      <c r="C1078" s="11" cm="1">
        <f t="array" ref="C1078">INDEX('Enriched Data'!G:G,A1078+1)</f>
        <v>11832.77</v>
      </c>
      <c r="D1078" s="11">
        <f t="shared" si="49"/>
        <v>931302509.65999985</v>
      </c>
      <c r="E1078" s="10">
        <f t="shared" si="50"/>
        <v>0.99544807436414473</v>
      </c>
    </row>
    <row r="1079" spans="1:5">
      <c r="A1079">
        <f t="shared" si="48"/>
        <v>1078</v>
      </c>
      <c r="B1079" t="str" cm="1">
        <f t="array" ref="B1079">INDEX('Enriched Data'!C:C,A1079+1)</f>
        <v>Shrader Tire &amp; Oil Inc.</v>
      </c>
      <c r="C1079" s="11" cm="1">
        <f t="array" ref="C1079">INDEX('Enriched Data'!G:G,A1079+1)</f>
        <v>11734.82</v>
      </c>
      <c r="D1079" s="11">
        <f t="shared" si="49"/>
        <v>931314244.4799999</v>
      </c>
      <c r="E1079" s="10">
        <f t="shared" si="50"/>
        <v>0.99546061744638803</v>
      </c>
    </row>
    <row r="1080" spans="1:5">
      <c r="A1080">
        <f t="shared" si="48"/>
        <v>1079</v>
      </c>
      <c r="B1080" t="str" cm="1">
        <f t="array" ref="B1080">INDEX('Enriched Data'!C:C,A1080+1)</f>
        <v>Project Resources Group, Inc</v>
      </c>
      <c r="C1080" s="11" cm="1">
        <f t="array" ref="C1080">INDEX('Enriched Data'!G:G,A1080+1)</f>
        <v>11721.93</v>
      </c>
      <c r="D1080" s="11">
        <f t="shared" si="49"/>
        <v>931325966.40999985</v>
      </c>
      <c r="E1080" s="10">
        <f t="shared" si="50"/>
        <v>0.99547314675080334</v>
      </c>
    </row>
    <row r="1081" spans="1:5">
      <c r="A1081">
        <f t="shared" si="48"/>
        <v>1080</v>
      </c>
      <c r="B1081" t="str" cm="1">
        <f t="array" ref="B1081">INDEX('Enriched Data'!C:C,A1081+1)</f>
        <v>Fedex Freight-223125</v>
      </c>
      <c r="C1081" s="11" cm="1">
        <f t="array" ref="C1081">INDEX('Enriched Data'!G:G,A1081+1)</f>
        <v>11710.42</v>
      </c>
      <c r="D1081" s="11">
        <f t="shared" si="49"/>
        <v>931337676.8299998</v>
      </c>
      <c r="E1081" s="10">
        <f t="shared" si="50"/>
        <v>0.99548566375244141</v>
      </c>
    </row>
    <row r="1082" spans="1:5">
      <c r="A1082">
        <f t="shared" si="48"/>
        <v>1081</v>
      </c>
      <c r="B1082" t="str" cm="1">
        <f t="array" ref="B1082">INDEX('Enriched Data'!C:C,A1082+1)</f>
        <v>NFP Executive Benefits, LLC</v>
      </c>
      <c r="C1082" s="11" cm="1">
        <f t="array" ref="C1082">INDEX('Enriched Data'!G:G,A1082+1)</f>
        <v>11670</v>
      </c>
      <c r="D1082" s="11">
        <f t="shared" si="49"/>
        <v>931349346.8299998</v>
      </c>
      <c r="E1082" s="10">
        <f t="shared" si="50"/>
        <v>0.99549813755006067</v>
      </c>
    </row>
    <row r="1083" spans="1:5">
      <c r="A1083">
        <f t="shared" si="48"/>
        <v>1082</v>
      </c>
      <c r="B1083" t="str" cm="1">
        <f t="array" ref="B1083">INDEX('Enriched Data'!C:C,A1083+1)</f>
        <v>American Allegiance Lawn&amp; Landsc,</v>
      </c>
      <c r="C1083" s="11" cm="1">
        <f t="array" ref="C1083">INDEX('Enriched Data'!G:G,A1083+1)</f>
        <v>11664</v>
      </c>
      <c r="D1083" s="11">
        <f t="shared" si="49"/>
        <v>931361010.8299998</v>
      </c>
      <c r="E1083" s="10">
        <f t="shared" si="50"/>
        <v>0.99551060493441645</v>
      </c>
    </row>
    <row r="1084" spans="1:5">
      <c r="A1084">
        <f t="shared" si="48"/>
        <v>1083</v>
      </c>
      <c r="B1084" t="str" cm="1">
        <f t="array" ref="B1084">INDEX('Enriched Data'!C:C,A1084+1)</f>
        <v>Guardian Gate Company</v>
      </c>
      <c r="C1084" s="11" cm="1">
        <f t="array" ref="C1084">INDEX('Enriched Data'!G:G,A1084+1)</f>
        <v>11649.64</v>
      </c>
      <c r="D1084" s="11">
        <f t="shared" si="49"/>
        <v>931372660.46999979</v>
      </c>
      <c r="E1084" s="10">
        <f t="shared" si="50"/>
        <v>0.99552305696969468</v>
      </c>
    </row>
    <row r="1085" spans="1:5">
      <c r="A1085">
        <f t="shared" si="48"/>
        <v>1084</v>
      </c>
      <c r="B1085" t="str" cm="1">
        <f t="array" ref="B1085">INDEX('Enriched Data'!C:C,A1085+1)</f>
        <v>A Better Clean</v>
      </c>
      <c r="C1085" s="11" cm="1">
        <f t="array" ref="C1085">INDEX('Enriched Data'!G:G,A1085+1)</f>
        <v>11637.96</v>
      </c>
      <c r="D1085" s="11">
        <f t="shared" si="49"/>
        <v>931384298.42999983</v>
      </c>
      <c r="E1085" s="10">
        <f t="shared" si="50"/>
        <v>0.99553549652048656</v>
      </c>
    </row>
    <row r="1086" spans="1:5">
      <c r="A1086">
        <f t="shared" si="48"/>
        <v>1085</v>
      </c>
      <c r="B1086" t="str" cm="1">
        <f t="array" ref="B1086">INDEX('Enriched Data'!C:C,A1086+1)</f>
        <v>Suburban Propane-1627 1449 1608</v>
      </c>
      <c r="C1086" s="11" cm="1">
        <f t="array" ref="C1086">INDEX('Enriched Data'!G:G,A1086+1)</f>
        <v>11530.74</v>
      </c>
      <c r="D1086" s="11">
        <f t="shared" si="49"/>
        <v>931395829.16999984</v>
      </c>
      <c r="E1086" s="10">
        <f t="shared" si="50"/>
        <v>0.99554782146625875</v>
      </c>
    </row>
    <row r="1087" spans="1:5">
      <c r="A1087">
        <f t="shared" si="48"/>
        <v>1086</v>
      </c>
      <c r="B1087" t="str" cm="1">
        <f t="array" ref="B1087">INDEX('Enriched Data'!C:C,A1087+1)</f>
        <v>Wessel Lawncare &amp; Landscaping</v>
      </c>
      <c r="C1087" s="11" cm="1">
        <f t="array" ref="C1087">INDEX('Enriched Data'!G:G,A1087+1)</f>
        <v>11513.19</v>
      </c>
      <c r="D1087" s="11">
        <f t="shared" si="49"/>
        <v>931407342.3599999</v>
      </c>
      <c r="E1087" s="10">
        <f t="shared" si="50"/>
        <v>0.99556012765323498</v>
      </c>
    </row>
    <row r="1088" spans="1:5">
      <c r="A1088">
        <f t="shared" si="48"/>
        <v>1087</v>
      </c>
      <c r="B1088" t="str" cm="1">
        <f t="array" ref="B1088">INDEX('Enriched Data'!C:C,A1088+1)</f>
        <v>Foley &amp; Lardner LLP</v>
      </c>
      <c r="C1088" s="11" cm="1">
        <f t="array" ref="C1088">INDEX('Enriched Data'!G:G,A1088+1)</f>
        <v>11510.85</v>
      </c>
      <c r="D1088" s="11">
        <f t="shared" si="49"/>
        <v>931418853.20999992</v>
      </c>
      <c r="E1088" s="10">
        <f t="shared" si="50"/>
        <v>0.99557243133903839</v>
      </c>
    </row>
    <row r="1089" spans="1:5">
      <c r="A1089">
        <f t="shared" si="48"/>
        <v>1088</v>
      </c>
      <c r="B1089" t="str" cm="1">
        <f t="array" ref="B1089">INDEX('Enriched Data'!C:C,A1089+1)</f>
        <v>C &amp; R Property Services, LLC.</v>
      </c>
      <c r="C1089" s="11" cm="1">
        <f t="array" ref="C1089">INDEX('Enriched Data'!G:G,A1089+1)</f>
        <v>11489.04</v>
      </c>
      <c r="D1089" s="11">
        <f t="shared" si="49"/>
        <v>931430342.24999988</v>
      </c>
      <c r="E1089" s="10">
        <f t="shared" si="50"/>
        <v>0.99558471171262874</v>
      </c>
    </row>
    <row r="1090" spans="1:5">
      <c r="A1090">
        <f t="shared" si="48"/>
        <v>1089</v>
      </c>
      <c r="B1090" t="str" cm="1">
        <f t="array" ref="B1090">INDEX('Enriched Data'!C:C,A1090+1)</f>
        <v>C&amp;P Offroad Specialist&amp; Auto Repair</v>
      </c>
      <c r="C1090" s="11" cm="1">
        <f t="array" ref="C1090">INDEX('Enriched Data'!G:G,A1090+1)</f>
        <v>11469.13</v>
      </c>
      <c r="D1090" s="11">
        <f t="shared" si="49"/>
        <v>931441811.37999988</v>
      </c>
      <c r="E1090" s="10">
        <f t="shared" si="50"/>
        <v>0.99559697080487297</v>
      </c>
    </row>
    <row r="1091" spans="1:5">
      <c r="A1091">
        <f t="shared" si="48"/>
        <v>1090</v>
      </c>
      <c r="B1091" t="str" cm="1">
        <f t="array" ref="B1091">INDEX('Enriched Data'!C:C,A1091+1)</f>
        <v>Clean Sweep, Inc.</v>
      </c>
      <c r="C1091" s="11" cm="1">
        <f t="array" ref="C1091">INDEX('Enriched Data'!G:G,A1091+1)</f>
        <v>11440</v>
      </c>
      <c r="D1091" s="11">
        <f t="shared" si="49"/>
        <v>931453251.37999988</v>
      </c>
      <c r="E1091" s="10">
        <f t="shared" si="50"/>
        <v>0.99560919876072251</v>
      </c>
    </row>
    <row r="1092" spans="1:5">
      <c r="A1092">
        <f t="shared" ref="A1092:A1155" si="51">A1091+1</f>
        <v>1091</v>
      </c>
      <c r="B1092" t="str" cm="1">
        <f t="array" ref="B1092">INDEX('Enriched Data'!C:C,A1092+1)</f>
        <v>The Kent Architectural Collab</v>
      </c>
      <c r="C1092" s="11" cm="1">
        <f t="array" ref="C1092">INDEX('Enriched Data'!G:G,A1092+1)</f>
        <v>11425</v>
      </c>
      <c r="D1092" s="11">
        <f t="shared" ref="D1092:D1155" si="52">D1091+C1092</f>
        <v>931464676.37999988</v>
      </c>
      <c r="E1092" s="10">
        <f t="shared" ref="E1092:E1155" si="53">D1092/$F$2</f>
        <v>0.99562141068341314</v>
      </c>
    </row>
    <row r="1093" spans="1:5">
      <c r="A1093">
        <f t="shared" si="51"/>
        <v>1092</v>
      </c>
      <c r="B1093" t="str" cm="1">
        <f t="array" ref="B1093">INDEX('Enriched Data'!C:C,A1093+1)</f>
        <v>First Protection Services, Inc.</v>
      </c>
      <c r="C1093" s="11" cm="1">
        <f t="array" ref="C1093">INDEX('Enriched Data'!G:G,A1093+1)</f>
        <v>11400</v>
      </c>
      <c r="D1093" s="11">
        <f t="shared" si="52"/>
        <v>931476076.37999988</v>
      </c>
      <c r="E1093" s="10">
        <f t="shared" si="53"/>
        <v>0.99563359588417244</v>
      </c>
    </row>
    <row r="1094" spans="1:5">
      <c r="A1094">
        <f t="shared" si="51"/>
        <v>1093</v>
      </c>
      <c r="B1094" t="str" cm="1">
        <f t="array" ref="B1094">INDEX('Enriched Data'!C:C,A1094+1)</f>
        <v>Colony Tire Corporation</v>
      </c>
      <c r="C1094" s="11" cm="1">
        <f t="array" ref="C1094">INDEX('Enriched Data'!G:G,A1094+1)</f>
        <v>11348.52</v>
      </c>
      <c r="D1094" s="11">
        <f t="shared" si="52"/>
        <v>931487424.89999986</v>
      </c>
      <c r="E1094" s="10">
        <f t="shared" si="53"/>
        <v>0.99564572605913026</v>
      </c>
    </row>
    <row r="1095" spans="1:5">
      <c r="A1095">
        <f t="shared" si="51"/>
        <v>1094</v>
      </c>
      <c r="B1095" t="str" cm="1">
        <f t="array" ref="B1095">INDEX('Enriched Data'!C:C,A1095+1)</f>
        <v>SB Truck &amp; Trailer</v>
      </c>
      <c r="C1095" s="11" cm="1">
        <f t="array" ref="C1095">INDEX('Enriched Data'!G:G,A1095+1)</f>
        <v>11325</v>
      </c>
      <c r="D1095" s="11">
        <f t="shared" si="52"/>
        <v>931498749.89999986</v>
      </c>
      <c r="E1095" s="10">
        <f t="shared" si="53"/>
        <v>0.995657831094095</v>
      </c>
    </row>
    <row r="1096" spans="1:5">
      <c r="A1096">
        <f t="shared" si="51"/>
        <v>1095</v>
      </c>
      <c r="B1096" t="str" cm="1">
        <f t="array" ref="B1096">INDEX('Enriched Data'!C:C,A1096+1)</f>
        <v>WMS Trimble Company</v>
      </c>
      <c r="C1096" s="11" cm="1">
        <f t="array" ref="C1096">INDEX('Enriched Data'!G:G,A1096+1)</f>
        <v>11306.19</v>
      </c>
      <c r="D1096" s="11">
        <f t="shared" si="52"/>
        <v>931510056.08999991</v>
      </c>
      <c r="E1096" s="10">
        <f t="shared" si="53"/>
        <v>0.99566991602347854</v>
      </c>
    </row>
    <row r="1097" spans="1:5">
      <c r="A1097">
        <f t="shared" si="51"/>
        <v>1096</v>
      </c>
      <c r="B1097" t="str" cm="1">
        <f t="array" ref="B1097">INDEX('Enriched Data'!C:C,A1097+1)</f>
        <v>Underwood Sales</v>
      </c>
      <c r="C1097" s="11" cm="1">
        <f t="array" ref="C1097">INDEX('Enriched Data'!G:G,A1097+1)</f>
        <v>11300</v>
      </c>
      <c r="D1097" s="11">
        <f t="shared" si="52"/>
        <v>931521356.08999991</v>
      </c>
      <c r="E1097" s="10">
        <f t="shared" si="53"/>
        <v>0.99568199433651172</v>
      </c>
    </row>
    <row r="1098" spans="1:5">
      <c r="A1098">
        <f t="shared" si="51"/>
        <v>1097</v>
      </c>
      <c r="B1098" t="str" cm="1">
        <f t="array" ref="B1098">INDEX('Enriched Data'!C:C,A1098+1)</f>
        <v>Llano Waste Company LLC</v>
      </c>
      <c r="C1098" s="11" cm="1">
        <f t="array" ref="C1098">INDEX('Enriched Data'!G:G,A1098+1)</f>
        <v>11285.43</v>
      </c>
      <c r="D1098" s="11">
        <f t="shared" si="52"/>
        <v>931532641.51999986</v>
      </c>
      <c r="E1098" s="10">
        <f t="shared" si="53"/>
        <v>0.99569405707600322</v>
      </c>
    </row>
    <row r="1099" spans="1:5">
      <c r="A1099">
        <f t="shared" si="51"/>
        <v>1098</v>
      </c>
      <c r="B1099" t="str" cm="1">
        <f t="array" ref="B1099">INDEX('Enriched Data'!C:C,A1099+1)</f>
        <v>Ace Hydraulics Inc.</v>
      </c>
      <c r="C1099" s="11" cm="1">
        <f t="array" ref="C1099">INDEX('Enriched Data'!G:G,A1099+1)</f>
        <v>11277.3</v>
      </c>
      <c r="D1099" s="11">
        <f t="shared" si="52"/>
        <v>931543918.81999981</v>
      </c>
      <c r="E1099" s="10">
        <f t="shared" si="53"/>
        <v>0.99570611112552265</v>
      </c>
    </row>
    <row r="1100" spans="1:5">
      <c r="A1100">
        <f t="shared" si="51"/>
        <v>1099</v>
      </c>
      <c r="B1100" t="str" cm="1">
        <f t="array" ref="B1100">INDEX('Enriched Data'!C:C,A1100+1)</f>
        <v>Extreme Reach Talent, Inc.</v>
      </c>
      <c r="C1100" s="11" cm="1">
        <f t="array" ref="C1100">INDEX('Enriched Data'!G:G,A1100+1)</f>
        <v>11262.63</v>
      </c>
      <c r="D1100" s="11">
        <f t="shared" si="52"/>
        <v>931555181.44999981</v>
      </c>
      <c r="E1100" s="10">
        <f t="shared" si="53"/>
        <v>0.99571814949461268</v>
      </c>
    </row>
    <row r="1101" spans="1:5">
      <c r="A1101">
        <f t="shared" si="51"/>
        <v>1100</v>
      </c>
      <c r="B1101" t="str" cm="1">
        <f t="array" ref="B1101">INDEX('Enriched Data'!C:C,A1101+1)</f>
        <v>Cardinal Logistics Mngmnt Corp</v>
      </c>
      <c r="C1101" s="11" cm="1">
        <f t="array" ref="C1101">INDEX('Enriched Data'!G:G,A1101+1)</f>
        <v>11257.39</v>
      </c>
      <c r="D1101" s="11">
        <f t="shared" si="52"/>
        <v>931566438.83999979</v>
      </c>
      <c r="E1101" s="10">
        <f t="shared" si="53"/>
        <v>0.99573018226278587</v>
      </c>
    </row>
    <row r="1102" spans="1:5">
      <c r="A1102">
        <f t="shared" si="51"/>
        <v>1101</v>
      </c>
      <c r="B1102" t="str" cm="1">
        <f t="array" ref="B1102">INDEX('Enriched Data'!C:C,A1102+1)</f>
        <v>Challenger, Gray &amp; Christmas, Inc.</v>
      </c>
      <c r="C1102" s="11" cm="1">
        <f t="array" ref="C1102">INDEX('Enriched Data'!G:G,A1102+1)</f>
        <v>11250</v>
      </c>
      <c r="D1102" s="11">
        <f t="shared" si="52"/>
        <v>931577688.83999979</v>
      </c>
      <c r="E1102" s="10">
        <f t="shared" si="53"/>
        <v>0.99574220713195616</v>
      </c>
    </row>
    <row r="1103" spans="1:5">
      <c r="A1103">
        <f t="shared" si="51"/>
        <v>1102</v>
      </c>
      <c r="B1103" t="str" cm="1">
        <f t="array" ref="B1103">INDEX('Enriched Data'!C:C,A1103+1)</f>
        <v>Ultimate Fleet Repair</v>
      </c>
      <c r="C1103" s="11" cm="1">
        <f t="array" ref="C1103">INDEX('Enriched Data'!G:G,A1103+1)</f>
        <v>11184.49</v>
      </c>
      <c r="D1103" s="11">
        <f t="shared" si="52"/>
        <v>931588873.3299998</v>
      </c>
      <c r="E1103" s="10">
        <f t="shared" si="53"/>
        <v>0.99575416197897715</v>
      </c>
    </row>
    <row r="1104" spans="1:5">
      <c r="A1104">
        <f t="shared" si="51"/>
        <v>1103</v>
      </c>
      <c r="B1104" t="str" cm="1">
        <f t="array" ref="B1104">INDEX('Enriched Data'!C:C,A1104+1)</f>
        <v>Foremost Industrial Technologies</v>
      </c>
      <c r="C1104" s="11" cm="1">
        <f t="array" ref="C1104">INDEX('Enriched Data'!G:G,A1104+1)</f>
        <v>11171.46</v>
      </c>
      <c r="D1104" s="11">
        <f t="shared" si="52"/>
        <v>931600044.78999984</v>
      </c>
      <c r="E1104" s="10">
        <f t="shared" si="53"/>
        <v>0.99576610289852752</v>
      </c>
    </row>
    <row r="1105" spans="1:5">
      <c r="A1105">
        <f t="shared" si="51"/>
        <v>1104</v>
      </c>
      <c r="B1105" t="str" cm="1">
        <f t="array" ref="B1105">INDEX('Enriched Data'!C:C,A1105+1)</f>
        <v>Golden Bears Propane</v>
      </c>
      <c r="C1105" s="11" cm="1">
        <f t="array" ref="C1105">INDEX('Enriched Data'!G:G,A1105+1)</f>
        <v>11101.69</v>
      </c>
      <c r="D1105" s="11">
        <f t="shared" si="52"/>
        <v>931611146.4799999</v>
      </c>
      <c r="E1105" s="10">
        <f t="shared" si="53"/>
        <v>0.9957779692425115</v>
      </c>
    </row>
    <row r="1106" spans="1:5">
      <c r="A1106">
        <f t="shared" si="51"/>
        <v>1105</v>
      </c>
      <c r="B1106" t="str" cm="1">
        <f t="array" ref="B1106">INDEX('Enriched Data'!C:C,A1106+1)</f>
        <v>Cory M Robinson</v>
      </c>
      <c r="C1106" s="11" cm="1">
        <f t="array" ref="C1106">INDEX('Enriched Data'!G:G,A1106+1)</f>
        <v>11094</v>
      </c>
      <c r="D1106" s="11">
        <f t="shared" si="52"/>
        <v>931622240.4799999</v>
      </c>
      <c r="E1106" s="10">
        <f t="shared" si="53"/>
        <v>0.99578982736682919</v>
      </c>
    </row>
    <row r="1107" spans="1:5">
      <c r="A1107">
        <f t="shared" si="51"/>
        <v>1106</v>
      </c>
      <c r="B1107" t="str" cm="1">
        <f t="array" ref="B1107">INDEX('Enriched Data'!C:C,A1107+1)</f>
        <v>Fine Fixtures</v>
      </c>
      <c r="C1107" s="11" cm="1">
        <f t="array" ref="C1107">INDEX('Enriched Data'!G:G,A1107+1)</f>
        <v>11079.6</v>
      </c>
      <c r="D1107" s="11">
        <f t="shared" si="52"/>
        <v>931633320.07999992</v>
      </c>
      <c r="E1107" s="10">
        <f t="shared" si="53"/>
        <v>0.99580167009931442</v>
      </c>
    </row>
    <row r="1108" spans="1:5">
      <c r="A1108">
        <f t="shared" si="51"/>
        <v>1107</v>
      </c>
      <c r="B1108" t="str" cm="1">
        <f t="array" ref="B1108">INDEX('Enriched Data'!C:C,A1108+1)</f>
        <v>AQUA, LLC</v>
      </c>
      <c r="C1108" s="11" cm="1">
        <f t="array" ref="C1108">INDEX('Enriched Data'!G:G,A1108+1)</f>
        <v>11040</v>
      </c>
      <c r="D1108" s="11">
        <f t="shared" si="52"/>
        <v>931644360.07999992</v>
      </c>
      <c r="E1108" s="10">
        <f t="shared" si="53"/>
        <v>0.99581347050426017</v>
      </c>
    </row>
    <row r="1109" spans="1:5">
      <c r="A1109">
        <f t="shared" si="51"/>
        <v>1108</v>
      </c>
      <c r="B1109" t="str" cm="1">
        <f t="array" ref="B1109">INDEX('Enriched Data'!C:C,A1109+1)</f>
        <v>Jan-Pro Ottawa</v>
      </c>
      <c r="C1109" s="11" cm="1">
        <f t="array" ref="C1109">INDEX('Enriched Data'!G:G,A1109+1)</f>
        <v>10972.44</v>
      </c>
      <c r="D1109" s="11">
        <f t="shared" si="52"/>
        <v>931655332.51999998</v>
      </c>
      <c r="E1109" s="10">
        <f t="shared" si="53"/>
        <v>0.99582519869585839</v>
      </c>
    </row>
    <row r="1110" spans="1:5">
      <c r="A1110">
        <f t="shared" si="51"/>
        <v>1109</v>
      </c>
      <c r="B1110" t="str" cm="1">
        <f t="array" ref="B1110">INDEX('Enriched Data'!C:C,A1110+1)</f>
        <v>David McKivitz</v>
      </c>
      <c r="C1110" s="11" cm="1">
        <f t="array" ref="C1110">INDEX('Enriched Data'!G:G,A1110+1)</f>
        <v>10968.3</v>
      </c>
      <c r="D1110" s="11">
        <f t="shared" si="52"/>
        <v>931666300.81999993</v>
      </c>
      <c r="E1110" s="10">
        <f t="shared" si="53"/>
        <v>0.9958369224623046</v>
      </c>
    </row>
    <row r="1111" spans="1:5">
      <c r="A1111">
        <f t="shared" si="51"/>
        <v>1110</v>
      </c>
      <c r="B1111" t="str" cm="1">
        <f t="array" ref="B1111">INDEX('Enriched Data'!C:C,A1111+1)</f>
        <v>Madison Air, Inc.</v>
      </c>
      <c r="C1111" s="11" cm="1">
        <f t="array" ref="C1111">INDEX('Enriched Data'!G:G,A1111+1)</f>
        <v>10967.21</v>
      </c>
      <c r="D1111" s="11">
        <f t="shared" si="52"/>
        <v>931677268.02999997</v>
      </c>
      <c r="E1111" s="10">
        <f t="shared" si="53"/>
        <v>0.99584864506367465</v>
      </c>
    </row>
    <row r="1112" spans="1:5">
      <c r="A1112">
        <f t="shared" si="51"/>
        <v>1111</v>
      </c>
      <c r="B1112" t="str" cm="1">
        <f t="array" ref="B1112">INDEX('Enriched Data'!C:C,A1112+1)</f>
        <v>Mashwork Inc dba Canvs</v>
      </c>
      <c r="C1112" s="11" cm="1">
        <f t="array" ref="C1112">INDEX('Enriched Data'!G:G,A1112+1)</f>
        <v>10948</v>
      </c>
      <c r="D1112" s="11">
        <f t="shared" si="52"/>
        <v>931688216.02999997</v>
      </c>
      <c r="E1112" s="10">
        <f t="shared" si="53"/>
        <v>0.99586034713191252</v>
      </c>
    </row>
    <row r="1113" spans="1:5">
      <c r="A1113">
        <f t="shared" si="51"/>
        <v>1112</v>
      </c>
      <c r="B1113" t="str" cm="1">
        <f t="array" ref="B1113">INDEX('Enriched Data'!C:C,A1113+1)</f>
        <v>Just Clean LLC</v>
      </c>
      <c r="C1113" s="11" cm="1">
        <f t="array" ref="C1113">INDEX('Enriched Data'!G:G,A1113+1)</f>
        <v>10875</v>
      </c>
      <c r="D1113" s="11">
        <f t="shared" si="52"/>
        <v>931699091.02999997</v>
      </c>
      <c r="E1113" s="10">
        <f t="shared" si="53"/>
        <v>0.99587197117211035</v>
      </c>
    </row>
    <row r="1114" spans="1:5">
      <c r="A1114">
        <f t="shared" si="51"/>
        <v>1113</v>
      </c>
      <c r="B1114" t="str" cm="1">
        <f t="array" ref="B1114">INDEX('Enriched Data'!C:C,A1114+1)</f>
        <v>C.&amp;R. Truck West Ltd</v>
      </c>
      <c r="C1114" s="11" cm="1">
        <f t="array" ref="C1114">INDEX('Enriched Data'!G:G,A1114+1)</f>
        <v>10841.63</v>
      </c>
      <c r="D1114" s="11">
        <f t="shared" si="52"/>
        <v>931709932.65999997</v>
      </c>
      <c r="E1114" s="10">
        <f t="shared" si="53"/>
        <v>0.9958835595438742</v>
      </c>
    </row>
    <row r="1115" spans="1:5">
      <c r="A1115">
        <f t="shared" si="51"/>
        <v>1114</v>
      </c>
      <c r="B1115" t="str" cm="1">
        <f t="array" ref="B1115">INDEX('Enriched Data'!C:C,A1115+1)</f>
        <v>Perkopolis</v>
      </c>
      <c r="C1115" s="11" cm="1">
        <f t="array" ref="C1115">INDEX('Enriched Data'!G:G,A1115+1)</f>
        <v>10819.96</v>
      </c>
      <c r="D1115" s="11">
        <f t="shared" si="52"/>
        <v>931720752.62</v>
      </c>
      <c r="E1115" s="10">
        <f t="shared" si="53"/>
        <v>0.99589512475306774</v>
      </c>
    </row>
    <row r="1116" spans="1:5">
      <c r="A1116">
        <f t="shared" si="51"/>
        <v>1115</v>
      </c>
      <c r="B1116" t="str" cm="1">
        <f t="array" ref="B1116">INDEX('Enriched Data'!C:C,A1116+1)</f>
        <v>Bellflower Landscaping</v>
      </c>
      <c r="C1116" s="11" cm="1">
        <f t="array" ref="C1116">INDEX('Enriched Data'!G:G,A1116+1)</f>
        <v>10819.25</v>
      </c>
      <c r="D1116" s="11">
        <f t="shared" si="52"/>
        <v>931731571.87</v>
      </c>
      <c r="E1116" s="10">
        <f t="shared" si="53"/>
        <v>0.99590668920335845</v>
      </c>
    </row>
    <row r="1117" spans="1:5">
      <c r="A1117">
        <f t="shared" si="51"/>
        <v>1116</v>
      </c>
      <c r="B1117" t="str" cm="1">
        <f t="array" ref="B1117">INDEX('Enriched Data'!C:C,A1117+1)</f>
        <v>Jani-King of Ft Worth</v>
      </c>
      <c r="C1117" s="11" cm="1">
        <f t="array" ref="C1117">INDEX('Enriched Data'!G:G,A1117+1)</f>
        <v>10795.82</v>
      </c>
      <c r="D1117" s="11">
        <f t="shared" si="52"/>
        <v>931742367.69000006</v>
      </c>
      <c r="E1117" s="10">
        <f t="shared" si="53"/>
        <v>0.99591822860985502</v>
      </c>
    </row>
    <row r="1118" spans="1:5">
      <c r="A1118">
        <f t="shared" si="51"/>
        <v>1117</v>
      </c>
      <c r="B1118" t="str" cm="1">
        <f t="array" ref="B1118">INDEX('Enriched Data'!C:C,A1118+1)</f>
        <v>Bee-Line Overhead Door LLC</v>
      </c>
      <c r="C1118" s="11" cm="1">
        <f t="array" ref="C1118">INDEX('Enriched Data'!G:G,A1118+1)</f>
        <v>10767.85</v>
      </c>
      <c r="D1118" s="11">
        <f t="shared" si="52"/>
        <v>931753135.54000008</v>
      </c>
      <c r="E1118" s="10">
        <f t="shared" si="53"/>
        <v>0.99592973811985464</v>
      </c>
    </row>
    <row r="1119" spans="1:5">
      <c r="A1119">
        <f t="shared" si="51"/>
        <v>1118</v>
      </c>
      <c r="B1119" t="str" cm="1">
        <f t="array" ref="B1119">INDEX('Enriched Data'!C:C,A1119+1)</f>
        <v>Marks Commercial</v>
      </c>
      <c r="C1119" s="11" cm="1">
        <f t="array" ref="C1119">INDEX('Enriched Data'!G:G,A1119+1)</f>
        <v>10649.5</v>
      </c>
      <c r="D1119" s="11">
        <f t="shared" si="52"/>
        <v>931763785.04000008</v>
      </c>
      <c r="E1119" s="10">
        <f t="shared" si="53"/>
        <v>0.99594112112823052</v>
      </c>
    </row>
    <row r="1120" spans="1:5">
      <c r="A1120">
        <f t="shared" si="51"/>
        <v>1119</v>
      </c>
      <c r="B1120" t="str" cm="1">
        <f t="array" ref="B1120">INDEX('Enriched Data'!C:C,A1120+1)</f>
        <v>Lorena Patricia Berrios Lizama</v>
      </c>
      <c r="C1120" s="11" cm="1">
        <f t="array" ref="C1120">INDEX('Enriched Data'!G:G,A1120+1)</f>
        <v>10625</v>
      </c>
      <c r="D1120" s="11">
        <f t="shared" si="52"/>
        <v>931774410.04000008</v>
      </c>
      <c r="E1120" s="10">
        <f t="shared" si="53"/>
        <v>0.99595247794911346</v>
      </c>
    </row>
    <row r="1121" spans="1:5">
      <c r="A1121">
        <f t="shared" si="51"/>
        <v>1120</v>
      </c>
      <c r="B1121" t="str" cm="1">
        <f t="array" ref="B1121">INDEX('Enriched Data'!C:C,A1121+1)</f>
        <v>Rood Landscaping LLC</v>
      </c>
      <c r="C1121" s="11" cm="1">
        <f t="array" ref="C1121">INDEX('Enriched Data'!G:G,A1121+1)</f>
        <v>10620</v>
      </c>
      <c r="D1121" s="11">
        <f t="shared" si="52"/>
        <v>931785030.04000008</v>
      </c>
      <c r="E1121" s="10">
        <f t="shared" si="53"/>
        <v>0.99596382942561024</v>
      </c>
    </row>
    <row r="1122" spans="1:5">
      <c r="A1122">
        <f t="shared" si="51"/>
        <v>1121</v>
      </c>
      <c r="B1122" t="str" cm="1">
        <f t="array" ref="B1122">INDEX('Enriched Data'!C:C,A1122+1)</f>
        <v>ABAV</v>
      </c>
      <c r="C1122" s="11" cm="1">
        <f t="array" ref="C1122">INDEX('Enriched Data'!G:G,A1122+1)</f>
        <v>10605.49</v>
      </c>
      <c r="D1122" s="11">
        <f t="shared" si="52"/>
        <v>931795635.53000009</v>
      </c>
      <c r="E1122" s="10">
        <f t="shared" si="53"/>
        <v>0.99597516539269793</v>
      </c>
    </row>
    <row r="1123" spans="1:5">
      <c r="A1123">
        <f t="shared" si="51"/>
        <v>1122</v>
      </c>
      <c r="B1123" t="str" cm="1">
        <f t="array" ref="B1123">INDEX('Enriched Data'!C:C,A1123+1)</f>
        <v>iPower Georgia</v>
      </c>
      <c r="C1123" s="11" cm="1">
        <f t="array" ref="C1123">INDEX('Enriched Data'!G:G,A1123+1)</f>
        <v>10594</v>
      </c>
      <c r="D1123" s="11">
        <f t="shared" si="52"/>
        <v>931806229.53000009</v>
      </c>
      <c r="E1123" s="10">
        <f t="shared" si="53"/>
        <v>0.99598648907838594</v>
      </c>
    </row>
    <row r="1124" spans="1:5">
      <c r="A1124">
        <f t="shared" si="51"/>
        <v>1123</v>
      </c>
      <c r="B1124" t="str" cm="1">
        <f t="array" ref="B1124">INDEX('Enriched Data'!C:C,A1124+1)</f>
        <v>Cornerstone OnDemand, Inc.</v>
      </c>
      <c r="C1124" s="11" cm="1">
        <f t="array" ref="C1124">INDEX('Enriched Data'!G:G,A1124+1)</f>
        <v>10593.85</v>
      </c>
      <c r="D1124" s="11">
        <f t="shared" si="52"/>
        <v>931816823.38000011</v>
      </c>
      <c r="E1124" s="10">
        <f t="shared" si="53"/>
        <v>0.99599781260374232</v>
      </c>
    </row>
    <row r="1125" spans="1:5">
      <c r="A1125">
        <f t="shared" si="51"/>
        <v>1124</v>
      </c>
      <c r="B1125" t="str" cm="1">
        <f t="array" ref="B1125">INDEX('Enriched Data'!C:C,A1125+1)</f>
        <v>Telecom System Solutions</v>
      </c>
      <c r="C1125" s="11" cm="1">
        <f t="array" ref="C1125">INDEX('Enriched Data'!G:G,A1125+1)</f>
        <v>10590</v>
      </c>
      <c r="D1125" s="11">
        <f t="shared" si="52"/>
        <v>931827413.38000011</v>
      </c>
      <c r="E1125" s="10">
        <f t="shared" si="53"/>
        <v>0.99600913201392127</v>
      </c>
    </row>
    <row r="1126" spans="1:5">
      <c r="A1126">
        <f t="shared" si="51"/>
        <v>1125</v>
      </c>
      <c r="B1126" t="str" cm="1">
        <f t="array" ref="B1126">INDEX('Enriched Data'!C:C,A1126+1)</f>
        <v>AccuWeather Enterprise Solutions</v>
      </c>
      <c r="C1126" s="11" cm="1">
        <f t="array" ref="C1126">INDEX('Enriched Data'!G:G,A1126+1)</f>
        <v>10568</v>
      </c>
      <c r="D1126" s="11">
        <f t="shared" si="52"/>
        <v>931837981.38000011</v>
      </c>
      <c r="E1126" s="10">
        <f t="shared" si="53"/>
        <v>0.99602042790880052</v>
      </c>
    </row>
    <row r="1127" spans="1:5">
      <c r="A1127">
        <f t="shared" si="51"/>
        <v>1126</v>
      </c>
      <c r="B1127" t="str" cm="1">
        <f t="array" ref="B1127">INDEX('Enriched Data'!C:C,A1127+1)</f>
        <v>Sovos Compliance, LLC</v>
      </c>
      <c r="C1127" s="11" cm="1">
        <f t="array" ref="C1127">INDEX('Enriched Data'!G:G,A1127+1)</f>
        <v>10552.15</v>
      </c>
      <c r="D1127" s="11">
        <f t="shared" si="52"/>
        <v>931848533.53000009</v>
      </c>
      <c r="E1127" s="10">
        <f t="shared" si="53"/>
        <v>0.99603170686197506</v>
      </c>
    </row>
    <row r="1128" spans="1:5">
      <c r="A1128">
        <f t="shared" si="51"/>
        <v>1127</v>
      </c>
      <c r="B1128" t="str" cm="1">
        <f t="array" ref="B1128">INDEX('Enriched Data'!C:C,A1128+1)</f>
        <v>Christopher Solis</v>
      </c>
      <c r="C1128" s="11" cm="1">
        <f t="array" ref="C1128">INDEX('Enriched Data'!G:G,A1128+1)</f>
        <v>10550</v>
      </c>
      <c r="D1128" s="11">
        <f t="shared" si="52"/>
        <v>931859083.53000009</v>
      </c>
      <c r="E1128" s="10">
        <f t="shared" si="53"/>
        <v>0.99604298351706366</v>
      </c>
    </row>
    <row r="1129" spans="1:5">
      <c r="A1129">
        <f t="shared" si="51"/>
        <v>1128</v>
      </c>
      <c r="B1129" t="str" cm="1">
        <f t="array" ref="B1129">INDEX('Enriched Data'!C:C,A1129+1)</f>
        <v>Carbajal Reality, Inc.</v>
      </c>
      <c r="C1129" s="11" cm="1">
        <f t="array" ref="C1129">INDEX('Enriched Data'!G:G,A1129+1)</f>
        <v>10500</v>
      </c>
      <c r="D1129" s="11">
        <f t="shared" si="52"/>
        <v>931869583.53000009</v>
      </c>
      <c r="E1129" s="10">
        <f t="shared" si="53"/>
        <v>0.99605420672828926</v>
      </c>
    </row>
    <row r="1130" spans="1:5">
      <c r="A1130">
        <f t="shared" si="51"/>
        <v>1129</v>
      </c>
      <c r="B1130" t="str" cm="1">
        <f t="array" ref="B1130">INDEX('Enriched Data'!C:C,A1130+1)</f>
        <v>LEB Services LLC</v>
      </c>
      <c r="C1130" s="11" cm="1">
        <f t="array" ref="C1130">INDEX('Enriched Data'!G:G,A1130+1)</f>
        <v>10458.89</v>
      </c>
      <c r="D1130" s="11">
        <f t="shared" si="52"/>
        <v>931880042.42000008</v>
      </c>
      <c r="E1130" s="10">
        <f t="shared" si="53"/>
        <v>0.99606538599797068</v>
      </c>
    </row>
    <row r="1131" spans="1:5">
      <c r="A1131">
        <f t="shared" si="51"/>
        <v>1130</v>
      </c>
      <c r="B1131" t="str" cm="1">
        <f t="array" ref="B1131">INDEX('Enriched Data'!C:C,A1131+1)</f>
        <v>Taylor Marie Luettke</v>
      </c>
      <c r="C1131" s="11" cm="1">
        <f t="array" ref="C1131">INDEX('Enriched Data'!G:G,A1131+1)</f>
        <v>10400</v>
      </c>
      <c r="D1131" s="11">
        <f t="shared" si="52"/>
        <v>931890442.42000008</v>
      </c>
      <c r="E1131" s="10">
        <f t="shared" si="53"/>
        <v>0.99607650232147027</v>
      </c>
    </row>
    <row r="1132" spans="1:5">
      <c r="A1132">
        <f t="shared" si="51"/>
        <v>1131</v>
      </c>
      <c r="B1132" t="str" cm="1">
        <f t="array" ref="B1132">INDEX('Enriched Data'!C:C,A1132+1)</f>
        <v>Paradigm Industrial LLC</v>
      </c>
      <c r="C1132" s="11" cm="1">
        <f t="array" ref="C1132">INDEX('Enriched Data'!G:G,A1132+1)</f>
        <v>10373.56</v>
      </c>
      <c r="D1132" s="11">
        <f t="shared" si="52"/>
        <v>931900815.98000002</v>
      </c>
      <c r="E1132" s="10">
        <f t="shared" si="53"/>
        <v>0.99608759038385508</v>
      </c>
    </row>
    <row r="1133" spans="1:5">
      <c r="A1133">
        <f t="shared" si="51"/>
        <v>1132</v>
      </c>
      <c r="B1133" t="str" cm="1">
        <f t="array" ref="B1133">INDEX('Enriched Data'!C:C,A1133+1)</f>
        <v>Mayer Paint &amp; Hardware</v>
      </c>
      <c r="C1133" s="11" cm="1">
        <f t="array" ref="C1133">INDEX('Enriched Data'!G:G,A1133+1)</f>
        <v>10365.17</v>
      </c>
      <c r="D1133" s="11">
        <f t="shared" si="52"/>
        <v>931911181.14999998</v>
      </c>
      <c r="E1133" s="10">
        <f t="shared" si="53"/>
        <v>0.99609866947835968</v>
      </c>
    </row>
    <row r="1134" spans="1:5">
      <c r="A1134">
        <f t="shared" si="51"/>
        <v>1133</v>
      </c>
      <c r="B1134" t="str" cm="1">
        <f t="array" ref="B1134">INDEX('Enriched Data'!C:C,A1134+1)</f>
        <v>Axis Freight Ltd</v>
      </c>
      <c r="C1134" s="11" cm="1">
        <f t="array" ref="C1134">INDEX('Enriched Data'!G:G,A1134+1)</f>
        <v>10305</v>
      </c>
      <c r="D1134" s="11">
        <f t="shared" si="52"/>
        <v>931921486.14999998</v>
      </c>
      <c r="E1134" s="10">
        <f t="shared" si="53"/>
        <v>0.99610968425851965</v>
      </c>
    </row>
    <row r="1135" spans="1:5">
      <c r="A1135">
        <f t="shared" si="51"/>
        <v>1134</v>
      </c>
      <c r="B1135" t="str" cm="1">
        <f t="array" ref="B1135">INDEX('Enriched Data'!C:C,A1135+1)</f>
        <v>Fleet Professional Services Inc.</v>
      </c>
      <c r="C1135" s="11" cm="1">
        <f t="array" ref="C1135">INDEX('Enriched Data'!G:G,A1135+1)</f>
        <v>10269.66</v>
      </c>
      <c r="D1135" s="11">
        <f t="shared" si="52"/>
        <v>931931755.80999994</v>
      </c>
      <c r="E1135" s="10">
        <f t="shared" si="53"/>
        <v>0.99612066126455723</v>
      </c>
    </row>
    <row r="1136" spans="1:5">
      <c r="A1136">
        <f t="shared" si="51"/>
        <v>1135</v>
      </c>
      <c r="B1136" t="str" cm="1">
        <f t="array" ref="B1136">INDEX('Enriched Data'!C:C,A1136+1)</f>
        <v>JEFFERIES INC.</v>
      </c>
      <c r="C1136" s="11" cm="1">
        <f t="array" ref="C1136">INDEX('Enriched Data'!G:G,A1136+1)</f>
        <v>10245</v>
      </c>
      <c r="D1136" s="11">
        <f t="shared" si="52"/>
        <v>931942000.80999994</v>
      </c>
      <c r="E1136" s="10">
        <f t="shared" si="53"/>
        <v>0.99613161191208166</v>
      </c>
    </row>
    <row r="1137" spans="1:5">
      <c r="A1137">
        <f t="shared" si="51"/>
        <v>1136</v>
      </c>
      <c r="B1137" t="str" cm="1">
        <f t="array" ref="B1137">INDEX('Enriched Data'!C:C,A1137+1)</f>
        <v>BrandVerity</v>
      </c>
      <c r="C1137" s="11" cm="1">
        <f t="array" ref="C1137">INDEX('Enriched Data'!G:G,A1137+1)</f>
        <v>10205</v>
      </c>
      <c r="D1137" s="11">
        <f t="shared" si="52"/>
        <v>931952205.80999994</v>
      </c>
      <c r="E1137" s="10">
        <f t="shared" si="53"/>
        <v>0.99614251980451562</v>
      </c>
    </row>
    <row r="1138" spans="1:5">
      <c r="A1138">
        <f t="shared" si="51"/>
        <v>1137</v>
      </c>
      <c r="B1138" t="str" cm="1">
        <f t="array" ref="B1138">INDEX('Enriched Data'!C:C,A1138+1)</f>
        <v>Leary Masonry Solutions Inc</v>
      </c>
      <c r="C1138" s="11" cm="1">
        <f t="array" ref="C1138">INDEX('Enriched Data'!G:G,A1138+1)</f>
        <v>10180</v>
      </c>
      <c r="D1138" s="11">
        <f t="shared" si="52"/>
        <v>931962385.80999994</v>
      </c>
      <c r="E1138" s="10">
        <f t="shared" si="53"/>
        <v>0.99615340097501814</v>
      </c>
    </row>
    <row r="1139" spans="1:5">
      <c r="A1139">
        <f t="shared" si="51"/>
        <v>1138</v>
      </c>
      <c r="B1139" t="str" cm="1">
        <f t="array" ref="B1139">INDEX('Enriched Data'!C:C,A1139+1)</f>
        <v>Superior Propane</v>
      </c>
      <c r="C1139" s="11" cm="1">
        <f t="array" ref="C1139">INDEX('Enriched Data'!G:G,A1139+1)</f>
        <v>10154.299999999999</v>
      </c>
      <c r="D1139" s="11">
        <f t="shared" si="52"/>
        <v>931972540.1099999</v>
      </c>
      <c r="E1139" s="10">
        <f t="shared" si="53"/>
        <v>0.99616425467537506</v>
      </c>
    </row>
    <row r="1140" spans="1:5">
      <c r="A1140">
        <f t="shared" si="51"/>
        <v>1139</v>
      </c>
      <c r="B1140" t="str" cm="1">
        <f t="array" ref="B1140">INDEX('Enriched Data'!C:C,A1140+1)</f>
        <v>Petrospect Industrial Services Inc</v>
      </c>
      <c r="C1140" s="11" cm="1">
        <f t="array" ref="C1140">INDEX('Enriched Data'!G:G,A1140+1)</f>
        <v>10130.59</v>
      </c>
      <c r="D1140" s="11">
        <f t="shared" si="52"/>
        <v>931982670.69999993</v>
      </c>
      <c r="E1140" s="10">
        <f t="shared" si="53"/>
        <v>0.99617508303265223</v>
      </c>
    </row>
    <row r="1141" spans="1:5">
      <c r="A1141">
        <f t="shared" si="51"/>
        <v>1140</v>
      </c>
      <c r="B1141" t="str" cm="1">
        <f t="array" ref="B1141">INDEX('Enriched Data'!C:C,A1141+1)</f>
        <v>Cintas Corporation #0562 #0610</v>
      </c>
      <c r="C1141" s="11" cm="1">
        <f t="array" ref="C1141">INDEX('Enriched Data'!G:G,A1141+1)</f>
        <v>10107.790000000001</v>
      </c>
      <c r="D1141" s="11">
        <f t="shared" si="52"/>
        <v>931992778.48999989</v>
      </c>
      <c r="E1141" s="10">
        <f t="shared" si="53"/>
        <v>0.9961858870195277</v>
      </c>
    </row>
    <row r="1142" spans="1:5">
      <c r="A1142">
        <f t="shared" si="51"/>
        <v>1141</v>
      </c>
      <c r="B1142" t="str" cm="1">
        <f t="array" ref="B1142">INDEX('Enriched Data'!C:C,A1142+1)</f>
        <v>TBJ Services LTD</v>
      </c>
      <c r="C1142" s="11" cm="1">
        <f t="array" ref="C1142">INDEX('Enriched Data'!G:G,A1142+1)</f>
        <v>10088.700000000001</v>
      </c>
      <c r="D1142" s="11">
        <f t="shared" si="52"/>
        <v>932002867.18999994</v>
      </c>
      <c r="E1142" s="10">
        <f t="shared" si="53"/>
        <v>0.99619667060153649</v>
      </c>
    </row>
    <row r="1143" spans="1:5">
      <c r="A1143">
        <f t="shared" si="51"/>
        <v>1142</v>
      </c>
      <c r="B1143" t="str" cm="1">
        <f t="array" ref="B1143">INDEX('Enriched Data'!C:C,A1143+1)</f>
        <v>Marion Self Storage</v>
      </c>
      <c r="C1143" s="11" cm="1">
        <f t="array" ref="C1143">INDEX('Enriched Data'!G:G,A1143+1)</f>
        <v>10050</v>
      </c>
      <c r="D1143" s="11">
        <f t="shared" si="52"/>
        <v>932012917.18999994</v>
      </c>
      <c r="E1143" s="10">
        <f t="shared" si="53"/>
        <v>0.9962074128179953</v>
      </c>
    </row>
    <row r="1144" spans="1:5">
      <c r="A1144">
        <f t="shared" si="51"/>
        <v>1143</v>
      </c>
      <c r="B1144" t="str" cm="1">
        <f t="array" ref="B1144">INDEX('Enriched Data'!C:C,A1144+1)</f>
        <v>Amerifleet Transportation, Inc</v>
      </c>
      <c r="C1144" s="11" cm="1">
        <f t="array" ref="C1144">INDEX('Enriched Data'!G:G,A1144+1)</f>
        <v>10029</v>
      </c>
      <c r="D1144" s="11">
        <f t="shared" si="52"/>
        <v>932022946.18999994</v>
      </c>
      <c r="E1144" s="10">
        <f t="shared" si="53"/>
        <v>0.9962181325880316</v>
      </c>
    </row>
    <row r="1145" spans="1:5">
      <c r="A1145">
        <f t="shared" si="51"/>
        <v>1144</v>
      </c>
      <c r="B1145" t="str" cm="1">
        <f t="array" ref="B1145">INDEX('Enriched Data'!C:C,A1145+1)</f>
        <v>SSS Down To Earth Opco, LLC</v>
      </c>
      <c r="C1145" s="11" cm="1">
        <f t="array" ref="C1145">INDEX('Enriched Data'!G:G,A1145+1)</f>
        <v>10022.76</v>
      </c>
      <c r="D1145" s="11">
        <f t="shared" si="52"/>
        <v>932032968.94999993</v>
      </c>
      <c r="E1145" s="10">
        <f t="shared" si="53"/>
        <v>0.99622884568827375</v>
      </c>
    </row>
    <row r="1146" spans="1:5">
      <c r="A1146">
        <f t="shared" si="51"/>
        <v>1145</v>
      </c>
      <c r="B1146" t="str" cm="1">
        <f t="array" ref="B1146">INDEX('Enriched Data'!C:C,A1146+1)</f>
        <v>Times Square District Management Assoc, Inc.</v>
      </c>
      <c r="C1146" s="11" cm="1">
        <f t="array" ref="C1146">INDEX('Enriched Data'!G:G,A1146+1)</f>
        <v>10000</v>
      </c>
      <c r="D1146" s="11">
        <f t="shared" si="52"/>
        <v>932042968.94999993</v>
      </c>
      <c r="E1146" s="10">
        <f t="shared" si="53"/>
        <v>0.99623953446086955</v>
      </c>
    </row>
    <row r="1147" spans="1:5">
      <c r="A1147">
        <f t="shared" si="51"/>
        <v>1146</v>
      </c>
      <c r="B1147" t="str" cm="1">
        <f t="array" ref="B1147">INDEX('Enriched Data'!C:C,A1147+1)</f>
        <v>Benjamin Turnage</v>
      </c>
      <c r="C1147" s="11" cm="1">
        <f t="array" ref="C1147">INDEX('Enriched Data'!G:G,A1147+1)</f>
        <v>10000</v>
      </c>
      <c r="D1147" s="11">
        <f t="shared" si="52"/>
        <v>932052968.94999993</v>
      </c>
      <c r="E1147" s="10">
        <f t="shared" si="53"/>
        <v>0.99625022323346535</v>
      </c>
    </row>
    <row r="1148" spans="1:5">
      <c r="A1148">
        <f t="shared" si="51"/>
        <v>1147</v>
      </c>
      <c r="B1148" t="str" cm="1">
        <f t="array" ref="B1148">INDEX('Enriched Data'!C:C,A1148+1)</f>
        <v>Nest Holdings Inc</v>
      </c>
      <c r="C1148" s="11" cm="1">
        <f t="array" ref="C1148">INDEX('Enriched Data'!G:G,A1148+1)</f>
        <v>10000</v>
      </c>
      <c r="D1148" s="11">
        <f t="shared" si="52"/>
        <v>932062968.94999993</v>
      </c>
      <c r="E1148" s="10">
        <f t="shared" si="53"/>
        <v>0.99626091200606115</v>
      </c>
    </row>
    <row r="1149" spans="1:5">
      <c r="A1149">
        <f t="shared" si="51"/>
        <v>1148</v>
      </c>
      <c r="B1149" t="str" cm="1">
        <f t="array" ref="B1149">INDEX('Enriched Data'!C:C,A1149+1)</f>
        <v>Conserve, LLC</v>
      </c>
      <c r="C1149" s="11" cm="1">
        <f t="array" ref="C1149">INDEX('Enriched Data'!G:G,A1149+1)</f>
        <v>10000</v>
      </c>
      <c r="D1149" s="11">
        <f t="shared" si="52"/>
        <v>932072968.94999993</v>
      </c>
      <c r="E1149" s="10">
        <f t="shared" si="53"/>
        <v>0.99627160077865695</v>
      </c>
    </row>
    <row r="1150" spans="1:5">
      <c r="A1150">
        <f t="shared" si="51"/>
        <v>1149</v>
      </c>
      <c r="B1150" t="str" cm="1">
        <f t="array" ref="B1150">INDEX('Enriched Data'!C:C,A1150+1)</f>
        <v>Arkansas National Guard Morate Wel</v>
      </c>
      <c r="C1150" s="11" cm="1">
        <f t="array" ref="C1150">INDEX('Enriched Data'!G:G,A1150+1)</f>
        <v>10000</v>
      </c>
      <c r="D1150" s="11">
        <f t="shared" si="52"/>
        <v>932082968.94999993</v>
      </c>
      <c r="E1150" s="10">
        <f t="shared" si="53"/>
        <v>0.99628228955125275</v>
      </c>
    </row>
    <row r="1151" spans="1:5">
      <c r="A1151">
        <f t="shared" si="51"/>
        <v>1150</v>
      </c>
      <c r="B1151" t="str" cm="1">
        <f t="array" ref="B1151">INDEX('Enriched Data'!C:C,A1151+1)</f>
        <v>Postman Inc</v>
      </c>
      <c r="C1151" s="11" cm="1">
        <f t="array" ref="C1151">INDEX('Enriched Data'!G:G,A1151+1)</f>
        <v>9996</v>
      </c>
      <c r="D1151" s="11">
        <f t="shared" si="52"/>
        <v>932092964.94999993</v>
      </c>
      <c r="E1151" s="10">
        <f t="shared" si="53"/>
        <v>0.9962929740483395</v>
      </c>
    </row>
    <row r="1152" spans="1:5">
      <c r="A1152">
        <f t="shared" si="51"/>
        <v>1151</v>
      </c>
      <c r="B1152" t="str" cm="1">
        <f t="array" ref="B1152">INDEX('Enriched Data'!C:C,A1152+1)</f>
        <v>Reels Hose Fix</v>
      </c>
      <c r="C1152" s="11" cm="1">
        <f t="array" ref="C1152">INDEX('Enriched Data'!G:G,A1152+1)</f>
        <v>9979.41</v>
      </c>
      <c r="D1152" s="11">
        <f t="shared" si="52"/>
        <v>932102944.3599999</v>
      </c>
      <c r="E1152" s="10">
        <f t="shared" si="53"/>
        <v>0.99630364081275247</v>
      </c>
    </row>
    <row r="1153" spans="1:5">
      <c r="A1153">
        <f t="shared" si="51"/>
        <v>1152</v>
      </c>
      <c r="B1153" t="str" cm="1">
        <f t="array" ref="B1153">INDEX('Enriched Data'!C:C,A1153+1)</f>
        <v>Sapphire Hydralics, Inc</v>
      </c>
      <c r="C1153" s="11" cm="1">
        <f t="array" ref="C1153">INDEX('Enriched Data'!G:G,A1153+1)</f>
        <v>9965</v>
      </c>
      <c r="D1153" s="11">
        <f t="shared" si="52"/>
        <v>932112909.3599999</v>
      </c>
      <c r="E1153" s="10">
        <f t="shared" si="53"/>
        <v>0.99631429217464418</v>
      </c>
    </row>
    <row r="1154" spans="1:5">
      <c r="A1154">
        <f t="shared" si="51"/>
        <v>1153</v>
      </c>
      <c r="B1154" t="str" cm="1">
        <f t="array" ref="B1154">INDEX('Enriched Data'!C:C,A1154+1)</f>
        <v>Northern Virginia Cleaning Inc</v>
      </c>
      <c r="C1154" s="11" cm="1">
        <f t="array" ref="C1154">INDEX('Enriched Data'!G:G,A1154+1)</f>
        <v>9929</v>
      </c>
      <c r="D1154" s="11">
        <f t="shared" si="52"/>
        <v>932122838.3599999</v>
      </c>
      <c r="E1154" s="10">
        <f t="shared" si="53"/>
        <v>0.99632490505695448</v>
      </c>
    </row>
    <row r="1155" spans="1:5">
      <c r="A1155">
        <f t="shared" si="51"/>
        <v>1154</v>
      </c>
      <c r="B1155" t="str" cm="1">
        <f t="array" ref="B1155">INDEX('Enriched Data'!C:C,A1155+1)</f>
        <v>Gary Burkeens dba Burkeens Welding</v>
      </c>
      <c r="C1155" s="11" cm="1">
        <f t="array" ref="C1155">INDEX('Enriched Data'!G:G,A1155+1)</f>
        <v>9898</v>
      </c>
      <c r="D1155" s="11">
        <f t="shared" si="52"/>
        <v>932132736.3599999</v>
      </c>
      <c r="E1155" s="10">
        <f t="shared" si="53"/>
        <v>0.99633548480406986</v>
      </c>
    </row>
    <row r="1156" spans="1:5">
      <c r="A1156">
        <f t="shared" ref="A1156:A1219" si="54">A1155+1</f>
        <v>1155</v>
      </c>
      <c r="B1156" t="str" cm="1">
        <f t="array" ref="B1156">INDEX('Enriched Data'!C:C,A1156+1)</f>
        <v>Trane U.S. Inc.</v>
      </c>
      <c r="C1156" s="11" cm="1">
        <f t="array" ref="C1156">INDEX('Enriched Data'!G:G,A1156+1)</f>
        <v>9878.57</v>
      </c>
      <c r="D1156" s="11">
        <f t="shared" ref="D1156:D1219" si="55">D1155+C1156</f>
        <v>932142614.92999995</v>
      </c>
      <c r="E1156" s="10">
        <f t="shared" ref="E1156:E1219" si="56">D1156/$F$2</f>
        <v>0.99634604378290004</v>
      </c>
    </row>
    <row r="1157" spans="1:5">
      <c r="A1157">
        <f t="shared" si="54"/>
        <v>1156</v>
      </c>
      <c r="B1157" t="str" cm="1">
        <f t="array" ref="B1157">INDEX('Enriched Data'!C:C,A1157+1)</f>
        <v>ASCO Aerospace USA LLC</v>
      </c>
      <c r="C1157" s="11" cm="1">
        <f t="array" ref="C1157">INDEX('Enriched Data'!G:G,A1157+1)</f>
        <v>9870.9699999999993</v>
      </c>
      <c r="D1157" s="11">
        <f t="shared" si="55"/>
        <v>932152485.89999998</v>
      </c>
      <c r="E1157" s="10">
        <f t="shared" si="56"/>
        <v>0.99635659463826309</v>
      </c>
    </row>
    <row r="1158" spans="1:5">
      <c r="A1158">
        <f t="shared" si="54"/>
        <v>1157</v>
      </c>
      <c r="B1158" t="str" cm="1">
        <f t="array" ref="B1158">INDEX('Enriched Data'!C:C,A1158+1)</f>
        <v>Love Talent Corp</v>
      </c>
      <c r="C1158" s="11" cm="1">
        <f t="array" ref="C1158">INDEX('Enriched Data'!G:G,A1158+1)</f>
        <v>9840</v>
      </c>
      <c r="D1158" s="11">
        <f t="shared" si="55"/>
        <v>932162325.89999998</v>
      </c>
      <c r="E1158" s="10">
        <f t="shared" si="56"/>
        <v>0.99636711239049724</v>
      </c>
    </row>
    <row r="1159" spans="1:5">
      <c r="A1159">
        <f t="shared" si="54"/>
        <v>1158</v>
      </c>
      <c r="B1159" t="str" cm="1">
        <f t="array" ref="B1159">INDEX('Enriched Data'!C:C,A1159+1)</f>
        <v>AutoZone Stores LLC</v>
      </c>
      <c r="C1159" s="11" cm="1">
        <f t="array" ref="C1159">INDEX('Enriched Data'!G:G,A1159+1)</f>
        <v>9831.0400000000009</v>
      </c>
      <c r="D1159" s="11">
        <f t="shared" si="55"/>
        <v>932172156.93999994</v>
      </c>
      <c r="E1159" s="10">
        <f t="shared" si="56"/>
        <v>0.99637762056559132</v>
      </c>
    </row>
    <row r="1160" spans="1:5">
      <c r="A1160">
        <f t="shared" si="54"/>
        <v>1159</v>
      </c>
      <c r="B1160" t="str" cm="1">
        <f t="array" ref="B1160">INDEX('Enriched Data'!C:C,A1160+1)</f>
        <v>HG Fire Systems, LP</v>
      </c>
      <c r="C1160" s="11" cm="1">
        <f t="array" ref="C1160">INDEX('Enriched Data'!G:G,A1160+1)</f>
        <v>9827.99</v>
      </c>
      <c r="D1160" s="11">
        <f t="shared" si="55"/>
        <v>932181984.92999995</v>
      </c>
      <c r="E1160" s="10">
        <f t="shared" si="56"/>
        <v>0.99638812548060962</v>
      </c>
    </row>
    <row r="1161" spans="1:5">
      <c r="A1161">
        <f t="shared" si="54"/>
        <v>1160</v>
      </c>
      <c r="B1161" t="str" cm="1">
        <f t="array" ref="B1161">INDEX('Enriched Data'!C:C,A1161+1)</f>
        <v>Memtech Inc.</v>
      </c>
      <c r="C1161" s="11" cm="1">
        <f t="array" ref="C1161">INDEX('Enriched Data'!G:G,A1161+1)</f>
        <v>9794.74</v>
      </c>
      <c r="D1161" s="11">
        <f t="shared" si="55"/>
        <v>932191779.66999996</v>
      </c>
      <c r="E1161" s="10">
        <f t="shared" si="56"/>
        <v>0.99639859485545912</v>
      </c>
    </row>
    <row r="1162" spans="1:5">
      <c r="A1162">
        <f t="shared" si="54"/>
        <v>1161</v>
      </c>
      <c r="B1162" t="str" cm="1">
        <f t="array" ref="B1162">INDEX('Enriched Data'!C:C,A1162+1)</f>
        <v>ChemStation International</v>
      </c>
      <c r="C1162" s="11" cm="1">
        <f t="array" ref="C1162">INDEX('Enriched Data'!G:G,A1162+1)</f>
        <v>9783.44</v>
      </c>
      <c r="D1162" s="11">
        <f t="shared" si="55"/>
        <v>932201563.11000001</v>
      </c>
      <c r="E1162" s="10">
        <f t="shared" si="56"/>
        <v>0.9964090521519956</v>
      </c>
    </row>
    <row r="1163" spans="1:5">
      <c r="A1163">
        <f t="shared" si="54"/>
        <v>1162</v>
      </c>
      <c r="B1163" t="str" cm="1">
        <f t="array" ref="B1163">INDEX('Enriched Data'!C:C,A1163+1)</f>
        <v>AG Services of KS Inc</v>
      </c>
      <c r="C1163" s="11" cm="1">
        <f t="array" ref="C1163">INDEX('Enriched Data'!G:G,A1163+1)</f>
        <v>9737.81</v>
      </c>
      <c r="D1163" s="11">
        <f t="shared" si="55"/>
        <v>932211300.91999996</v>
      </c>
      <c r="E1163" s="10">
        <f t="shared" si="56"/>
        <v>0.99641946067566267</v>
      </c>
    </row>
    <row r="1164" spans="1:5">
      <c r="A1164">
        <f t="shared" si="54"/>
        <v>1163</v>
      </c>
      <c r="B1164" t="str" cm="1">
        <f t="array" ref="B1164">INDEX('Enriched Data'!C:C,A1164+1)</f>
        <v>Think-Cell Software GmbH</v>
      </c>
      <c r="C1164" s="11" cm="1">
        <f t="array" ref="C1164">INDEX('Enriched Data'!G:G,A1164+1)</f>
        <v>9723.6</v>
      </c>
      <c r="D1164" s="11">
        <f t="shared" si="55"/>
        <v>932221024.51999998</v>
      </c>
      <c r="E1164" s="10">
        <f t="shared" si="56"/>
        <v>0.99642985401058393</v>
      </c>
    </row>
    <row r="1165" spans="1:5">
      <c r="A1165">
        <f t="shared" si="54"/>
        <v>1164</v>
      </c>
      <c r="B1165" t="str" cm="1">
        <f t="array" ref="B1165">INDEX('Enriched Data'!C:C,A1165+1)</f>
        <v>Crisafulli Bros. Plumbing&amp; Heating</v>
      </c>
      <c r="C1165" s="11" cm="1">
        <f t="array" ref="C1165">INDEX('Enriched Data'!G:G,A1165+1)</f>
        <v>9714.2800000000007</v>
      </c>
      <c r="D1165" s="11">
        <f t="shared" si="55"/>
        <v>932230738.79999995</v>
      </c>
      <c r="E1165" s="10">
        <f t="shared" si="56"/>
        <v>0.99644023738356913</v>
      </c>
    </row>
    <row r="1166" spans="1:5">
      <c r="A1166">
        <f t="shared" si="54"/>
        <v>1165</v>
      </c>
      <c r="B1166" t="str" cm="1">
        <f t="array" ref="B1166">INDEX('Enriched Data'!C:C,A1166+1)</f>
        <v>American Overhead Doors, inc.</v>
      </c>
      <c r="C1166" s="11" cm="1">
        <f t="array" ref="C1166">INDEX('Enriched Data'!G:G,A1166+1)</f>
        <v>9705.3700000000008</v>
      </c>
      <c r="D1166" s="11">
        <f t="shared" si="55"/>
        <v>932240444.16999996</v>
      </c>
      <c r="E1166" s="10">
        <f t="shared" si="56"/>
        <v>0.99645061123285794</v>
      </c>
    </row>
    <row r="1167" spans="1:5">
      <c r="A1167">
        <f t="shared" si="54"/>
        <v>1166</v>
      </c>
      <c r="B1167" t="str" cm="1">
        <f t="array" ref="B1167">INDEX('Enriched Data'!C:C,A1167+1)</f>
        <v>Wanda L. Carmichael</v>
      </c>
      <c r="C1167" s="11" cm="1">
        <f t="array" ref="C1167">INDEX('Enriched Data'!G:G,A1167+1)</f>
        <v>9700</v>
      </c>
      <c r="D1167" s="11">
        <f t="shared" si="55"/>
        <v>932250144.16999996</v>
      </c>
      <c r="E1167" s="10">
        <f t="shared" si="56"/>
        <v>0.99646097934227584</v>
      </c>
    </row>
    <row r="1168" spans="1:5">
      <c r="A1168">
        <f t="shared" si="54"/>
        <v>1167</v>
      </c>
      <c r="B1168" t="str" cm="1">
        <f t="array" ref="B1168">INDEX('Enriched Data'!C:C,A1168+1)</f>
        <v>Coca-Cola Consolidated, Inc</v>
      </c>
      <c r="C1168" s="11" cm="1">
        <f t="array" ref="C1168">INDEX('Enriched Data'!G:G,A1168+1)</f>
        <v>9670.76</v>
      </c>
      <c r="D1168" s="11">
        <f t="shared" si="55"/>
        <v>932259814.92999995</v>
      </c>
      <c r="E1168" s="10">
        <f t="shared" si="56"/>
        <v>0.99647131619772267</v>
      </c>
    </row>
    <row r="1169" spans="1:5">
      <c r="A1169">
        <f t="shared" si="54"/>
        <v>1168</v>
      </c>
      <c r="B1169" t="str" cm="1">
        <f t="array" ref="B1169">INDEX('Enriched Data'!C:C,A1169+1)</f>
        <v>My Blue Robot</v>
      </c>
      <c r="C1169" s="11" cm="1">
        <f t="array" ref="C1169">INDEX('Enriched Data'!G:G,A1169+1)</f>
        <v>9600</v>
      </c>
      <c r="D1169" s="11">
        <f t="shared" si="55"/>
        <v>932269414.92999995</v>
      </c>
      <c r="E1169" s="10">
        <f t="shared" si="56"/>
        <v>0.99648157741941457</v>
      </c>
    </row>
    <row r="1170" spans="1:5">
      <c r="A1170">
        <f t="shared" si="54"/>
        <v>1169</v>
      </c>
      <c r="B1170" t="str" cm="1">
        <f t="array" ref="B1170">INDEX('Enriched Data'!C:C,A1170+1)</f>
        <v>Richards Lawn and More Austin Ric</v>
      </c>
      <c r="C1170" s="11" cm="1">
        <f t="array" ref="C1170">INDEX('Enriched Data'!G:G,A1170+1)</f>
        <v>9600</v>
      </c>
      <c r="D1170" s="11">
        <f t="shared" si="55"/>
        <v>932279014.92999995</v>
      </c>
      <c r="E1170" s="10">
        <f t="shared" si="56"/>
        <v>0.99649183864110658</v>
      </c>
    </row>
    <row r="1171" spans="1:5">
      <c r="A1171">
        <f t="shared" si="54"/>
        <v>1170</v>
      </c>
      <c r="B1171" t="str" cm="1">
        <f t="array" ref="B1171">INDEX('Enriched Data'!C:C,A1171+1)</f>
        <v>Boland Trane Services, Inc</v>
      </c>
      <c r="C1171" s="11" cm="1">
        <f t="array" ref="C1171">INDEX('Enriched Data'!G:G,A1171+1)</f>
        <v>9578.2000000000007</v>
      </c>
      <c r="D1171" s="11">
        <f t="shared" si="55"/>
        <v>932288593.13</v>
      </c>
      <c r="E1171" s="10">
        <f t="shared" si="56"/>
        <v>0.99650207656127432</v>
      </c>
    </row>
    <row r="1172" spans="1:5">
      <c r="A1172">
        <f t="shared" si="54"/>
        <v>1171</v>
      </c>
      <c r="B1172" t="str" cm="1">
        <f t="array" ref="B1172">INDEX('Enriched Data'!C:C,A1172+1)</f>
        <v>Boston Quality Cleaning Servs</v>
      </c>
      <c r="C1172" s="11" cm="1">
        <f t="array" ref="C1172">INDEX('Enriched Data'!G:G,A1172+1)</f>
        <v>9575</v>
      </c>
      <c r="D1172" s="11">
        <f t="shared" si="55"/>
        <v>932298168.13</v>
      </c>
      <c r="E1172" s="10">
        <f t="shared" si="56"/>
        <v>0.99651231106103477</v>
      </c>
    </row>
    <row r="1173" spans="1:5">
      <c r="A1173">
        <f t="shared" si="54"/>
        <v>1172</v>
      </c>
      <c r="B1173" t="str" cm="1">
        <f t="array" ref="B1173">INDEX('Enriched Data'!C:C,A1173+1)</f>
        <v>UPI Energy</v>
      </c>
      <c r="C1173" s="11" cm="1">
        <f t="array" ref="C1173">INDEX('Enriched Data'!G:G,A1173+1)</f>
        <v>9571.93</v>
      </c>
      <c r="D1173" s="11">
        <f t="shared" si="55"/>
        <v>932307740.05999994</v>
      </c>
      <c r="E1173" s="10">
        <f t="shared" si="56"/>
        <v>0.99652254227934201</v>
      </c>
    </row>
    <row r="1174" spans="1:5">
      <c r="A1174">
        <f t="shared" si="54"/>
        <v>1173</v>
      </c>
      <c r="B1174" t="str" cm="1">
        <f t="array" ref="B1174">INDEX('Enriched Data'!C:C,A1174+1)</f>
        <v>Colton Jester dba JeRoCo Services</v>
      </c>
      <c r="C1174" s="11" cm="1">
        <f t="array" ref="C1174">INDEX('Enriched Data'!G:G,A1174+1)</f>
        <v>9552.31</v>
      </c>
      <c r="D1174" s="11">
        <f t="shared" si="55"/>
        <v>932317292.36999989</v>
      </c>
      <c r="E1174" s="10">
        <f t="shared" si="56"/>
        <v>0.99653275252627738</v>
      </c>
    </row>
    <row r="1175" spans="1:5">
      <c r="A1175">
        <f t="shared" si="54"/>
        <v>1174</v>
      </c>
      <c r="B1175" t="str" cm="1">
        <f t="array" ref="B1175">INDEX('Enriched Data'!C:C,A1175+1)</f>
        <v>OT Technology</v>
      </c>
      <c r="C1175" s="11" cm="1">
        <f t="array" ref="C1175">INDEX('Enriched Data'!G:G,A1175+1)</f>
        <v>9540</v>
      </c>
      <c r="D1175" s="11">
        <f t="shared" si="55"/>
        <v>932326832.36999989</v>
      </c>
      <c r="E1175" s="10">
        <f t="shared" si="56"/>
        <v>0.99654294961533374</v>
      </c>
    </row>
    <row r="1176" spans="1:5">
      <c r="A1176">
        <f t="shared" si="54"/>
        <v>1175</v>
      </c>
      <c r="B1176" t="str" cm="1">
        <f t="array" ref="B1176">INDEX('Enriched Data'!C:C,A1176+1)</f>
        <v>All American Stoneworks</v>
      </c>
      <c r="C1176" s="11" cm="1">
        <f t="array" ref="C1176">INDEX('Enriched Data'!G:G,A1176+1)</f>
        <v>9500</v>
      </c>
      <c r="D1176" s="11">
        <f t="shared" si="55"/>
        <v>932336332.36999989</v>
      </c>
      <c r="E1176" s="10">
        <f t="shared" si="56"/>
        <v>0.99655310394929975</v>
      </c>
    </row>
    <row r="1177" spans="1:5">
      <c r="A1177">
        <f t="shared" si="54"/>
        <v>1176</v>
      </c>
      <c r="B1177" t="str" cm="1">
        <f t="array" ref="B1177">INDEX('Enriched Data'!C:C,A1177+1)</f>
        <v>ABF Facility Services</v>
      </c>
      <c r="C1177" s="11" cm="1">
        <f t="array" ref="C1177">INDEX('Enriched Data'!G:G,A1177+1)</f>
        <v>9470</v>
      </c>
      <c r="D1177" s="11">
        <f t="shared" si="55"/>
        <v>932345802.36999989</v>
      </c>
      <c r="E1177" s="10">
        <f t="shared" si="56"/>
        <v>0.99656322621694793</v>
      </c>
    </row>
    <row r="1178" spans="1:5">
      <c r="A1178">
        <f t="shared" si="54"/>
        <v>1177</v>
      </c>
      <c r="B1178" t="str" cm="1">
        <f t="array" ref="B1178">INDEX('Enriched Data'!C:C,A1178+1)</f>
        <v>Bison Fleet Specialists</v>
      </c>
      <c r="C1178" s="11" cm="1">
        <f t="array" ref="C1178">INDEX('Enriched Data'!G:G,A1178+1)</f>
        <v>9468.2000000000007</v>
      </c>
      <c r="D1178" s="11">
        <f t="shared" si="55"/>
        <v>932355270.56999993</v>
      </c>
      <c r="E1178" s="10">
        <f t="shared" si="56"/>
        <v>0.99657334656061713</v>
      </c>
    </row>
    <row r="1179" spans="1:5">
      <c r="A1179">
        <f t="shared" si="54"/>
        <v>1178</v>
      </c>
      <c r="B1179" t="str" cm="1">
        <f t="array" ref="B1179">INDEX('Enriched Data'!C:C,A1179+1)</f>
        <v>Eastern Door &amp; Dock, Inc.</v>
      </c>
      <c r="C1179" s="11" cm="1">
        <f t="array" ref="C1179">INDEX('Enriched Data'!G:G,A1179+1)</f>
        <v>9444.99</v>
      </c>
      <c r="D1179" s="11">
        <f t="shared" si="55"/>
        <v>932364715.55999994</v>
      </c>
      <c r="E1179" s="10">
        <f t="shared" si="56"/>
        <v>0.99658344209564509</v>
      </c>
    </row>
    <row r="1180" spans="1:5">
      <c r="A1180">
        <f t="shared" si="54"/>
        <v>1179</v>
      </c>
      <c r="B1180" t="str" cm="1">
        <f t="array" ref="B1180">INDEX('Enriched Data'!C:C,A1180+1)</f>
        <v>Propane Services</v>
      </c>
      <c r="C1180" s="11" cm="1">
        <f t="array" ref="C1180">INDEX('Enriched Data'!G:G,A1180+1)</f>
        <v>9409.42</v>
      </c>
      <c r="D1180" s="11">
        <f t="shared" si="55"/>
        <v>932374124.9799999</v>
      </c>
      <c r="E1180" s="10">
        <f t="shared" si="56"/>
        <v>0.99659349961070887</v>
      </c>
    </row>
    <row r="1181" spans="1:5">
      <c r="A1181">
        <f t="shared" si="54"/>
        <v>1180</v>
      </c>
      <c r="B1181" t="str" cm="1">
        <f t="array" ref="B1181">INDEX('Enriched Data'!C:C,A1181+1)</f>
        <v>Accelerated Services Inc.</v>
      </c>
      <c r="C1181" s="11" cm="1">
        <f t="array" ref="C1181">INDEX('Enriched Data'!G:G,A1181+1)</f>
        <v>9304.51</v>
      </c>
      <c r="D1181" s="11">
        <f t="shared" si="55"/>
        <v>932383429.48999989</v>
      </c>
      <c r="E1181" s="10">
        <f t="shared" si="56"/>
        <v>0.99660344498985942</v>
      </c>
    </row>
    <row r="1182" spans="1:5">
      <c r="A1182">
        <f t="shared" si="54"/>
        <v>1181</v>
      </c>
      <c r="B1182" t="str" cm="1">
        <f t="array" ref="B1182">INDEX('Enriched Data'!C:C,A1182+1)</f>
        <v>Cutting Edge Industries, Ltd. dba Byler Rivet Supply</v>
      </c>
      <c r="C1182" s="11" cm="1">
        <f t="array" ref="C1182">INDEX('Enriched Data'!G:G,A1182+1)</f>
        <v>9260.56</v>
      </c>
      <c r="D1182" s="11">
        <f t="shared" si="55"/>
        <v>932392690.04999983</v>
      </c>
      <c r="E1182" s="10">
        <f t="shared" si="56"/>
        <v>0.99661334339185437</v>
      </c>
    </row>
    <row r="1183" spans="1:5">
      <c r="A1183">
        <f t="shared" si="54"/>
        <v>1182</v>
      </c>
      <c r="B1183" t="str" cm="1">
        <f t="array" ref="B1183">INDEX('Enriched Data'!C:C,A1183+1)</f>
        <v>Jan-PRO Cleaning Systems of Raleigh</v>
      </c>
      <c r="C1183" s="11" cm="1">
        <f t="array" ref="C1183">INDEX('Enriched Data'!G:G,A1183+1)</f>
        <v>9248.56</v>
      </c>
      <c r="D1183" s="11">
        <f t="shared" si="55"/>
        <v>932401938.60999978</v>
      </c>
      <c r="E1183" s="10">
        <f t="shared" si="56"/>
        <v>0.99662322896732214</v>
      </c>
    </row>
    <row r="1184" spans="1:5">
      <c r="A1184">
        <f t="shared" si="54"/>
        <v>1183</v>
      </c>
      <c r="B1184" t="str" cm="1">
        <f t="array" ref="B1184">INDEX('Enriched Data'!C:C,A1184+1)</f>
        <v>Jan-Pro of Wilmington</v>
      </c>
      <c r="C1184" s="11" cm="1">
        <f t="array" ref="C1184">INDEX('Enriched Data'!G:G,A1184+1)</f>
        <v>9225</v>
      </c>
      <c r="D1184" s="11">
        <f t="shared" si="55"/>
        <v>932411163.60999978</v>
      </c>
      <c r="E1184" s="10">
        <f t="shared" si="56"/>
        <v>0.99663308936004169</v>
      </c>
    </row>
    <row r="1185" spans="1:5">
      <c r="A1185">
        <f t="shared" si="54"/>
        <v>1184</v>
      </c>
      <c r="B1185" t="str" cm="1">
        <f t="array" ref="B1185">INDEX('Enriched Data'!C:C,A1185+1)</f>
        <v>Elizabeth Kean</v>
      </c>
      <c r="C1185" s="11" cm="1">
        <f t="array" ref="C1185">INDEX('Enriched Data'!G:G,A1185+1)</f>
        <v>9211.98</v>
      </c>
      <c r="D1185" s="11">
        <f t="shared" si="55"/>
        <v>932420375.58999979</v>
      </c>
      <c r="E1185" s="10">
        <f t="shared" si="56"/>
        <v>0.9966429358359794</v>
      </c>
    </row>
    <row r="1186" spans="1:5">
      <c r="A1186">
        <f t="shared" si="54"/>
        <v>1185</v>
      </c>
      <c r="B1186" t="str" cm="1">
        <f t="array" ref="B1186">INDEX('Enriched Data'!C:C,A1186+1)</f>
        <v>T&amp;S Jewell, LLC dba Overhead Door Co. of Wilmington</v>
      </c>
      <c r="C1186" s="11" cm="1">
        <f t="array" ref="C1186">INDEX('Enriched Data'!G:G,A1186+1)</f>
        <v>9178.3700000000008</v>
      </c>
      <c r="D1186" s="11">
        <f t="shared" si="55"/>
        <v>932429553.9599998</v>
      </c>
      <c r="E1186" s="10">
        <f t="shared" si="56"/>
        <v>0.99665274638695245</v>
      </c>
    </row>
    <row r="1187" spans="1:5">
      <c r="A1187">
        <f t="shared" si="54"/>
        <v>1186</v>
      </c>
      <c r="B1187" t="str" cm="1">
        <f t="array" ref="B1187">INDEX('Enriched Data'!C:C,A1187+1)</f>
        <v>Pardo Fleet Solutions, LLC</v>
      </c>
      <c r="C1187" s="11" cm="1">
        <f t="array" ref="C1187">INDEX('Enriched Data'!G:G,A1187+1)</f>
        <v>9154.8700000000008</v>
      </c>
      <c r="D1187" s="11">
        <f t="shared" si="55"/>
        <v>932438708.8299998</v>
      </c>
      <c r="E1187" s="10">
        <f t="shared" si="56"/>
        <v>0.99666253181930986</v>
      </c>
    </row>
    <row r="1188" spans="1:5">
      <c r="A1188">
        <f t="shared" si="54"/>
        <v>1187</v>
      </c>
      <c r="B1188" t="str" cm="1">
        <f t="array" ref="B1188">INDEX('Enriched Data'!C:C,A1188+1)</f>
        <v>General Saw Company</v>
      </c>
      <c r="C1188" s="11" cm="1">
        <f t="array" ref="C1188">INDEX('Enriched Data'!G:G,A1188+1)</f>
        <v>9132.2800000000007</v>
      </c>
      <c r="D1188" s="11">
        <f t="shared" si="55"/>
        <v>932447841.10999978</v>
      </c>
      <c r="E1188" s="10">
        <f t="shared" si="56"/>
        <v>0.99667229310572991</v>
      </c>
    </row>
    <row r="1189" spans="1:5">
      <c r="A1189">
        <f t="shared" si="54"/>
        <v>1188</v>
      </c>
      <c r="B1189" t="str" cm="1">
        <f t="array" ref="B1189">INDEX('Enriched Data'!C:C,A1189+1)</f>
        <v>Smart Heating &amp; Cooling LLC</v>
      </c>
      <c r="C1189" s="11" cm="1">
        <f t="array" ref="C1189">INDEX('Enriched Data'!G:G,A1189+1)</f>
        <v>9100</v>
      </c>
      <c r="D1189" s="11">
        <f t="shared" si="55"/>
        <v>932456941.10999978</v>
      </c>
      <c r="E1189" s="10">
        <f t="shared" si="56"/>
        <v>0.99668201988879213</v>
      </c>
    </row>
    <row r="1190" spans="1:5">
      <c r="A1190">
        <f t="shared" si="54"/>
        <v>1189</v>
      </c>
      <c r="B1190" t="str" cm="1">
        <f t="array" ref="B1190">INDEX('Enriched Data'!C:C,A1190+1)</f>
        <v>Harnois Energies, Inc</v>
      </c>
      <c r="C1190" s="11" cm="1">
        <f t="array" ref="C1190">INDEX('Enriched Data'!G:G,A1190+1)</f>
        <v>9028.7999999999993</v>
      </c>
      <c r="D1190" s="11">
        <f t="shared" si="55"/>
        <v>932465969.90999973</v>
      </c>
      <c r="E1190" s="10">
        <f t="shared" si="56"/>
        <v>0.99669167056779329</v>
      </c>
    </row>
    <row r="1191" spans="1:5">
      <c r="A1191">
        <f t="shared" si="54"/>
        <v>1190</v>
      </c>
      <c r="B1191" t="str" cm="1">
        <f t="array" ref="B1191">INDEX('Enriched Data'!C:C,A1191+1)</f>
        <v>Anderson IND 1 LLC</v>
      </c>
      <c r="C1191" s="11" cm="1">
        <f t="array" ref="C1191">INDEX('Enriched Data'!G:G,A1191+1)</f>
        <v>9000</v>
      </c>
      <c r="D1191" s="11">
        <f t="shared" si="55"/>
        <v>932474969.90999973</v>
      </c>
      <c r="E1191" s="10">
        <f t="shared" si="56"/>
        <v>0.9967012904631295</v>
      </c>
    </row>
    <row r="1192" spans="1:5">
      <c r="A1192">
        <f t="shared" si="54"/>
        <v>1191</v>
      </c>
      <c r="B1192" t="str" cm="1">
        <f t="array" ref="B1192">INDEX('Enriched Data'!C:C,A1192+1)</f>
        <v>Central Moving</v>
      </c>
      <c r="C1192" s="11" cm="1">
        <f t="array" ref="C1192">INDEX('Enriched Data'!G:G,A1192+1)</f>
        <v>9000</v>
      </c>
      <c r="D1192" s="11">
        <f t="shared" si="55"/>
        <v>932483969.90999973</v>
      </c>
      <c r="E1192" s="10">
        <f t="shared" si="56"/>
        <v>0.99671091035846571</v>
      </c>
    </row>
    <row r="1193" spans="1:5">
      <c r="A1193">
        <f t="shared" si="54"/>
        <v>1192</v>
      </c>
      <c r="B1193" t="str" cm="1">
        <f t="array" ref="B1193">INDEX('Enriched Data'!C:C,A1193+1)</f>
        <v>Metco Investment Realty, Inc</v>
      </c>
      <c r="C1193" s="11" cm="1">
        <f t="array" ref="C1193">INDEX('Enriched Data'!G:G,A1193+1)</f>
        <v>9000</v>
      </c>
      <c r="D1193" s="11">
        <f t="shared" si="55"/>
        <v>932492969.90999973</v>
      </c>
      <c r="E1193" s="10">
        <f t="shared" si="56"/>
        <v>0.99672053025380192</v>
      </c>
    </row>
    <row r="1194" spans="1:5">
      <c r="A1194">
        <f t="shared" si="54"/>
        <v>1193</v>
      </c>
      <c r="B1194" t="str" cm="1">
        <f t="array" ref="B1194">INDEX('Enriched Data'!C:C,A1194+1)</f>
        <v>Mmag Concrete LLC</v>
      </c>
      <c r="C1194" s="11" cm="1">
        <f t="array" ref="C1194">INDEX('Enriched Data'!G:G,A1194+1)</f>
        <v>9000</v>
      </c>
      <c r="D1194" s="11">
        <f t="shared" si="55"/>
        <v>932501969.90999973</v>
      </c>
      <c r="E1194" s="10">
        <f t="shared" si="56"/>
        <v>0.99673015014913813</v>
      </c>
    </row>
    <row r="1195" spans="1:5">
      <c r="A1195">
        <f t="shared" si="54"/>
        <v>1194</v>
      </c>
      <c r="B1195" t="str" cm="1">
        <f t="array" ref="B1195">INDEX('Enriched Data'!C:C,A1195+1)</f>
        <v>MM Everett LLC</v>
      </c>
      <c r="C1195" s="11" cm="1">
        <f t="array" ref="C1195">INDEX('Enriched Data'!G:G,A1195+1)</f>
        <v>9000</v>
      </c>
      <c r="D1195" s="11">
        <f t="shared" si="55"/>
        <v>932510969.90999973</v>
      </c>
      <c r="E1195" s="10">
        <f t="shared" si="56"/>
        <v>0.99673977004447434</v>
      </c>
    </row>
    <row r="1196" spans="1:5">
      <c r="A1196">
        <f t="shared" si="54"/>
        <v>1195</v>
      </c>
      <c r="B1196" t="str" cm="1">
        <f t="array" ref="B1196">INDEX('Enriched Data'!C:C,A1196+1)</f>
        <v>Stars and Stripes</v>
      </c>
      <c r="C1196" s="11" cm="1">
        <f t="array" ref="C1196">INDEX('Enriched Data'!G:G,A1196+1)</f>
        <v>9000</v>
      </c>
      <c r="D1196" s="11">
        <f t="shared" si="55"/>
        <v>932519969.90999973</v>
      </c>
      <c r="E1196" s="10">
        <f t="shared" si="56"/>
        <v>0.99674938993981055</v>
      </c>
    </row>
    <row r="1197" spans="1:5">
      <c r="A1197">
        <f t="shared" si="54"/>
        <v>1196</v>
      </c>
      <c r="B1197" t="str" cm="1">
        <f t="array" ref="B1197">INDEX('Enriched Data'!C:C,A1197+1)</f>
        <v>Sport Dimension Inc.</v>
      </c>
      <c r="C1197" s="11" cm="1">
        <f t="array" ref="C1197">INDEX('Enriched Data'!G:G,A1197+1)</f>
        <v>9000</v>
      </c>
      <c r="D1197" s="11">
        <f t="shared" si="55"/>
        <v>932528969.90999973</v>
      </c>
      <c r="E1197" s="10">
        <f t="shared" si="56"/>
        <v>0.99675900983514676</v>
      </c>
    </row>
    <row r="1198" spans="1:5">
      <c r="A1198">
        <f t="shared" si="54"/>
        <v>1197</v>
      </c>
      <c r="B1198" t="str" cm="1">
        <f t="array" ref="B1198">INDEX('Enriched Data'!C:C,A1198+1)</f>
        <v>Trustpilot Inc</v>
      </c>
      <c r="C1198" s="11" cm="1">
        <f t="array" ref="C1198">INDEX('Enriched Data'!G:G,A1198+1)</f>
        <v>8985</v>
      </c>
      <c r="D1198" s="11">
        <f t="shared" si="55"/>
        <v>932537954.90999973</v>
      </c>
      <c r="E1198" s="10">
        <f t="shared" si="56"/>
        <v>0.99676861369732406</v>
      </c>
    </row>
    <row r="1199" spans="1:5">
      <c r="A1199">
        <f t="shared" si="54"/>
        <v>1198</v>
      </c>
      <c r="B1199" t="str" cm="1">
        <f t="array" ref="B1199">INDEX('Enriched Data'!C:C,A1199+1)</f>
        <v>Firetrol Protection Systems, Inc.</v>
      </c>
      <c r="C1199" s="11" cm="1">
        <f t="array" ref="C1199">INDEX('Enriched Data'!G:G,A1199+1)</f>
        <v>8944.08</v>
      </c>
      <c r="D1199" s="11">
        <f t="shared" si="55"/>
        <v>932546898.98999977</v>
      </c>
      <c r="E1199" s="10">
        <f t="shared" si="56"/>
        <v>0.99677817382104394</v>
      </c>
    </row>
    <row r="1200" spans="1:5">
      <c r="A1200">
        <f t="shared" si="54"/>
        <v>1199</v>
      </c>
      <c r="B1200" t="str" cm="1">
        <f t="array" ref="B1200">INDEX('Enriched Data'!C:C,A1200+1)</f>
        <v>Sofia E Rivera</v>
      </c>
      <c r="C1200" s="11" cm="1">
        <f t="array" ref="C1200">INDEX('Enriched Data'!G:G,A1200+1)</f>
        <v>8940</v>
      </c>
      <c r="D1200" s="11">
        <f t="shared" si="55"/>
        <v>932555838.98999977</v>
      </c>
      <c r="E1200" s="10">
        <f t="shared" si="56"/>
        <v>0.99678772958374462</v>
      </c>
    </row>
    <row r="1201" spans="1:5">
      <c r="A1201">
        <f t="shared" si="54"/>
        <v>1200</v>
      </c>
      <c r="B1201" t="str" cm="1">
        <f t="array" ref="B1201">INDEX('Enriched Data'!C:C,A1201+1)</f>
        <v>HLB Mann Judd</v>
      </c>
      <c r="C1201" s="11" cm="1">
        <f t="array" ref="C1201">INDEX('Enriched Data'!G:G,A1201+1)</f>
        <v>8880.8700000000008</v>
      </c>
      <c r="D1201" s="11">
        <f t="shared" si="55"/>
        <v>932564719.85999978</v>
      </c>
      <c r="E1201" s="10">
        <f t="shared" si="56"/>
        <v>0.9967972221437329</v>
      </c>
    </row>
    <row r="1202" spans="1:5">
      <c r="A1202">
        <f t="shared" si="54"/>
        <v>1201</v>
      </c>
      <c r="B1202" t="str" cm="1">
        <f t="array" ref="B1202">INDEX('Enriched Data'!C:C,A1202+1)</f>
        <v>5 Star CDL Training LLC</v>
      </c>
      <c r="C1202" s="11" cm="1">
        <f t="array" ref="C1202">INDEX('Enriched Data'!G:G,A1202+1)</f>
        <v>8850</v>
      </c>
      <c r="D1202" s="11">
        <f t="shared" si="55"/>
        <v>932573569.85999978</v>
      </c>
      <c r="E1202" s="10">
        <f t="shared" si="56"/>
        <v>0.99680668170748021</v>
      </c>
    </row>
    <row r="1203" spans="1:5">
      <c r="A1203">
        <f t="shared" si="54"/>
        <v>1202</v>
      </c>
      <c r="B1203" t="str" cm="1">
        <f t="array" ref="B1203">INDEX('Enriched Data'!C:C,A1203+1)</f>
        <v>Roberts Printing, Inc.</v>
      </c>
      <c r="C1203" s="11" cm="1">
        <f t="array" ref="C1203">INDEX('Enriched Data'!G:G,A1203+1)</f>
        <v>8819.26</v>
      </c>
      <c r="D1203" s="11">
        <f t="shared" si="55"/>
        <v>932582389.11999977</v>
      </c>
      <c r="E1203" s="10">
        <f t="shared" si="56"/>
        <v>0.99681610841394053</v>
      </c>
    </row>
    <row r="1204" spans="1:5">
      <c r="A1204">
        <f t="shared" si="54"/>
        <v>1203</v>
      </c>
      <c r="B1204" t="str" cm="1">
        <f t="array" ref="B1204">INDEX('Enriched Data'!C:C,A1204+1)</f>
        <v>Baker &amp; McKenzie</v>
      </c>
      <c r="C1204" s="11" cm="1">
        <f t="array" ref="C1204">INDEX('Enriched Data'!G:G,A1204+1)</f>
        <v>8800.15</v>
      </c>
      <c r="D1204" s="11">
        <f t="shared" si="55"/>
        <v>932591189.26999974</v>
      </c>
      <c r="E1204" s="10">
        <f t="shared" si="56"/>
        <v>0.99682551469415637</v>
      </c>
    </row>
    <row r="1205" spans="1:5">
      <c r="A1205">
        <f t="shared" si="54"/>
        <v>1204</v>
      </c>
      <c r="B1205" t="str" cm="1">
        <f t="array" ref="B1205">INDEX('Enriched Data'!C:C,A1205+1)</f>
        <v>Elite Cleaning Solutions, LLC</v>
      </c>
      <c r="C1205" s="11" cm="1">
        <f t="array" ref="C1205">INDEX('Enriched Data'!G:G,A1205+1)</f>
        <v>8792.7000000000007</v>
      </c>
      <c r="D1205" s="11">
        <f t="shared" si="55"/>
        <v>932599981.96999979</v>
      </c>
      <c r="E1205" s="10">
        <f t="shared" si="56"/>
        <v>0.99683491301123672</v>
      </c>
    </row>
    <row r="1206" spans="1:5">
      <c r="A1206">
        <f t="shared" si="54"/>
        <v>1205</v>
      </c>
      <c r="B1206" t="str" cm="1">
        <f t="array" ref="B1206">INDEX('Enriched Data'!C:C,A1206+1)</f>
        <v>Commercial Tire Inc.</v>
      </c>
      <c r="C1206" s="11" cm="1">
        <f t="array" ref="C1206">INDEX('Enriched Data'!G:G,A1206+1)</f>
        <v>8723.3700000000008</v>
      </c>
      <c r="D1206" s="11">
        <f t="shared" si="55"/>
        <v>932608705.33999979</v>
      </c>
      <c r="E1206" s="10">
        <f t="shared" si="56"/>
        <v>0.9968442372230566</v>
      </c>
    </row>
    <row r="1207" spans="1:5">
      <c r="A1207">
        <f t="shared" si="54"/>
        <v>1206</v>
      </c>
      <c r="B1207" t="str" cm="1">
        <f t="array" ref="B1207">INDEX('Enriched Data'!C:C,A1207+1)</f>
        <v>HOJ Forklift, LLC</v>
      </c>
      <c r="C1207" s="11" cm="1">
        <f t="array" ref="C1207">INDEX('Enriched Data'!G:G,A1207+1)</f>
        <v>8710.3700000000008</v>
      </c>
      <c r="D1207" s="11">
        <f t="shared" si="55"/>
        <v>932617415.7099998</v>
      </c>
      <c r="E1207" s="10">
        <f t="shared" si="56"/>
        <v>0.99685354753947208</v>
      </c>
    </row>
    <row r="1208" spans="1:5">
      <c r="A1208">
        <f t="shared" si="54"/>
        <v>1207</v>
      </c>
      <c r="B1208" t="str" cm="1">
        <f t="array" ref="B1208">INDEX('Enriched Data'!C:C,A1208+1)</f>
        <v>Bob J Joseph</v>
      </c>
      <c r="C1208" s="11" cm="1">
        <f t="array" ref="C1208">INDEX('Enriched Data'!G:G,A1208+1)</f>
        <v>8700</v>
      </c>
      <c r="D1208" s="11">
        <f t="shared" si="55"/>
        <v>932626115.7099998</v>
      </c>
      <c r="E1208" s="10">
        <f t="shared" si="56"/>
        <v>0.9968628467716304</v>
      </c>
    </row>
    <row r="1209" spans="1:5">
      <c r="A1209">
        <f t="shared" si="54"/>
        <v>1208</v>
      </c>
      <c r="B1209" t="str" cm="1">
        <f t="array" ref="B1209">INDEX('Enriched Data'!C:C,A1209+1)</f>
        <v>22 Park Road LLC</v>
      </c>
      <c r="C1209" s="11" cm="1">
        <f t="array" ref="C1209">INDEX('Enriched Data'!G:G,A1209+1)</f>
        <v>8693.5499999999993</v>
      </c>
      <c r="D1209" s="11">
        <f t="shared" si="55"/>
        <v>932634809.25999975</v>
      </c>
      <c r="E1209" s="10">
        <f t="shared" si="56"/>
        <v>0.99687213910953043</v>
      </c>
    </row>
    <row r="1210" spans="1:5">
      <c r="A1210">
        <f t="shared" si="54"/>
        <v>1209</v>
      </c>
      <c r="B1210" t="str" cm="1">
        <f t="array" ref="B1210">INDEX('Enriched Data'!C:C,A1210+1)</f>
        <v>CTE Company, LLC</v>
      </c>
      <c r="C1210" s="11" cm="1">
        <f t="array" ref="C1210">INDEX('Enriched Data'!G:G,A1210+1)</f>
        <v>8645.16</v>
      </c>
      <c r="D1210" s="11">
        <f t="shared" si="55"/>
        <v>932643454.41999972</v>
      </c>
      <c r="E1210" s="10">
        <f t="shared" si="56"/>
        <v>0.99688137972445978</v>
      </c>
    </row>
    <row r="1211" spans="1:5">
      <c r="A1211">
        <f t="shared" si="54"/>
        <v>1210</v>
      </c>
      <c r="B1211" t="str" cm="1">
        <f t="array" ref="B1211">INDEX('Enriched Data'!C:C,A1211+1)</f>
        <v>Murden Investments, LLC</v>
      </c>
      <c r="C1211" s="11" cm="1">
        <f t="array" ref="C1211">INDEX('Enriched Data'!G:G,A1211+1)</f>
        <v>8640</v>
      </c>
      <c r="D1211" s="11">
        <f t="shared" si="55"/>
        <v>932652094.41999972</v>
      </c>
      <c r="E1211" s="10">
        <f t="shared" si="56"/>
        <v>0.99689061482398256</v>
      </c>
    </row>
    <row r="1212" spans="1:5">
      <c r="A1212">
        <f t="shared" si="54"/>
        <v>1211</v>
      </c>
      <c r="B1212" t="str" cm="1">
        <f t="array" ref="B1212">INDEX('Enriched Data'!C:C,A1212+1)</f>
        <v>Joshua D Smith</v>
      </c>
      <c r="C1212" s="11" cm="1">
        <f t="array" ref="C1212">INDEX('Enriched Data'!G:G,A1212+1)</f>
        <v>8627</v>
      </c>
      <c r="D1212" s="11">
        <f t="shared" si="55"/>
        <v>932660721.41999972</v>
      </c>
      <c r="E1212" s="10">
        <f t="shared" si="56"/>
        <v>0.99689983602810095</v>
      </c>
    </row>
    <row r="1213" spans="1:5">
      <c r="A1213">
        <f t="shared" si="54"/>
        <v>1212</v>
      </c>
      <c r="B1213" t="str" cm="1">
        <f t="array" ref="B1213">INDEX('Enriched Data'!C:C,A1213+1)</f>
        <v>Serge Tanner dba Airman Heat &amp; Air</v>
      </c>
      <c r="C1213" s="11" cm="1">
        <f t="array" ref="C1213">INDEX('Enriched Data'!G:G,A1213+1)</f>
        <v>8611</v>
      </c>
      <c r="D1213" s="11">
        <f t="shared" si="55"/>
        <v>932669332.41999972</v>
      </c>
      <c r="E1213" s="10">
        <f t="shared" si="56"/>
        <v>0.99690904013018311</v>
      </c>
    </row>
    <row r="1214" spans="1:5">
      <c r="A1214">
        <f t="shared" si="54"/>
        <v>1213</v>
      </c>
      <c r="B1214" t="str" cm="1">
        <f t="array" ref="B1214">INDEX('Enriched Data'!C:C,A1214+1)</f>
        <v>TKOT Enterprises, LLC Dba Jan-Pro of Tampa</v>
      </c>
      <c r="C1214" s="11" cm="1">
        <f t="array" ref="C1214">INDEX('Enriched Data'!G:G,A1214+1)</f>
        <v>8599</v>
      </c>
      <c r="D1214" s="11">
        <f t="shared" si="55"/>
        <v>932677931.41999972</v>
      </c>
      <c r="E1214" s="10">
        <f t="shared" si="56"/>
        <v>0.99691823140573832</v>
      </c>
    </row>
    <row r="1215" spans="1:5">
      <c r="A1215">
        <f t="shared" si="54"/>
        <v>1214</v>
      </c>
      <c r="B1215" t="str" cm="1">
        <f t="array" ref="B1215">INDEX('Enriched Data'!C:C,A1215+1)</f>
        <v>Advanced Revert LLC</v>
      </c>
      <c r="C1215" s="11" cm="1">
        <f t="array" ref="C1215">INDEX('Enriched Data'!G:G,A1215+1)</f>
        <v>8583.2999999999993</v>
      </c>
      <c r="D1215" s="11">
        <f t="shared" si="55"/>
        <v>932686514.71999967</v>
      </c>
      <c r="E1215" s="10">
        <f t="shared" si="56"/>
        <v>0.99692740589992035</v>
      </c>
    </row>
    <row r="1216" spans="1:5">
      <c r="A1216">
        <f t="shared" si="54"/>
        <v>1215</v>
      </c>
      <c r="B1216" t="str" cm="1">
        <f t="array" ref="B1216">INDEX('Enriched Data'!C:C,A1216+1)</f>
        <v>Hepaco Blocker, Inc</v>
      </c>
      <c r="C1216" s="11" cm="1">
        <f t="array" ref="C1216">INDEX('Enriched Data'!G:G,A1216+1)</f>
        <v>8571.26</v>
      </c>
      <c r="D1216" s="11">
        <f t="shared" si="55"/>
        <v>932695085.97999966</v>
      </c>
      <c r="E1216" s="10">
        <f t="shared" si="56"/>
        <v>0.99693656752482029</v>
      </c>
    </row>
    <row r="1217" spans="1:5">
      <c r="A1217">
        <f t="shared" si="54"/>
        <v>1216</v>
      </c>
      <c r="B1217" t="str" cm="1">
        <f t="array" ref="B1217">INDEX('Enriched Data'!C:C,A1217+1)</f>
        <v>Lynch Fuel Co dba Glover Oil</v>
      </c>
      <c r="C1217" s="11" cm="1">
        <f t="array" ref="C1217">INDEX('Enriched Data'!G:G,A1217+1)</f>
        <v>8534.9599999999991</v>
      </c>
      <c r="D1217" s="11">
        <f t="shared" si="55"/>
        <v>932703620.9399997</v>
      </c>
      <c r="E1217" s="10">
        <f t="shared" si="56"/>
        <v>0.99694569034947578</v>
      </c>
    </row>
    <row r="1218" spans="1:5">
      <c r="A1218">
        <f t="shared" si="54"/>
        <v>1217</v>
      </c>
      <c r="B1218" t="str" cm="1">
        <f t="array" ref="B1218">INDEX('Enriched Data'!C:C,A1218+1)</f>
        <v>J1 Consulting DBA/Gill Metal Cons</v>
      </c>
      <c r="C1218" s="11" cm="1">
        <f t="array" ref="C1218">INDEX('Enriched Data'!G:G,A1218+1)</f>
        <v>8500</v>
      </c>
      <c r="D1218" s="11">
        <f t="shared" si="55"/>
        <v>932712120.9399997</v>
      </c>
      <c r="E1218" s="10">
        <f t="shared" si="56"/>
        <v>0.99695477580618219</v>
      </c>
    </row>
    <row r="1219" spans="1:5">
      <c r="A1219">
        <f t="shared" si="54"/>
        <v>1218</v>
      </c>
      <c r="B1219" t="str" cm="1">
        <f t="array" ref="B1219">INDEX('Enriched Data'!C:C,A1219+1)</f>
        <v>LHR Fire Protection</v>
      </c>
      <c r="C1219" s="11" cm="1">
        <f t="array" ref="C1219">INDEX('Enriched Data'!G:G,A1219+1)</f>
        <v>8464.5499999999993</v>
      </c>
      <c r="D1219" s="11">
        <f t="shared" si="55"/>
        <v>932720585.48999965</v>
      </c>
      <c r="E1219" s="10">
        <f t="shared" si="56"/>
        <v>0.99696382337118972</v>
      </c>
    </row>
    <row r="1220" spans="1:5">
      <c r="A1220">
        <f t="shared" ref="A1220:A1283" si="57">A1219+1</f>
        <v>1219</v>
      </c>
      <c r="B1220" t="str" cm="1">
        <f t="array" ref="B1220">INDEX('Enriched Data'!C:C,A1220+1)</f>
        <v>Tri Weld industries, Inc.</v>
      </c>
      <c r="C1220" s="11" cm="1">
        <f t="array" ref="C1220">INDEX('Enriched Data'!G:G,A1220+1)</f>
        <v>8453.15</v>
      </c>
      <c r="D1220" s="11">
        <f t="shared" ref="D1220:D1283" si="58">D1219+C1220</f>
        <v>932729038.63999963</v>
      </c>
      <c r="E1220" s="10">
        <f t="shared" ref="E1220:E1283" si="59">D1220/$F$2</f>
        <v>0.9969728587509965</v>
      </c>
    </row>
    <row r="1221" spans="1:5">
      <c r="A1221">
        <f t="shared" si="57"/>
        <v>1220</v>
      </c>
      <c r="B1221" t="str" cm="1">
        <f t="array" ref="B1221">INDEX('Enriched Data'!C:C,A1221+1)</f>
        <v>Jan-PRO Franchise Dev Charlotte</v>
      </c>
      <c r="C1221" s="11" cm="1">
        <f t="array" ref="C1221">INDEX('Enriched Data'!G:G,A1221+1)</f>
        <v>8400</v>
      </c>
      <c r="D1221" s="11">
        <f t="shared" si="58"/>
        <v>932737438.63999963</v>
      </c>
      <c r="E1221" s="10">
        <f t="shared" si="59"/>
        <v>0.99698183731997692</v>
      </c>
    </row>
    <row r="1222" spans="1:5">
      <c r="A1222">
        <f t="shared" si="57"/>
        <v>1221</v>
      </c>
      <c r="B1222" t="str" cm="1">
        <f t="array" ref="B1222">INDEX('Enriched Data'!C:C,A1222+1)</f>
        <v>Leeville</v>
      </c>
      <c r="C1222" s="11" cm="1">
        <f t="array" ref="C1222">INDEX('Enriched Data'!G:G,A1222+1)</f>
        <v>8400</v>
      </c>
      <c r="D1222" s="11">
        <f t="shared" si="58"/>
        <v>932745838.63999963</v>
      </c>
      <c r="E1222" s="10">
        <f t="shared" si="59"/>
        <v>0.99699081588895744</v>
      </c>
    </row>
    <row r="1223" spans="1:5">
      <c r="A1223">
        <f t="shared" si="57"/>
        <v>1222</v>
      </c>
      <c r="B1223" t="str" cm="1">
        <f t="array" ref="B1223">INDEX('Enriched Data'!C:C,A1223+1)</f>
        <v>Chester Resources</v>
      </c>
      <c r="C1223" s="11" cm="1">
        <f t="array" ref="C1223">INDEX('Enriched Data'!G:G,A1223+1)</f>
        <v>8400</v>
      </c>
      <c r="D1223" s="11">
        <f t="shared" si="58"/>
        <v>932754238.63999963</v>
      </c>
      <c r="E1223" s="10">
        <f t="shared" si="59"/>
        <v>0.99699979445793785</v>
      </c>
    </row>
    <row r="1224" spans="1:5">
      <c r="A1224">
        <f t="shared" si="57"/>
        <v>1223</v>
      </c>
      <c r="B1224" t="str" cm="1">
        <f t="array" ref="B1224">INDEX('Enriched Data'!C:C,A1224+1)</f>
        <v>Buster Brown Propane</v>
      </c>
      <c r="C1224" s="11" cm="1">
        <f t="array" ref="C1224">INDEX('Enriched Data'!G:G,A1224+1)</f>
        <v>8360.86</v>
      </c>
      <c r="D1224" s="11">
        <f t="shared" si="58"/>
        <v>932762599.49999964</v>
      </c>
      <c r="E1224" s="10">
        <f t="shared" si="59"/>
        <v>0.99700873119106237</v>
      </c>
    </row>
    <row r="1225" spans="1:5">
      <c r="A1225">
        <f t="shared" si="57"/>
        <v>1224</v>
      </c>
      <c r="B1225" t="str" cm="1">
        <f t="array" ref="B1225">INDEX('Enriched Data'!C:C,A1225+1)</f>
        <v>Cleaning Frenzy Inc</v>
      </c>
      <c r="C1225" s="11" cm="1">
        <f t="array" ref="C1225">INDEX('Enriched Data'!G:G,A1225+1)</f>
        <v>8357.52</v>
      </c>
      <c r="D1225" s="11">
        <f t="shared" si="58"/>
        <v>932770957.01999962</v>
      </c>
      <c r="E1225" s="10">
        <f t="shared" si="59"/>
        <v>0.99701766435413686</v>
      </c>
    </row>
    <row r="1226" spans="1:5">
      <c r="A1226">
        <f t="shared" si="57"/>
        <v>1225</v>
      </c>
      <c r="B1226" t="str" cm="1">
        <f t="array" ref="B1226">INDEX('Enriched Data'!C:C,A1226+1)</f>
        <v>Atco Structures &amp; Logistics, Ltd.</v>
      </c>
      <c r="C1226" s="11" cm="1">
        <f t="array" ref="C1226">INDEX('Enriched Data'!G:G,A1226+1)</f>
        <v>8356.91</v>
      </c>
      <c r="D1226" s="11">
        <f t="shared" si="58"/>
        <v>932779313.92999959</v>
      </c>
      <c r="E1226" s="10">
        <f t="shared" si="59"/>
        <v>0.99702659686519612</v>
      </c>
    </row>
    <row r="1227" spans="1:5">
      <c r="A1227">
        <f t="shared" si="57"/>
        <v>1226</v>
      </c>
      <c r="B1227" t="str" cm="1">
        <f t="array" ref="B1227">INDEX('Enriched Data'!C:C,A1227+1)</f>
        <v>Tulip LLC DBA Commercial Driver Scl</v>
      </c>
      <c r="C1227" s="11" cm="1">
        <f t="array" ref="C1227">INDEX('Enriched Data'!G:G,A1227+1)</f>
        <v>8350</v>
      </c>
      <c r="D1227" s="11">
        <f t="shared" si="58"/>
        <v>932787663.92999959</v>
      </c>
      <c r="E1227" s="10">
        <f t="shared" si="59"/>
        <v>0.99703552199031364</v>
      </c>
    </row>
    <row r="1228" spans="1:5">
      <c r="A1228">
        <f t="shared" si="57"/>
        <v>1227</v>
      </c>
      <c r="B1228" t="str" cm="1">
        <f t="array" ref="B1228">INDEX('Enriched Data'!C:C,A1228+1)</f>
        <v>Jason Keely</v>
      </c>
      <c r="C1228" s="11" cm="1">
        <f t="array" ref="C1228">INDEX('Enriched Data'!G:G,A1228+1)</f>
        <v>8345.85</v>
      </c>
      <c r="D1228" s="11">
        <f t="shared" si="58"/>
        <v>932796009.77999961</v>
      </c>
      <c r="E1228" s="10">
        <f t="shared" si="59"/>
        <v>0.99704444267959047</v>
      </c>
    </row>
    <row r="1229" spans="1:5">
      <c r="A1229">
        <f t="shared" si="57"/>
        <v>1228</v>
      </c>
      <c r="B1229" t="str" cm="1">
        <f t="array" ref="B1229">INDEX('Enriched Data'!C:C,A1229+1)</f>
        <v>E.H. Wolf &amp; Sons, Inc.</v>
      </c>
      <c r="C1229" s="11" cm="1">
        <f t="array" ref="C1229">INDEX('Enriched Data'!G:G,A1229+1)</f>
        <v>8296.02</v>
      </c>
      <c r="D1229" s="11">
        <f t="shared" si="58"/>
        <v>932804305.79999959</v>
      </c>
      <c r="E1229" s="10">
        <f t="shared" si="59"/>
        <v>0.9970533101067135</v>
      </c>
    </row>
    <row r="1230" spans="1:5">
      <c r="A1230">
        <f t="shared" si="57"/>
        <v>1229</v>
      </c>
      <c r="B1230" t="str" cm="1">
        <f t="array" ref="B1230">INDEX('Enriched Data'!C:C,A1230+1)</f>
        <v>Survey Monkey Inc.</v>
      </c>
      <c r="C1230" s="11" cm="1">
        <f t="array" ref="C1230">INDEX('Enriched Data'!G:G,A1230+1)</f>
        <v>8250</v>
      </c>
      <c r="D1230" s="11">
        <f t="shared" si="58"/>
        <v>932812555.79999959</v>
      </c>
      <c r="E1230" s="10">
        <f t="shared" si="59"/>
        <v>0.99706212834410501</v>
      </c>
    </row>
    <row r="1231" spans="1:5">
      <c r="A1231">
        <f t="shared" si="57"/>
        <v>1230</v>
      </c>
      <c r="B1231" t="str" cm="1">
        <f t="array" ref="B1231">INDEX('Enriched Data'!C:C,A1231+1)</f>
        <v>DJs Auto Clinic North Inc</v>
      </c>
      <c r="C1231" s="11" cm="1">
        <f t="array" ref="C1231">INDEX('Enriched Data'!G:G,A1231+1)</f>
        <v>8235.01</v>
      </c>
      <c r="D1231" s="11">
        <f t="shared" si="58"/>
        <v>932820790.80999959</v>
      </c>
      <c r="E1231" s="10">
        <f t="shared" si="59"/>
        <v>0.9970709305590264</v>
      </c>
    </row>
    <row r="1232" spans="1:5">
      <c r="A1232">
        <f t="shared" si="57"/>
        <v>1231</v>
      </c>
      <c r="B1232" t="str" cm="1">
        <f t="array" ref="B1232">INDEX('Enriched Data'!C:C,A1232+1)</f>
        <v>Maid on the Spot, Inc</v>
      </c>
      <c r="C1232" s="11" cm="1">
        <f t="array" ref="C1232">INDEX('Enriched Data'!G:G,A1232+1)</f>
        <v>8207.58</v>
      </c>
      <c r="D1232" s="11">
        <f t="shared" si="58"/>
        <v>932828998.38999963</v>
      </c>
      <c r="E1232" s="10">
        <f t="shared" si="59"/>
        <v>0.99707970345464458</v>
      </c>
    </row>
    <row r="1233" spans="1:5">
      <c r="A1233">
        <f t="shared" si="57"/>
        <v>1232</v>
      </c>
      <c r="B1233" t="str" cm="1">
        <f t="array" ref="B1233">INDEX('Enriched Data'!C:C,A1233+1)</f>
        <v>Yale Truck Industries</v>
      </c>
      <c r="C1233" s="11" cm="1">
        <f t="array" ref="C1233">INDEX('Enriched Data'!G:G,A1233+1)</f>
        <v>8195.5400000000009</v>
      </c>
      <c r="D1233" s="11">
        <f t="shared" si="58"/>
        <v>932837193.92999959</v>
      </c>
      <c r="E1233" s="10">
        <f t="shared" si="59"/>
        <v>0.99708846348098057</v>
      </c>
    </row>
    <row r="1234" spans="1:5">
      <c r="A1234">
        <f t="shared" si="57"/>
        <v>1233</v>
      </c>
      <c r="B1234" t="str" cm="1">
        <f t="array" ref="B1234">INDEX('Enriched Data'!C:C,A1234+1)</f>
        <v>Hepburn Enterprises, Inc.</v>
      </c>
      <c r="C1234" s="11" cm="1">
        <f t="array" ref="C1234">INDEX('Enriched Data'!G:G,A1234+1)</f>
        <v>8168.8</v>
      </c>
      <c r="D1234" s="11">
        <f t="shared" si="58"/>
        <v>932845362.72999954</v>
      </c>
      <c r="E1234" s="10">
        <f t="shared" si="59"/>
        <v>0.99709719492553861</v>
      </c>
    </row>
    <row r="1235" spans="1:5">
      <c r="A1235">
        <f t="shared" si="57"/>
        <v>1234</v>
      </c>
      <c r="B1235" t="str" cm="1">
        <f t="array" ref="B1235">INDEX('Enriched Data'!C:C,A1235+1)</f>
        <v>Gembecki Mechanical Services, Inc</v>
      </c>
      <c r="C1235" s="11" cm="1">
        <f t="array" ref="C1235">INDEX('Enriched Data'!G:G,A1235+1)</f>
        <v>8088.41</v>
      </c>
      <c r="D1235" s="11">
        <f t="shared" si="58"/>
        <v>932853451.13999951</v>
      </c>
      <c r="E1235" s="10">
        <f t="shared" si="59"/>
        <v>0.99710584044305373</v>
      </c>
    </row>
    <row r="1236" spans="1:5">
      <c r="A1236">
        <f t="shared" si="57"/>
        <v>1235</v>
      </c>
      <c r="B1236" t="str" cm="1">
        <f t="array" ref="B1236">INDEX('Enriched Data'!C:C,A1236+1)</f>
        <v>VelocityEHS</v>
      </c>
      <c r="C1236" s="11" cm="1">
        <f t="array" ref="C1236">INDEX('Enriched Data'!G:G,A1236+1)</f>
        <v>8078.5</v>
      </c>
      <c r="D1236" s="11">
        <f t="shared" si="58"/>
        <v>932861529.63999951</v>
      </c>
      <c r="E1236" s="10">
        <f t="shared" si="59"/>
        <v>0.99711447536799513</v>
      </c>
    </row>
    <row r="1237" spans="1:5">
      <c r="A1237">
        <f t="shared" si="57"/>
        <v>1236</v>
      </c>
      <c r="B1237" t="str" cm="1">
        <f t="array" ref="B1237">INDEX('Enriched Data'!C:C,A1237+1)</f>
        <v>Shindig, LLC</v>
      </c>
      <c r="C1237" s="11" cm="1">
        <f t="array" ref="C1237">INDEX('Enriched Data'!G:G,A1237+1)</f>
        <v>8050</v>
      </c>
      <c r="D1237" s="11">
        <f t="shared" si="58"/>
        <v>932869579.63999951</v>
      </c>
      <c r="E1237" s="10">
        <f t="shared" si="59"/>
        <v>0.99712307982993476</v>
      </c>
    </row>
    <row r="1238" spans="1:5">
      <c r="A1238">
        <f t="shared" si="57"/>
        <v>1237</v>
      </c>
      <c r="B1238" t="str" cm="1">
        <f t="array" ref="B1238">INDEX('Enriched Data'!C:C,A1238+1)</f>
        <v>Willie Green</v>
      </c>
      <c r="C1238" s="11" cm="1">
        <f t="array" ref="C1238">INDEX('Enriched Data'!G:G,A1238+1)</f>
        <v>8043</v>
      </c>
      <c r="D1238" s="11">
        <f t="shared" si="58"/>
        <v>932877622.63999951</v>
      </c>
      <c r="E1238" s="10">
        <f t="shared" si="59"/>
        <v>0.99713167680973358</v>
      </c>
    </row>
    <row r="1239" spans="1:5">
      <c r="A1239">
        <f t="shared" si="57"/>
        <v>1238</v>
      </c>
      <c r="B1239" t="str" cm="1">
        <f t="array" ref="B1239">INDEX('Enriched Data'!C:C,A1239+1)</f>
        <v>Leland Frink</v>
      </c>
      <c r="C1239" s="11" cm="1">
        <f t="array" ref="C1239">INDEX('Enriched Data'!G:G,A1239+1)</f>
        <v>8034</v>
      </c>
      <c r="D1239" s="11">
        <f t="shared" si="58"/>
        <v>932885656.63999951</v>
      </c>
      <c r="E1239" s="10">
        <f t="shared" si="59"/>
        <v>0.99714026416963708</v>
      </c>
    </row>
    <row r="1240" spans="1:5">
      <c r="A1240">
        <f t="shared" si="57"/>
        <v>1239</v>
      </c>
      <c r="B1240" t="str" cm="1">
        <f t="array" ref="B1240">INDEX('Enriched Data'!C:C,A1240+1)</f>
        <v>CRH California Water Inc</v>
      </c>
      <c r="C1240" s="11" cm="1">
        <f t="array" ref="C1240">INDEX('Enriched Data'!G:G,A1240+1)</f>
        <v>8031.65</v>
      </c>
      <c r="D1240" s="11">
        <f t="shared" si="58"/>
        <v>932893688.28999949</v>
      </c>
      <c r="E1240" s="10">
        <f t="shared" si="59"/>
        <v>0.99714884901767886</v>
      </c>
    </row>
    <row r="1241" spans="1:5">
      <c r="A1241">
        <f t="shared" si="57"/>
        <v>1240</v>
      </c>
      <c r="B1241" t="str" cm="1">
        <f t="array" ref="B1241">INDEX('Enriched Data'!C:C,A1241+1)</f>
        <v>Charleys Crane Service</v>
      </c>
      <c r="C1241" s="11" cm="1">
        <f t="array" ref="C1241">INDEX('Enriched Data'!G:G,A1241+1)</f>
        <v>8001</v>
      </c>
      <c r="D1241" s="11">
        <f t="shared" si="58"/>
        <v>932901689.28999949</v>
      </c>
      <c r="E1241" s="10">
        <f t="shared" si="59"/>
        <v>0.9971574011046328</v>
      </c>
    </row>
    <row r="1242" spans="1:5">
      <c r="A1242">
        <f t="shared" si="57"/>
        <v>1241</v>
      </c>
      <c r="B1242" t="str" cm="1">
        <f t="array" ref="B1242">INDEX('Enriched Data'!C:C,A1242+1)</f>
        <v>Salary.com</v>
      </c>
      <c r="C1242" s="11" cm="1">
        <f t="array" ref="C1242">INDEX('Enriched Data'!G:G,A1242+1)</f>
        <v>8000</v>
      </c>
      <c r="D1242" s="11">
        <f t="shared" si="58"/>
        <v>932909689.28999949</v>
      </c>
      <c r="E1242" s="10">
        <f t="shared" si="59"/>
        <v>0.99716595212270942</v>
      </c>
    </row>
    <row r="1243" spans="1:5">
      <c r="A1243">
        <f t="shared" si="57"/>
        <v>1242</v>
      </c>
      <c r="B1243" t="str" cm="1">
        <f t="array" ref="B1243">INDEX('Enriched Data'!C:C,A1243+1)</f>
        <v>J and G Masonry</v>
      </c>
      <c r="C1243" s="11" cm="1">
        <f t="array" ref="C1243">INDEX('Enriched Data'!G:G,A1243+1)</f>
        <v>8000</v>
      </c>
      <c r="D1243" s="11">
        <f t="shared" si="58"/>
        <v>932917689.28999949</v>
      </c>
      <c r="E1243" s="10">
        <f t="shared" si="59"/>
        <v>0.99717450314078604</v>
      </c>
    </row>
    <row r="1244" spans="1:5">
      <c r="A1244">
        <f t="shared" si="57"/>
        <v>1243</v>
      </c>
      <c r="B1244" t="str" cm="1">
        <f t="array" ref="B1244">INDEX('Enriched Data'!C:C,A1244+1)</f>
        <v>Marcos Alvarado Cabrera</v>
      </c>
      <c r="C1244" s="11" cm="1">
        <f t="array" ref="C1244">INDEX('Enriched Data'!G:G,A1244+1)</f>
        <v>8000</v>
      </c>
      <c r="D1244" s="11">
        <f t="shared" si="58"/>
        <v>932925689.28999949</v>
      </c>
      <c r="E1244" s="10">
        <f t="shared" si="59"/>
        <v>0.99718305415886266</v>
      </c>
    </row>
    <row r="1245" spans="1:5">
      <c r="A1245">
        <f t="shared" si="57"/>
        <v>1244</v>
      </c>
      <c r="B1245" t="str" cm="1">
        <f t="array" ref="B1245">INDEX('Enriched Data'!C:C,A1245+1)</f>
        <v>Meyer &amp; Depew Co., Inc.</v>
      </c>
      <c r="C1245" s="11" cm="1">
        <f t="array" ref="C1245">INDEX('Enriched Data'!G:G,A1245+1)</f>
        <v>7954.43</v>
      </c>
      <c r="D1245" s="11">
        <f t="shared" si="58"/>
        <v>932933643.71999943</v>
      </c>
      <c r="E1245" s="10">
        <f t="shared" si="59"/>
        <v>0.99719155646820257</v>
      </c>
    </row>
    <row r="1246" spans="1:5">
      <c r="A1246">
        <f t="shared" si="57"/>
        <v>1245</v>
      </c>
      <c r="B1246" t="str" cm="1">
        <f t="array" ref="B1246">INDEX('Enriched Data'!C:C,A1246+1)</f>
        <v>Pack &amp; Load Services, Inc.</v>
      </c>
      <c r="C1246" s="11" cm="1">
        <f t="array" ref="C1246">INDEX('Enriched Data'!G:G,A1246+1)</f>
        <v>7937.91</v>
      </c>
      <c r="D1246" s="11">
        <f t="shared" si="58"/>
        <v>932941581.6299994</v>
      </c>
      <c r="E1246" s="10">
        <f t="shared" si="59"/>
        <v>0.99720004111969007</v>
      </c>
    </row>
    <row r="1247" spans="1:5">
      <c r="A1247">
        <f t="shared" si="57"/>
        <v>1246</v>
      </c>
      <c r="B1247" t="str" cm="1">
        <f t="array" ref="B1247">INDEX('Enriched Data'!C:C,A1247+1)</f>
        <v>Inside Moves-Relocation Service Inc</v>
      </c>
      <c r="C1247" s="11" cm="1">
        <f t="array" ref="C1247">INDEX('Enriched Data'!G:G,A1247+1)</f>
        <v>7921.09</v>
      </c>
      <c r="D1247" s="11">
        <f t="shared" si="58"/>
        <v>932949502.71999943</v>
      </c>
      <c r="E1247" s="10">
        <f t="shared" si="59"/>
        <v>0.99720850779266224</v>
      </c>
    </row>
    <row r="1248" spans="1:5">
      <c r="A1248">
        <f t="shared" si="57"/>
        <v>1247</v>
      </c>
      <c r="B1248" t="str" cm="1">
        <f t="array" ref="B1248">INDEX('Enriched Data'!C:C,A1248+1)</f>
        <v>Green Velvet Landscaping, Inc.</v>
      </c>
      <c r="C1248" s="11" cm="1">
        <f t="array" ref="C1248">INDEX('Enriched Data'!G:G,A1248+1)</f>
        <v>7891.31</v>
      </c>
      <c r="D1248" s="11">
        <f t="shared" si="58"/>
        <v>932957394.02999938</v>
      </c>
      <c r="E1248" s="10">
        <f t="shared" si="59"/>
        <v>0.99721694263446947</v>
      </c>
    </row>
    <row r="1249" spans="1:5">
      <c r="A1249">
        <f t="shared" si="57"/>
        <v>1248</v>
      </c>
      <c r="B1249" t="str" cm="1">
        <f t="array" ref="B1249">INDEX('Enriched Data'!C:C,A1249+1)</f>
        <v>Tacoma Screw Products Inc.</v>
      </c>
      <c r="C1249" s="11" cm="1">
        <f t="array" ref="C1249">INDEX('Enriched Data'!G:G,A1249+1)</f>
        <v>7888.34</v>
      </c>
      <c r="D1249" s="11">
        <f t="shared" si="58"/>
        <v>932965282.36999941</v>
      </c>
      <c r="E1249" s="10">
        <f t="shared" si="59"/>
        <v>0.99722537430171132</v>
      </c>
    </row>
    <row r="1250" spans="1:5">
      <c r="A1250">
        <f t="shared" si="57"/>
        <v>1249</v>
      </c>
      <c r="B1250" t="str" cm="1">
        <f t="array" ref="B1250">INDEX('Enriched Data'!C:C,A1250+1)</f>
        <v>Portable Storage Of Nebraska</v>
      </c>
      <c r="C1250" s="11" cm="1">
        <f t="array" ref="C1250">INDEX('Enriched Data'!G:G,A1250+1)</f>
        <v>7886.86</v>
      </c>
      <c r="D1250" s="11">
        <f t="shared" si="58"/>
        <v>932973169.22999942</v>
      </c>
      <c r="E1250" s="10">
        <f t="shared" si="59"/>
        <v>0.99723380438701481</v>
      </c>
    </row>
    <row r="1251" spans="1:5">
      <c r="A1251">
        <f t="shared" si="57"/>
        <v>1250</v>
      </c>
      <c r="B1251" t="str" cm="1">
        <f t="array" ref="B1251">INDEX('Enriched Data'!C:C,A1251+1)</f>
        <v>Gypsys Palace FLP</v>
      </c>
      <c r="C1251" s="11" cm="1">
        <f t="array" ref="C1251">INDEX('Enriched Data'!G:G,A1251+1)</f>
        <v>7822.58</v>
      </c>
      <c r="D1251" s="11">
        <f t="shared" si="58"/>
        <v>932980991.80999947</v>
      </c>
      <c r="E1251" s="10">
        <f t="shared" si="59"/>
        <v>0.99724216576488811</v>
      </c>
    </row>
    <row r="1252" spans="1:5">
      <c r="A1252">
        <f t="shared" si="57"/>
        <v>1251</v>
      </c>
      <c r="B1252" t="str" cm="1">
        <f t="array" ref="B1252">INDEX('Enriched Data'!C:C,A1252+1)</f>
        <v>Pettys Welding Company, LLC DO NOT USE</v>
      </c>
      <c r="C1252" s="11" cm="1">
        <f t="array" ref="C1252">INDEX('Enriched Data'!G:G,A1252+1)</f>
        <v>7784.07</v>
      </c>
      <c r="D1252" s="11">
        <f t="shared" si="58"/>
        <v>932988775.87999952</v>
      </c>
      <c r="E1252" s="10">
        <f t="shared" si="59"/>
        <v>0.99725048598029808</v>
      </c>
    </row>
    <row r="1253" spans="1:5">
      <c r="A1253">
        <f t="shared" si="57"/>
        <v>1252</v>
      </c>
      <c r="B1253" t="str" cm="1">
        <f t="array" ref="B1253">INDEX('Enriched Data'!C:C,A1253+1)</f>
        <v>Jani-King of Austin</v>
      </c>
      <c r="C1253" s="11" cm="1">
        <f t="array" ref="C1253">INDEX('Enriched Data'!G:G,A1253+1)</f>
        <v>7737.65</v>
      </c>
      <c r="D1253" s="11">
        <f t="shared" si="58"/>
        <v>932996513.52999949</v>
      </c>
      <c r="E1253" s="10">
        <f t="shared" si="59"/>
        <v>0.99725875657842566</v>
      </c>
    </row>
    <row r="1254" spans="1:5">
      <c r="A1254">
        <f t="shared" si="57"/>
        <v>1253</v>
      </c>
      <c r="B1254" t="str" cm="1">
        <f t="array" ref="B1254">INDEX('Enriched Data'!C:C,A1254+1)</f>
        <v>Barclays Bank</v>
      </c>
      <c r="C1254" s="11" cm="1">
        <f t="array" ref="C1254">INDEX('Enriched Data'!G:G,A1254+1)</f>
        <v>7642.44</v>
      </c>
      <c r="D1254" s="11">
        <f t="shared" si="58"/>
        <v>933004155.96999955</v>
      </c>
      <c r="E1254" s="10">
        <f t="shared" si="59"/>
        <v>0.99726692540874939</v>
      </c>
    </row>
    <row r="1255" spans="1:5">
      <c r="A1255">
        <f t="shared" si="57"/>
        <v>1254</v>
      </c>
      <c r="B1255" t="str" cm="1">
        <f t="array" ref="B1255">INDEX('Enriched Data'!C:C,A1255+1)</f>
        <v>Two Maids to Clean</v>
      </c>
      <c r="C1255" s="11" cm="1">
        <f t="array" ref="C1255">INDEX('Enriched Data'!G:G,A1255+1)</f>
        <v>7609.5</v>
      </c>
      <c r="D1255" s="11">
        <f t="shared" si="58"/>
        <v>933011765.46999955</v>
      </c>
      <c r="E1255" s="10">
        <f t="shared" si="59"/>
        <v>0.99727505903025615</v>
      </c>
    </row>
    <row r="1256" spans="1:5">
      <c r="A1256">
        <f t="shared" si="57"/>
        <v>1255</v>
      </c>
      <c r="B1256" t="str" cm="1">
        <f t="array" ref="B1256">INDEX('Enriched Data'!C:C,A1256+1)</f>
        <v>Lakeview Trucking LLC</v>
      </c>
      <c r="C1256" s="11" cm="1">
        <f t="array" ref="C1256">INDEX('Enriched Data'!G:G,A1256+1)</f>
        <v>7590</v>
      </c>
      <c r="D1256" s="11">
        <f t="shared" si="58"/>
        <v>933019355.46999955</v>
      </c>
      <c r="E1256" s="10">
        <f t="shared" si="59"/>
        <v>0.99728317180865633</v>
      </c>
    </row>
    <row r="1257" spans="1:5">
      <c r="A1257">
        <f t="shared" si="57"/>
        <v>1256</v>
      </c>
      <c r="B1257" t="str" cm="1">
        <f t="array" ref="B1257">INDEX('Enriched Data'!C:C,A1257+1)</f>
        <v>S&amp;R Adventures LLC dba MaidPro</v>
      </c>
      <c r="C1257" s="11" cm="1">
        <f t="array" ref="C1257">INDEX('Enriched Data'!G:G,A1257+1)</f>
        <v>7560</v>
      </c>
      <c r="D1257" s="11">
        <f t="shared" si="58"/>
        <v>933026915.46999955</v>
      </c>
      <c r="E1257" s="10">
        <f t="shared" si="59"/>
        <v>0.9972912525207388</v>
      </c>
    </row>
    <row r="1258" spans="1:5">
      <c r="A1258">
        <f t="shared" si="57"/>
        <v>1257</v>
      </c>
      <c r="B1258" t="str" cm="1">
        <f t="array" ref="B1258">INDEX('Enriched Data'!C:C,A1258+1)</f>
        <v>S&amp;R Louisiana LLC</v>
      </c>
      <c r="C1258" s="11" cm="1">
        <f t="array" ref="C1258">INDEX('Enriched Data'!G:G,A1258+1)</f>
        <v>7546.98</v>
      </c>
      <c r="D1258" s="11">
        <f t="shared" si="58"/>
        <v>933034462.44999957</v>
      </c>
      <c r="E1258" s="10">
        <f t="shared" si="59"/>
        <v>0.99729931931603932</v>
      </c>
    </row>
    <row r="1259" spans="1:5">
      <c r="A1259">
        <f t="shared" si="57"/>
        <v>1258</v>
      </c>
      <c r="B1259" t="str" cm="1">
        <f t="array" ref="B1259">INDEX('Enriched Data'!C:C,A1259+1)</f>
        <v>Progressive Casualty Ins Co</v>
      </c>
      <c r="C1259" s="11" cm="1">
        <f t="array" ref="C1259">INDEX('Enriched Data'!G:G,A1259+1)</f>
        <v>7527.67</v>
      </c>
      <c r="D1259" s="11">
        <f t="shared" si="58"/>
        <v>933041990.11999953</v>
      </c>
      <c r="E1259" s="10">
        <f t="shared" si="59"/>
        <v>0.99730736547131982</v>
      </c>
    </row>
    <row r="1260" spans="1:5">
      <c r="A1260">
        <f t="shared" si="57"/>
        <v>1259</v>
      </c>
      <c r="B1260" t="str" cm="1">
        <f t="array" ref="B1260">INDEX('Enriched Data'!C:C,A1260+1)</f>
        <v>C&amp;B Cleaning LLC</v>
      </c>
      <c r="C1260" s="11" cm="1">
        <f t="array" ref="C1260">INDEX('Enriched Data'!G:G,A1260+1)</f>
        <v>7525</v>
      </c>
      <c r="D1260" s="11">
        <f t="shared" si="58"/>
        <v>933049515.11999953</v>
      </c>
      <c r="E1260" s="10">
        <f t="shared" si="59"/>
        <v>0.9973154087726982</v>
      </c>
    </row>
    <row r="1261" spans="1:5">
      <c r="A1261">
        <f t="shared" si="57"/>
        <v>1260</v>
      </c>
      <c r="B1261" t="str" cm="1">
        <f t="array" ref="B1261">INDEX('Enriched Data'!C:C,A1261+1)</f>
        <v>Niagara River World Inc</v>
      </c>
      <c r="C1261" s="11" cm="1">
        <f t="array" ref="C1261">INDEX('Enriched Data'!G:G,A1261+1)</f>
        <v>7500</v>
      </c>
      <c r="D1261" s="11">
        <f t="shared" si="58"/>
        <v>933057015.11999953</v>
      </c>
      <c r="E1261" s="10">
        <f t="shared" si="59"/>
        <v>0.99732342535214502</v>
      </c>
    </row>
    <row r="1262" spans="1:5">
      <c r="A1262">
        <f t="shared" si="57"/>
        <v>1261</v>
      </c>
      <c r="B1262" t="str" cm="1">
        <f t="array" ref="B1262">INDEX('Enriched Data'!C:C,A1262+1)</f>
        <v>Mapline</v>
      </c>
      <c r="C1262" s="11" cm="1">
        <f t="array" ref="C1262">INDEX('Enriched Data'!G:G,A1262+1)</f>
        <v>7500</v>
      </c>
      <c r="D1262" s="11">
        <f t="shared" si="58"/>
        <v>933064515.11999953</v>
      </c>
      <c r="E1262" s="10">
        <f t="shared" si="59"/>
        <v>0.99733144193159184</v>
      </c>
    </row>
    <row r="1263" spans="1:5">
      <c r="A1263">
        <f t="shared" si="57"/>
        <v>1262</v>
      </c>
      <c r="B1263" t="str" cm="1">
        <f t="array" ref="B1263">INDEX('Enriched Data'!C:C,A1263+1)</f>
        <v>Triliji Group</v>
      </c>
      <c r="C1263" s="11" cm="1">
        <f t="array" ref="C1263">INDEX('Enriched Data'!G:G,A1263+1)</f>
        <v>7500</v>
      </c>
      <c r="D1263" s="11">
        <f t="shared" si="58"/>
        <v>933072015.11999953</v>
      </c>
      <c r="E1263" s="10">
        <f t="shared" si="59"/>
        <v>0.99733945851103867</v>
      </c>
    </row>
    <row r="1264" spans="1:5">
      <c r="A1264">
        <f t="shared" si="57"/>
        <v>1263</v>
      </c>
      <c r="B1264" t="str" cm="1">
        <f t="array" ref="B1264">INDEX('Enriched Data'!C:C,A1264+1)</f>
        <v>Lakin D Kirk</v>
      </c>
      <c r="C1264" s="11" cm="1">
        <f t="array" ref="C1264">INDEX('Enriched Data'!G:G,A1264+1)</f>
        <v>7481.46</v>
      </c>
      <c r="D1264" s="11">
        <f t="shared" si="58"/>
        <v>933079496.57999957</v>
      </c>
      <c r="E1264" s="10">
        <f t="shared" si="59"/>
        <v>0.99734745527350122</v>
      </c>
    </row>
    <row r="1265" spans="1:5">
      <c r="A1265">
        <f t="shared" si="57"/>
        <v>1264</v>
      </c>
      <c r="B1265" t="str" cm="1">
        <f t="array" ref="B1265">INDEX('Enriched Data'!C:C,A1265+1)</f>
        <v>Princess Auto</v>
      </c>
      <c r="C1265" s="11" cm="1">
        <f t="array" ref="C1265">INDEX('Enriched Data'!G:G,A1265+1)</f>
        <v>7471.48</v>
      </c>
      <c r="D1265" s="11">
        <f t="shared" si="58"/>
        <v>933086968.05999959</v>
      </c>
      <c r="E1265" s="10">
        <f t="shared" si="59"/>
        <v>0.99735544136856857</v>
      </c>
    </row>
    <row r="1266" spans="1:5">
      <c r="A1266">
        <f t="shared" si="57"/>
        <v>1265</v>
      </c>
      <c r="B1266" t="str" cm="1">
        <f t="array" ref="B1266">INDEX('Enriched Data'!C:C,A1266+1)</f>
        <v>CSC</v>
      </c>
      <c r="C1266" s="11" cm="1">
        <f t="array" ref="C1266">INDEX('Enriched Data'!G:G,A1266+1)</f>
        <v>7469.39</v>
      </c>
      <c r="D1266" s="11">
        <f t="shared" si="58"/>
        <v>933094437.44999957</v>
      </c>
      <c r="E1266" s="10">
        <f t="shared" si="59"/>
        <v>0.99736342522968247</v>
      </c>
    </row>
    <row r="1267" spans="1:5">
      <c r="A1267">
        <f t="shared" si="57"/>
        <v>1266</v>
      </c>
      <c r="B1267" t="str" cm="1">
        <f t="array" ref="B1267">INDEX('Enriched Data'!C:C,A1267+1)</f>
        <v>MK Industries, Inc.</v>
      </c>
      <c r="C1267" s="11" cm="1">
        <f t="array" ref="C1267">INDEX('Enriched Data'!G:G,A1267+1)</f>
        <v>7439.9</v>
      </c>
      <c r="D1267" s="11">
        <f t="shared" si="58"/>
        <v>933101877.34999955</v>
      </c>
      <c r="E1267" s="10">
        <f t="shared" si="59"/>
        <v>0.99737137756960603</v>
      </c>
    </row>
    <row r="1268" spans="1:5">
      <c r="A1268">
        <f t="shared" si="57"/>
        <v>1267</v>
      </c>
      <c r="B1268" t="str" cm="1">
        <f t="array" ref="B1268">INDEX('Enriched Data'!C:C,A1268+1)</f>
        <v>Mortgage Research Center LLC</v>
      </c>
      <c r="C1268" s="11" cm="1">
        <f t="array" ref="C1268">INDEX('Enriched Data'!G:G,A1268+1)</f>
        <v>7420.43</v>
      </c>
      <c r="D1268" s="11">
        <f t="shared" si="58"/>
        <v>933109297.77999949</v>
      </c>
      <c r="E1268" s="10">
        <f t="shared" si="59"/>
        <v>0.99737930909848926</v>
      </c>
    </row>
    <row r="1269" spans="1:5">
      <c r="A1269">
        <f t="shared" si="57"/>
        <v>1268</v>
      </c>
      <c r="B1269" t="str" cm="1">
        <f t="array" ref="B1269">INDEX('Enriched Data'!C:C,A1269+1)</f>
        <v>Stratus Building Solutions</v>
      </c>
      <c r="C1269" s="11" cm="1">
        <f t="array" ref="C1269">INDEX('Enriched Data'!G:G,A1269+1)</f>
        <v>7400</v>
      </c>
      <c r="D1269" s="11">
        <f t="shared" si="58"/>
        <v>933116697.77999949</v>
      </c>
      <c r="E1269" s="10">
        <f t="shared" si="59"/>
        <v>0.99738721879021019</v>
      </c>
    </row>
    <row r="1270" spans="1:5">
      <c r="A1270">
        <f t="shared" si="57"/>
        <v>1269</v>
      </c>
      <c r="B1270" t="str" cm="1">
        <f t="array" ref="B1270">INDEX('Enriched Data'!C:C,A1270+1)</f>
        <v>Peak Technologies</v>
      </c>
      <c r="C1270" s="11" cm="1">
        <f t="array" ref="C1270">INDEX('Enriched Data'!G:G,A1270+1)</f>
        <v>7297.73</v>
      </c>
      <c r="D1270" s="11">
        <f t="shared" si="58"/>
        <v>933123995.50999951</v>
      </c>
      <c r="E1270" s="10">
        <f t="shared" si="59"/>
        <v>0.99739501916785367</v>
      </c>
    </row>
    <row r="1271" spans="1:5">
      <c r="A1271">
        <f t="shared" si="57"/>
        <v>1270</v>
      </c>
      <c r="B1271" t="str" cm="1">
        <f t="array" ref="B1271">INDEX('Enriched Data'!C:C,A1271+1)</f>
        <v>Super Clean 360</v>
      </c>
      <c r="C1271" s="11" cm="1">
        <f t="array" ref="C1271">INDEX('Enriched Data'!G:G,A1271+1)</f>
        <v>7290</v>
      </c>
      <c r="D1271" s="11">
        <f t="shared" si="58"/>
        <v>933131285.50999951</v>
      </c>
      <c r="E1271" s="10">
        <f t="shared" si="59"/>
        <v>0.99740281128307606</v>
      </c>
    </row>
    <row r="1272" spans="1:5">
      <c r="A1272">
        <f t="shared" si="57"/>
        <v>1271</v>
      </c>
      <c r="B1272" t="str" cm="1">
        <f t="array" ref="B1272">INDEX('Enriched Data'!C:C,A1272+1)</f>
        <v>Proscape Landscaping Mgt Corp</v>
      </c>
      <c r="C1272" s="11" cm="1">
        <f t="array" ref="C1272">INDEX('Enriched Data'!G:G,A1272+1)</f>
        <v>7287.05</v>
      </c>
      <c r="D1272" s="11">
        <f t="shared" si="58"/>
        <v>933138572.55999947</v>
      </c>
      <c r="E1272" s="10">
        <f t="shared" si="59"/>
        <v>0.99741060024511041</v>
      </c>
    </row>
    <row r="1273" spans="1:5">
      <c r="A1273">
        <f t="shared" si="57"/>
        <v>1272</v>
      </c>
      <c r="B1273" t="str" cm="1">
        <f t="array" ref="B1273">INDEX('Enriched Data'!C:C,A1273+1)</f>
        <v>Twin City Garage Door Company</v>
      </c>
      <c r="C1273" s="11" cm="1">
        <f t="array" ref="C1273">INDEX('Enriched Data'!G:G,A1273+1)</f>
        <v>7271.82</v>
      </c>
      <c r="D1273" s="11">
        <f t="shared" si="58"/>
        <v>933145844.37999952</v>
      </c>
      <c r="E1273" s="10">
        <f t="shared" si="59"/>
        <v>0.99741837292814417</v>
      </c>
    </row>
    <row r="1274" spans="1:5">
      <c r="A1274">
        <f t="shared" si="57"/>
        <v>1273</v>
      </c>
      <c r="B1274" t="str" cm="1">
        <f t="array" ref="B1274">INDEX('Enriched Data'!C:C,A1274+1)</f>
        <v>Michael H Bruegge</v>
      </c>
      <c r="C1274" s="11" cm="1">
        <f t="array" ref="C1274">INDEX('Enriched Data'!G:G,A1274+1)</f>
        <v>7200</v>
      </c>
      <c r="D1274" s="11">
        <f t="shared" si="58"/>
        <v>933153044.37999952</v>
      </c>
      <c r="E1274" s="10">
        <f t="shared" si="59"/>
        <v>0.99742606884441321</v>
      </c>
    </row>
    <row r="1275" spans="1:5">
      <c r="A1275">
        <f t="shared" si="57"/>
        <v>1274</v>
      </c>
      <c r="B1275" t="str" cm="1">
        <f t="array" ref="B1275">INDEX('Enriched Data'!C:C,A1275+1)</f>
        <v>D M Conversions, Ltd</v>
      </c>
      <c r="C1275" s="11" cm="1">
        <f t="array" ref="C1275">INDEX('Enriched Data'!G:G,A1275+1)</f>
        <v>7200</v>
      </c>
      <c r="D1275" s="11">
        <f t="shared" si="58"/>
        <v>933160244.37999952</v>
      </c>
      <c r="E1275" s="10">
        <f t="shared" si="59"/>
        <v>0.99743376476068213</v>
      </c>
    </row>
    <row r="1276" spans="1:5">
      <c r="A1276">
        <f t="shared" si="57"/>
        <v>1275</v>
      </c>
      <c r="B1276" t="str" cm="1">
        <f t="array" ref="B1276">INDEX('Enriched Data'!C:C,A1276+1)</f>
        <v>Fire Protection Services, LLC</v>
      </c>
      <c r="C1276" s="11" cm="1">
        <f t="array" ref="C1276">INDEX('Enriched Data'!G:G,A1276+1)</f>
        <v>7193.61</v>
      </c>
      <c r="D1276" s="11">
        <f t="shared" si="58"/>
        <v>933167437.98999953</v>
      </c>
      <c r="E1276" s="10">
        <f t="shared" si="59"/>
        <v>0.99744145384682548</v>
      </c>
    </row>
    <row r="1277" spans="1:5">
      <c r="A1277">
        <f t="shared" si="57"/>
        <v>1276</v>
      </c>
      <c r="B1277" t="str" cm="1">
        <f t="array" ref="B1277">INDEX('Enriched Data'!C:C,A1277+1)</f>
        <v>Jan-Pro of Greater Nashville</v>
      </c>
      <c r="C1277" s="11" cm="1">
        <f t="array" ref="C1277">INDEX('Enriched Data'!G:G,A1277+1)</f>
        <v>7167</v>
      </c>
      <c r="D1277" s="11">
        <f t="shared" si="58"/>
        <v>933174604.98999953</v>
      </c>
      <c r="E1277" s="10">
        <f t="shared" si="59"/>
        <v>0.99744911449014484</v>
      </c>
    </row>
    <row r="1278" spans="1:5">
      <c r="A1278">
        <f t="shared" si="57"/>
        <v>1277</v>
      </c>
      <c r="B1278" t="str" cm="1">
        <f t="array" ref="B1278">INDEX('Enriched Data'!C:C,A1278+1)</f>
        <v>Lady Boss Lawn Care LLC</v>
      </c>
      <c r="C1278" s="11" cm="1">
        <f t="array" ref="C1278">INDEX('Enriched Data'!G:G,A1278+1)</f>
        <v>7150</v>
      </c>
      <c r="D1278" s="11">
        <f t="shared" si="58"/>
        <v>933181754.98999953</v>
      </c>
      <c r="E1278" s="10">
        <f t="shared" si="59"/>
        <v>0.99745675696255087</v>
      </c>
    </row>
    <row r="1279" spans="1:5">
      <c r="A1279">
        <f t="shared" si="57"/>
        <v>1278</v>
      </c>
      <c r="B1279" t="str" cm="1">
        <f t="array" ref="B1279">INDEX('Enriched Data'!C:C,A1279+1)</f>
        <v>Johnson Equipment Company</v>
      </c>
      <c r="C1279" s="11" cm="1">
        <f t="array" ref="C1279">INDEX('Enriched Data'!G:G,A1279+1)</f>
        <v>7143.57</v>
      </c>
      <c r="D1279" s="11">
        <f t="shared" si="58"/>
        <v>933188898.55999959</v>
      </c>
      <c r="E1279" s="10">
        <f t="shared" si="59"/>
        <v>0.99746439256207609</v>
      </c>
    </row>
    <row r="1280" spans="1:5">
      <c r="A1280">
        <f t="shared" si="57"/>
        <v>1279</v>
      </c>
      <c r="B1280" t="str" cm="1">
        <f t="array" ref="B1280">INDEX('Enriched Data'!C:C,A1280+1)</f>
        <v>Pacific Metal Buildings Inc</v>
      </c>
      <c r="C1280" s="11" cm="1">
        <f t="array" ref="C1280">INDEX('Enriched Data'!G:G,A1280+1)</f>
        <v>7133.68</v>
      </c>
      <c r="D1280" s="11">
        <f t="shared" si="58"/>
        <v>933196032.23999953</v>
      </c>
      <c r="E1280" s="10">
        <f t="shared" si="59"/>
        <v>0.99747201759040516</v>
      </c>
    </row>
    <row r="1281" spans="1:5">
      <c r="A1281">
        <f t="shared" si="57"/>
        <v>1280</v>
      </c>
      <c r="B1281" t="str" cm="1">
        <f t="array" ref="B1281">INDEX('Enriched Data'!C:C,A1281+1)</f>
        <v>Power Clean</v>
      </c>
      <c r="C1281" s="11" cm="1">
        <f t="array" ref="C1281">INDEX('Enriched Data'!G:G,A1281+1)</f>
        <v>7100</v>
      </c>
      <c r="D1281" s="11">
        <f t="shared" si="58"/>
        <v>933203132.23999953</v>
      </c>
      <c r="E1281" s="10">
        <f t="shared" si="59"/>
        <v>0.99747960661894819</v>
      </c>
    </row>
    <row r="1282" spans="1:5">
      <c r="A1282">
        <f t="shared" si="57"/>
        <v>1281</v>
      </c>
      <c r="B1282" t="str" cm="1">
        <f t="array" ref="B1282">INDEX('Enriched Data'!C:C,A1282+1)</f>
        <v>Precision Door Service - Pensacola</v>
      </c>
      <c r="C1282" s="11" cm="1">
        <f t="array" ref="C1282">INDEX('Enriched Data'!G:G,A1282+1)</f>
        <v>7066.7</v>
      </c>
      <c r="D1282" s="11">
        <f t="shared" si="58"/>
        <v>933210198.93999958</v>
      </c>
      <c r="E1282" s="10">
        <f t="shared" si="59"/>
        <v>0.9974871600538785</v>
      </c>
    </row>
    <row r="1283" spans="1:5">
      <c r="A1283">
        <f t="shared" si="57"/>
        <v>1282</v>
      </c>
      <c r="B1283" t="str" cm="1">
        <f t="array" ref="B1283">INDEX('Enriched Data'!C:C,A1283+1)</f>
        <v>GTG Peterbilt - Davenport</v>
      </c>
      <c r="C1283" s="11" cm="1">
        <f t="array" ref="C1283">INDEX('Enriched Data'!G:G,A1283+1)</f>
        <v>7048.96</v>
      </c>
      <c r="D1283" s="11">
        <f t="shared" si="58"/>
        <v>933217247.89999962</v>
      </c>
      <c r="E1283" s="10">
        <f t="shared" si="59"/>
        <v>0.99749469452692618</v>
      </c>
    </row>
    <row r="1284" spans="1:5">
      <c r="A1284">
        <f t="shared" ref="A1284:A1347" si="60">A1283+1</f>
        <v>1283</v>
      </c>
      <c r="B1284" t="str" cm="1">
        <f t="array" ref="B1284">INDEX('Enriched Data'!C:C,A1284+1)</f>
        <v>SKR Corporation</v>
      </c>
      <c r="C1284" s="11" cm="1">
        <f t="array" ref="C1284">INDEX('Enriched Data'!G:G,A1284+1)</f>
        <v>7047.15</v>
      </c>
      <c r="D1284" s="11">
        <f t="shared" ref="D1284:D1347" si="61">D1283+C1284</f>
        <v>933224295.04999959</v>
      </c>
      <c r="E1284" s="10">
        <f t="shared" ref="E1284:E1347" si="62">D1284/$F$2</f>
        <v>0.997502227065306</v>
      </c>
    </row>
    <row r="1285" spans="1:5">
      <c r="A1285">
        <f t="shared" si="60"/>
        <v>1284</v>
      </c>
      <c r="B1285" t="str" cm="1">
        <f t="array" ref="B1285">INDEX('Enriched Data'!C:C,A1285+1)</f>
        <v>DKI Pro Supply</v>
      </c>
      <c r="C1285" s="11" cm="1">
        <f t="array" ref="C1285">INDEX('Enriched Data'!G:G,A1285+1)</f>
        <v>7038.04</v>
      </c>
      <c r="D1285" s="11">
        <f t="shared" si="61"/>
        <v>933231333.08999956</v>
      </c>
      <c r="E1285" s="10">
        <f t="shared" si="62"/>
        <v>0.99750974986621399</v>
      </c>
    </row>
    <row r="1286" spans="1:5">
      <c r="A1286">
        <f t="shared" si="60"/>
        <v>1285</v>
      </c>
      <c r="B1286" t="str" cm="1">
        <f t="array" ref="B1286">INDEX('Enriched Data'!C:C,A1286+1)</f>
        <v>InTouch Solutions Group Inc.</v>
      </c>
      <c r="C1286" s="11" cm="1">
        <f t="array" ref="C1286">INDEX('Enriched Data'!G:G,A1286+1)</f>
        <v>7025</v>
      </c>
      <c r="D1286" s="11">
        <f t="shared" si="61"/>
        <v>933238358.08999956</v>
      </c>
      <c r="E1286" s="10">
        <f t="shared" si="62"/>
        <v>0.99751725872896246</v>
      </c>
    </row>
    <row r="1287" spans="1:5">
      <c r="A1287">
        <f t="shared" si="60"/>
        <v>1286</v>
      </c>
      <c r="B1287" t="str" cm="1">
        <f t="array" ref="B1287">INDEX('Enriched Data'!C:C,A1287+1)</f>
        <v>Gyrfalcon Logistics Inc.</v>
      </c>
      <c r="C1287" s="11" cm="1">
        <f t="array" ref="C1287">INDEX('Enriched Data'!G:G,A1287+1)</f>
        <v>6992</v>
      </c>
      <c r="D1287" s="11">
        <f t="shared" si="61"/>
        <v>933245350.08999956</v>
      </c>
      <c r="E1287" s="10">
        <f t="shared" si="62"/>
        <v>0.99752473231876149</v>
      </c>
    </row>
    <row r="1288" spans="1:5">
      <c r="A1288">
        <f t="shared" si="60"/>
        <v>1287</v>
      </c>
      <c r="B1288" t="str" cm="1">
        <f t="array" ref="B1288">INDEX('Enriched Data'!C:C,A1288+1)</f>
        <v>Ridge Angeline dba B&amp;B Restorations</v>
      </c>
      <c r="C1288" s="11" cm="1">
        <f t="array" ref="C1288">INDEX('Enriched Data'!G:G,A1288+1)</f>
        <v>6978</v>
      </c>
      <c r="D1288" s="11">
        <f t="shared" si="61"/>
        <v>933252328.08999956</v>
      </c>
      <c r="E1288" s="10">
        <f t="shared" si="62"/>
        <v>0.99753219094427881</v>
      </c>
    </row>
    <row r="1289" spans="1:5">
      <c r="A1289">
        <f t="shared" si="60"/>
        <v>1288</v>
      </c>
      <c r="B1289" t="str" cm="1">
        <f t="array" ref="B1289">INDEX('Enriched Data'!C:C,A1289+1)</f>
        <v>Erindale Systems Inc.</v>
      </c>
      <c r="C1289" s="11" cm="1">
        <f t="array" ref="C1289">INDEX('Enriched Data'!G:G,A1289+1)</f>
        <v>6972.33</v>
      </c>
      <c r="D1289" s="11">
        <f t="shared" si="61"/>
        <v>933259300.4199996</v>
      </c>
      <c r="E1289" s="10">
        <f t="shared" si="62"/>
        <v>0.99753964350926216</v>
      </c>
    </row>
    <row r="1290" spans="1:5">
      <c r="A1290">
        <f t="shared" si="60"/>
        <v>1289</v>
      </c>
      <c r="B1290" t="str" cm="1">
        <f t="array" ref="B1290">INDEX('Enriched Data'!C:C,A1290+1)</f>
        <v>Peter Lyman</v>
      </c>
      <c r="C1290" s="11" cm="1">
        <f t="array" ref="C1290">INDEX('Enriched Data'!G:G,A1290+1)</f>
        <v>6931.25</v>
      </c>
      <c r="D1290" s="11">
        <f t="shared" si="61"/>
        <v>933266231.6699996</v>
      </c>
      <c r="E1290" s="10">
        <f t="shared" si="62"/>
        <v>0.99754705216476758</v>
      </c>
    </row>
    <row r="1291" spans="1:5">
      <c r="A1291">
        <f t="shared" si="60"/>
        <v>1290</v>
      </c>
      <c r="B1291" t="str" cm="1">
        <f t="array" ref="B1291">INDEX('Enriched Data'!C:C,A1291+1)</f>
        <v>Uncle Nicks</v>
      </c>
      <c r="C1291" s="11" cm="1">
        <f t="array" ref="C1291">INDEX('Enriched Data'!G:G,A1291+1)</f>
        <v>6916.1</v>
      </c>
      <c r="D1291" s="11">
        <f t="shared" si="61"/>
        <v>933273147.76999962</v>
      </c>
      <c r="E1291" s="10">
        <f t="shared" si="62"/>
        <v>0.99755444462678255</v>
      </c>
    </row>
    <row r="1292" spans="1:5">
      <c r="A1292">
        <f t="shared" si="60"/>
        <v>1291</v>
      </c>
      <c r="B1292" t="str" cm="1">
        <f t="array" ref="B1292">INDEX('Enriched Data'!C:C,A1292+1)</f>
        <v>Wrights Media , LLC</v>
      </c>
      <c r="C1292" s="11" cm="1">
        <f t="array" ref="C1292">INDEX('Enriched Data'!G:G,A1292+1)</f>
        <v>6900</v>
      </c>
      <c r="D1292" s="11">
        <f t="shared" si="61"/>
        <v>933280047.76999962</v>
      </c>
      <c r="E1292" s="10">
        <f t="shared" si="62"/>
        <v>0.99756181987987369</v>
      </c>
    </row>
    <row r="1293" spans="1:5">
      <c r="A1293">
        <f t="shared" si="60"/>
        <v>1292</v>
      </c>
      <c r="B1293" t="str" cm="1">
        <f t="array" ref="B1293">INDEX('Enriched Data'!C:C,A1293+1)</f>
        <v>Wallace and Wallace Fences</v>
      </c>
      <c r="C1293" s="11" cm="1">
        <f t="array" ref="C1293">INDEX('Enriched Data'!G:G,A1293+1)</f>
        <v>6894.62</v>
      </c>
      <c r="D1293" s="11">
        <f t="shared" si="61"/>
        <v>933286942.38999963</v>
      </c>
      <c r="E1293" s="10">
        <f t="shared" si="62"/>
        <v>0.99756918938240513</v>
      </c>
    </row>
    <row r="1294" spans="1:5">
      <c r="A1294">
        <f t="shared" si="60"/>
        <v>1293</v>
      </c>
      <c r="B1294" t="str" cm="1">
        <f t="array" ref="B1294">INDEX('Enriched Data'!C:C,A1294+1)</f>
        <v>Krystal Cleaning&amp; Disinfecting Sol</v>
      </c>
      <c r="C1294" s="11" cm="1">
        <f t="array" ref="C1294">INDEX('Enriched Data'!G:G,A1294+1)</f>
        <v>6850</v>
      </c>
      <c r="D1294" s="11">
        <f t="shared" si="61"/>
        <v>933293792.38999963</v>
      </c>
      <c r="E1294" s="10">
        <f t="shared" si="62"/>
        <v>0.99757651119163326</v>
      </c>
    </row>
    <row r="1295" spans="1:5">
      <c r="A1295">
        <f t="shared" si="60"/>
        <v>1294</v>
      </c>
      <c r="B1295" t="str" cm="1">
        <f t="array" ref="B1295">INDEX('Enriched Data'!C:C,A1295+1)</f>
        <v>LEAF Capital Funding LLC</v>
      </c>
      <c r="C1295" s="11" cm="1">
        <f t="array" ref="C1295">INDEX('Enriched Data'!G:G,A1295+1)</f>
        <v>6838.36</v>
      </c>
      <c r="D1295" s="11">
        <f t="shared" si="61"/>
        <v>933300630.74999964</v>
      </c>
      <c r="E1295" s="10">
        <f t="shared" si="62"/>
        <v>0.99758382055913009</v>
      </c>
    </row>
    <row r="1296" spans="1:5">
      <c r="A1296">
        <f t="shared" si="60"/>
        <v>1295</v>
      </c>
      <c r="B1296" t="str" cm="1">
        <f t="array" ref="B1296">INDEX('Enriched Data'!C:C,A1296+1)</f>
        <v>Rehobet Janitorial Services</v>
      </c>
      <c r="C1296" s="11" cm="1">
        <f t="array" ref="C1296">INDEX('Enriched Data'!G:G,A1296+1)</f>
        <v>6813.45</v>
      </c>
      <c r="D1296" s="11">
        <f t="shared" si="61"/>
        <v>933307444.19999969</v>
      </c>
      <c r="E1296" s="10">
        <f t="shared" si="62"/>
        <v>0.9975911033008944</v>
      </c>
    </row>
    <row r="1297" spans="1:5">
      <c r="A1297">
        <f t="shared" si="60"/>
        <v>1296</v>
      </c>
      <c r="B1297" t="str" cm="1">
        <f t="array" ref="B1297">INDEX('Enriched Data'!C:C,A1297+1)</f>
        <v>Get Lit Electrical &amp; Plumbing</v>
      </c>
      <c r="C1297" s="11" cm="1">
        <f t="array" ref="C1297">INDEX('Enriched Data'!G:G,A1297+1)</f>
        <v>6810.78</v>
      </c>
      <c r="D1297" s="11">
        <f t="shared" si="61"/>
        <v>933314254.97999966</v>
      </c>
      <c r="E1297" s="10">
        <f t="shared" si="62"/>
        <v>0.99759838318875638</v>
      </c>
    </row>
    <row r="1298" spans="1:5">
      <c r="A1298">
        <f t="shared" si="60"/>
        <v>1297</v>
      </c>
      <c r="B1298" t="str" cm="1">
        <f t="array" ref="B1298">INDEX('Enriched Data'!C:C,A1298+1)</f>
        <v>Paul Davis Restoration</v>
      </c>
      <c r="C1298" s="11" cm="1">
        <f t="array" ref="C1298">INDEX('Enriched Data'!G:G,A1298+1)</f>
        <v>6801.04</v>
      </c>
      <c r="D1298" s="11">
        <f t="shared" si="61"/>
        <v>933321056.01999962</v>
      </c>
      <c r="E1298" s="10">
        <f t="shared" si="62"/>
        <v>0.99760565266575385</v>
      </c>
    </row>
    <row r="1299" spans="1:5">
      <c r="A1299">
        <f t="shared" si="60"/>
        <v>1298</v>
      </c>
      <c r="B1299" t="str" cm="1">
        <f t="array" ref="B1299">INDEX('Enriched Data'!C:C,A1299+1)</f>
        <v>Eagerton Tree Service LLC</v>
      </c>
      <c r="C1299" s="11" cm="1">
        <f t="array" ref="C1299">INDEX('Enriched Data'!G:G,A1299+1)</f>
        <v>6800</v>
      </c>
      <c r="D1299" s="11">
        <f t="shared" si="61"/>
        <v>933327856.01999962</v>
      </c>
      <c r="E1299" s="10">
        <f t="shared" si="62"/>
        <v>0.99761292103111898</v>
      </c>
    </row>
    <row r="1300" spans="1:5">
      <c r="A1300">
        <f t="shared" si="60"/>
        <v>1299</v>
      </c>
      <c r="B1300" t="str" cm="1">
        <f t="array" ref="B1300">INDEX('Enriched Data'!C:C,A1300+1)</f>
        <v>Marvco Enterprises, Inc.</v>
      </c>
      <c r="C1300" s="11" cm="1">
        <f t="array" ref="C1300">INDEX('Enriched Data'!G:G,A1300+1)</f>
        <v>6792.12</v>
      </c>
      <c r="D1300" s="11">
        <f t="shared" si="61"/>
        <v>933334648.13999963</v>
      </c>
      <c r="E1300" s="10">
        <f t="shared" si="62"/>
        <v>0.99762018097373129</v>
      </c>
    </row>
    <row r="1301" spans="1:5">
      <c r="A1301">
        <f t="shared" si="60"/>
        <v>1300</v>
      </c>
      <c r="B1301" t="str" cm="1">
        <f t="array" ref="B1301">INDEX('Enriched Data'!C:C,A1301+1)</f>
        <v>Cintas Corporation #62</v>
      </c>
      <c r="C1301" s="11" cm="1">
        <f t="array" ref="C1301">INDEX('Enriched Data'!G:G,A1301+1)</f>
        <v>6788.22</v>
      </c>
      <c r="D1301" s="11">
        <f t="shared" si="61"/>
        <v>933341436.35999966</v>
      </c>
      <c r="E1301" s="10">
        <f t="shared" si="62"/>
        <v>0.99762743674772236</v>
      </c>
    </row>
    <row r="1302" spans="1:5">
      <c r="A1302">
        <f t="shared" si="60"/>
        <v>1301</v>
      </c>
      <c r="B1302" t="str" cm="1">
        <f t="array" ref="B1302">INDEX('Enriched Data'!C:C,A1302+1)</f>
        <v>Bankers Trust</v>
      </c>
      <c r="C1302" s="11" cm="1">
        <f t="array" ref="C1302">INDEX('Enriched Data'!G:G,A1302+1)</f>
        <v>6772.64</v>
      </c>
      <c r="D1302" s="11">
        <f t="shared" si="61"/>
        <v>933348208.99999964</v>
      </c>
      <c r="E1302" s="10">
        <f t="shared" si="62"/>
        <v>0.99763467586860566</v>
      </c>
    </row>
    <row r="1303" spans="1:5">
      <c r="A1303">
        <f t="shared" si="60"/>
        <v>1302</v>
      </c>
      <c r="B1303" t="str" cm="1">
        <f t="array" ref="B1303">INDEX('Enriched Data'!C:C,A1303+1)</f>
        <v>Lindsey M Townsend</v>
      </c>
      <c r="C1303" s="11" cm="1">
        <f t="array" ref="C1303">INDEX('Enriched Data'!G:G,A1303+1)</f>
        <v>6750</v>
      </c>
      <c r="D1303" s="11">
        <f t="shared" si="61"/>
        <v>933354958.99999964</v>
      </c>
      <c r="E1303" s="10">
        <f t="shared" si="62"/>
        <v>0.99764189079010779</v>
      </c>
    </row>
    <row r="1304" spans="1:5">
      <c r="A1304">
        <f t="shared" si="60"/>
        <v>1303</v>
      </c>
      <c r="B1304" t="str" cm="1">
        <f t="array" ref="B1304">INDEX('Enriched Data'!C:C,A1304+1)</f>
        <v>Servpro Assets, LLC</v>
      </c>
      <c r="C1304" s="11" cm="1">
        <f t="array" ref="C1304">INDEX('Enriched Data'!G:G,A1304+1)</f>
        <v>6750</v>
      </c>
      <c r="D1304" s="11">
        <f t="shared" si="61"/>
        <v>933361708.99999964</v>
      </c>
      <c r="E1304" s="10">
        <f t="shared" si="62"/>
        <v>0.99764910571160992</v>
      </c>
    </row>
    <row r="1305" spans="1:5">
      <c r="A1305">
        <f t="shared" si="60"/>
        <v>1304</v>
      </c>
      <c r="B1305" t="str" cm="1">
        <f t="array" ref="B1305">INDEX('Enriched Data'!C:C,A1305+1)</f>
        <v>Chicago Tire</v>
      </c>
      <c r="C1305" s="11" cm="1">
        <f t="array" ref="C1305">INDEX('Enriched Data'!G:G,A1305+1)</f>
        <v>6737.25</v>
      </c>
      <c r="D1305" s="11">
        <f t="shared" si="61"/>
        <v>933368446.24999964</v>
      </c>
      <c r="E1305" s="10">
        <f t="shared" si="62"/>
        <v>0.99765630700492702</v>
      </c>
    </row>
    <row r="1306" spans="1:5">
      <c r="A1306">
        <f t="shared" si="60"/>
        <v>1305</v>
      </c>
      <c r="B1306" t="str" cm="1">
        <f t="array" ref="B1306">INDEX('Enriched Data'!C:C,A1306+1)</f>
        <v>Molly Maid of Chesapeake</v>
      </c>
      <c r="C1306" s="11" cm="1">
        <f t="array" ref="C1306">INDEX('Enriched Data'!G:G,A1306+1)</f>
        <v>6732</v>
      </c>
      <c r="D1306" s="11">
        <f t="shared" si="61"/>
        <v>933375178.24999964</v>
      </c>
      <c r="E1306" s="10">
        <f t="shared" si="62"/>
        <v>0.9976635026866385</v>
      </c>
    </row>
    <row r="1307" spans="1:5">
      <c r="A1307">
        <f t="shared" si="60"/>
        <v>1306</v>
      </c>
      <c r="B1307" t="str" cm="1">
        <f t="array" ref="B1307">INDEX('Enriched Data'!C:C,A1307+1)</f>
        <v>FLV US LLC</v>
      </c>
      <c r="C1307" s="11" cm="1">
        <f t="array" ref="C1307">INDEX('Enriched Data'!G:G,A1307+1)</f>
        <v>6670</v>
      </c>
      <c r="D1307" s="11">
        <f t="shared" si="61"/>
        <v>933381848.24999964</v>
      </c>
      <c r="E1307" s="10">
        <f t="shared" si="62"/>
        <v>0.99767063209795992</v>
      </c>
    </row>
    <row r="1308" spans="1:5">
      <c r="A1308">
        <f t="shared" si="60"/>
        <v>1307</v>
      </c>
      <c r="B1308" t="str" cm="1">
        <f t="array" ref="B1308">INDEX('Enriched Data'!C:C,A1308+1)</f>
        <v>968 Reed Road 2020</v>
      </c>
      <c r="C1308" s="11" cm="1">
        <f t="array" ref="C1308">INDEX('Enriched Data'!G:G,A1308+1)</f>
        <v>6600</v>
      </c>
      <c r="D1308" s="11">
        <f t="shared" si="61"/>
        <v>933388448.24999964</v>
      </c>
      <c r="E1308" s="10">
        <f t="shared" si="62"/>
        <v>0.99767768668787316</v>
      </c>
    </row>
    <row r="1309" spans="1:5">
      <c r="A1309">
        <f t="shared" si="60"/>
        <v>1308</v>
      </c>
      <c r="B1309" t="str" cm="1">
        <f t="array" ref="B1309">INDEX('Enriched Data'!C:C,A1309+1)</f>
        <v>J&amp;B Management Corporation</v>
      </c>
      <c r="C1309" s="11" cm="1">
        <f t="array" ref="C1309">INDEX('Enriched Data'!G:G,A1309+1)</f>
        <v>6600</v>
      </c>
      <c r="D1309" s="11">
        <f t="shared" si="61"/>
        <v>933395048.24999964</v>
      </c>
      <c r="E1309" s="10">
        <f t="shared" si="62"/>
        <v>0.99768474127778639</v>
      </c>
    </row>
    <row r="1310" spans="1:5">
      <c r="A1310">
        <f t="shared" si="60"/>
        <v>1309</v>
      </c>
      <c r="B1310" t="str" cm="1">
        <f t="array" ref="B1310">INDEX('Enriched Data'!C:C,A1310+1)</f>
        <v>Tri South Mechanical LLC</v>
      </c>
      <c r="C1310" s="11" cm="1">
        <f t="array" ref="C1310">INDEX('Enriched Data'!G:G,A1310+1)</f>
        <v>6598.7</v>
      </c>
      <c r="D1310" s="11">
        <f t="shared" si="61"/>
        <v>933401646.94999969</v>
      </c>
      <c r="E1310" s="10">
        <f t="shared" si="62"/>
        <v>0.99769179447815914</v>
      </c>
    </row>
    <row r="1311" spans="1:5">
      <c r="A1311">
        <f t="shared" si="60"/>
        <v>1310</v>
      </c>
      <c r="B1311" t="str" cm="1">
        <f t="array" ref="B1311">INDEX('Enriched Data'!C:C,A1311+1)</f>
        <v>Precision Door Services of Memphis</v>
      </c>
      <c r="C1311" s="11" cm="1">
        <f t="array" ref="C1311">INDEX('Enriched Data'!G:G,A1311+1)</f>
        <v>6540.67</v>
      </c>
      <c r="D1311" s="11">
        <f t="shared" si="61"/>
        <v>933408187.61999965</v>
      </c>
      <c r="E1311" s="10">
        <f t="shared" si="62"/>
        <v>0.99769878565158454</v>
      </c>
    </row>
    <row r="1312" spans="1:5">
      <c r="A1312">
        <f t="shared" si="60"/>
        <v>1311</v>
      </c>
      <c r="B1312" t="str" cm="1">
        <f t="array" ref="B1312">INDEX('Enriched Data'!C:C,A1312+1)</f>
        <v>Miners Towing Co. Inc.</v>
      </c>
      <c r="C1312" s="11" cm="1">
        <f t="array" ref="C1312">INDEX('Enriched Data'!G:G,A1312+1)</f>
        <v>6510.27</v>
      </c>
      <c r="D1312" s="11">
        <f t="shared" si="61"/>
        <v>933414697.88999963</v>
      </c>
      <c r="E1312" s="10">
        <f t="shared" si="62"/>
        <v>0.99770574433114123</v>
      </c>
    </row>
    <row r="1313" spans="1:5">
      <c r="A1313">
        <f t="shared" si="60"/>
        <v>1312</v>
      </c>
      <c r="B1313" t="str" cm="1">
        <f t="array" ref="B1313">INDEX('Enriched Data'!C:C,A1313+1)</f>
        <v>South Ferry Inc</v>
      </c>
      <c r="C1313" s="11" cm="1">
        <f t="array" ref="C1313">INDEX('Enriched Data'!G:G,A1313+1)</f>
        <v>6508</v>
      </c>
      <c r="D1313" s="11">
        <f t="shared" si="61"/>
        <v>933421205.88999963</v>
      </c>
      <c r="E1313" s="10">
        <f t="shared" si="62"/>
        <v>0.99771270058434658</v>
      </c>
    </row>
    <row r="1314" spans="1:5">
      <c r="A1314">
        <f t="shared" si="60"/>
        <v>1313</v>
      </c>
      <c r="B1314" t="str" cm="1">
        <f t="array" ref="B1314">INDEX('Enriched Data'!C:C,A1314+1)</f>
        <v>A Clean Place Services/Angela Hough</v>
      </c>
      <c r="C1314" s="11" cm="1">
        <f t="array" ref="C1314">INDEX('Enriched Data'!G:G,A1314+1)</f>
        <v>6500</v>
      </c>
      <c r="D1314" s="11">
        <f t="shared" si="61"/>
        <v>933427705.88999963</v>
      </c>
      <c r="E1314" s="10">
        <f t="shared" si="62"/>
        <v>0.99771964828653381</v>
      </c>
    </row>
    <row r="1315" spans="1:5">
      <c r="A1315">
        <f t="shared" si="60"/>
        <v>1314</v>
      </c>
      <c r="B1315" t="str" cm="1">
        <f t="array" ref="B1315">INDEX('Enriched Data'!C:C,A1315+1)</f>
        <v>Vulcan Companies, Inc.</v>
      </c>
      <c r="C1315" s="11" cm="1">
        <f t="array" ref="C1315">INDEX('Enriched Data'!G:G,A1315+1)</f>
        <v>6478.75</v>
      </c>
      <c r="D1315" s="11">
        <f t="shared" si="61"/>
        <v>933434184.63999963</v>
      </c>
      <c r="E1315" s="10">
        <f t="shared" si="62"/>
        <v>0.9977265732750793</v>
      </c>
    </row>
    <row r="1316" spans="1:5">
      <c r="A1316">
        <f t="shared" si="60"/>
        <v>1315</v>
      </c>
      <c r="B1316" t="str" cm="1">
        <f t="array" ref="B1316">INDEX('Enriched Data'!C:C,A1316+1)</f>
        <v>Bernstein Shur Sawyer &amp; Nelson PA</v>
      </c>
      <c r="C1316" s="11" cm="1">
        <f t="array" ref="C1316">INDEX('Enriched Data'!G:G,A1316+1)</f>
        <v>6472.5</v>
      </c>
      <c r="D1316" s="11">
        <f t="shared" si="61"/>
        <v>933440657.13999963</v>
      </c>
      <c r="E1316" s="10">
        <f t="shared" si="62"/>
        <v>0.99773349158314195</v>
      </c>
    </row>
    <row r="1317" spans="1:5">
      <c r="A1317">
        <f t="shared" si="60"/>
        <v>1316</v>
      </c>
      <c r="B1317" t="str" cm="1">
        <f t="array" ref="B1317">INDEX('Enriched Data'!C:C,A1317+1)</f>
        <v>Coverall North America Inc</v>
      </c>
      <c r="C1317" s="11" cm="1">
        <f t="array" ref="C1317">INDEX('Enriched Data'!G:G,A1317+1)</f>
        <v>6434.24</v>
      </c>
      <c r="D1317" s="11">
        <f t="shared" si="61"/>
        <v>933447091.37999964</v>
      </c>
      <c r="E1317" s="10">
        <f t="shared" si="62"/>
        <v>0.99774036899596064</v>
      </c>
    </row>
    <row r="1318" spans="1:5">
      <c r="A1318">
        <f t="shared" si="60"/>
        <v>1317</v>
      </c>
      <c r="B1318" t="str" cm="1">
        <f t="array" ref="B1318">INDEX('Enriched Data'!C:C,A1318+1)</f>
        <v>Ready Refresh-856192</v>
      </c>
      <c r="C1318" s="11" cm="1">
        <f t="array" ref="C1318">INDEX('Enriched Data'!G:G,A1318+1)</f>
        <v>6407.09</v>
      </c>
      <c r="D1318" s="11">
        <f t="shared" si="61"/>
        <v>933453498.46999967</v>
      </c>
      <c r="E1318" s="10">
        <f t="shared" si="62"/>
        <v>0.99774721738876171</v>
      </c>
    </row>
    <row r="1319" spans="1:5">
      <c r="A1319">
        <f t="shared" si="60"/>
        <v>1318</v>
      </c>
      <c r="B1319" t="str" cm="1">
        <f t="array" ref="B1319">INDEX('Enriched Data'!C:C,A1319+1)</f>
        <v>Marxaire, Inc.</v>
      </c>
      <c r="C1319" s="11" cm="1">
        <f t="array" ref="C1319">INDEX('Enriched Data'!G:G,A1319+1)</f>
        <v>6401.07</v>
      </c>
      <c r="D1319" s="11">
        <f t="shared" si="61"/>
        <v>933459899.53999972</v>
      </c>
      <c r="E1319" s="10">
        <f t="shared" si="62"/>
        <v>0.99775405934692174</v>
      </c>
    </row>
    <row r="1320" spans="1:5">
      <c r="A1320">
        <f t="shared" si="60"/>
        <v>1319</v>
      </c>
      <c r="B1320" t="str" cm="1">
        <f t="array" ref="B1320">INDEX('Enriched Data'!C:C,A1320+1)</f>
        <v>Attention to Detail Prof. Cleaning</v>
      </c>
      <c r="C1320" s="11" cm="1">
        <f t="array" ref="C1320">INDEX('Enriched Data'!G:G,A1320+1)</f>
        <v>6397.56</v>
      </c>
      <c r="D1320" s="11">
        <f t="shared" si="61"/>
        <v>933466297.09999967</v>
      </c>
      <c r="E1320" s="10">
        <f t="shared" si="62"/>
        <v>0.99776089755332253</v>
      </c>
    </row>
    <row r="1321" spans="1:5">
      <c r="A1321">
        <f t="shared" si="60"/>
        <v>1320</v>
      </c>
      <c r="B1321" t="str" cm="1">
        <f t="array" ref="B1321">INDEX('Enriched Data'!C:C,A1321+1)</f>
        <v>Snell &amp; Wilmer L.L.P.</v>
      </c>
      <c r="C1321" s="11" cm="1">
        <f t="array" ref="C1321">INDEX('Enriched Data'!G:G,A1321+1)</f>
        <v>6380</v>
      </c>
      <c r="D1321" s="11">
        <f t="shared" si="61"/>
        <v>933472677.09999967</v>
      </c>
      <c r="E1321" s="10">
        <f t="shared" si="62"/>
        <v>0.99776771699023858</v>
      </c>
    </row>
    <row r="1322" spans="1:5">
      <c r="A1322">
        <f t="shared" si="60"/>
        <v>1321</v>
      </c>
      <c r="B1322" t="str" cm="1">
        <f t="array" ref="B1322">INDEX('Enriched Data'!C:C,A1322+1)</f>
        <v>RE/MAX International Inc</v>
      </c>
      <c r="C1322" s="11" cm="1">
        <f t="array" ref="C1322">INDEX('Enriched Data'!G:G,A1322+1)</f>
        <v>6374.79</v>
      </c>
      <c r="D1322" s="11">
        <f t="shared" si="61"/>
        <v>933479051.88999963</v>
      </c>
      <c r="E1322" s="10">
        <f t="shared" si="62"/>
        <v>0.99777453085830414</v>
      </c>
    </row>
    <row r="1323" spans="1:5">
      <c r="A1323">
        <f t="shared" si="60"/>
        <v>1322</v>
      </c>
      <c r="B1323" t="str" cm="1">
        <f t="array" ref="B1323">INDEX('Enriched Data'!C:C,A1323+1)</f>
        <v>Restored Digital Solution, LLC</v>
      </c>
      <c r="C1323" s="11" cm="1">
        <f t="array" ref="C1323">INDEX('Enriched Data'!G:G,A1323+1)</f>
        <v>6367.76</v>
      </c>
      <c r="D1323" s="11">
        <f t="shared" si="61"/>
        <v>933485419.64999962</v>
      </c>
      <c r="E1323" s="10">
        <f t="shared" si="62"/>
        <v>0.99778133721216267</v>
      </c>
    </row>
    <row r="1324" spans="1:5">
      <c r="A1324">
        <f t="shared" si="60"/>
        <v>1323</v>
      </c>
      <c r="B1324" t="str" cm="1">
        <f t="array" ref="B1324">INDEX('Enriched Data'!C:C,A1324+1)</f>
        <v>Yacht StarShip Dining Cruises LLC</v>
      </c>
      <c r="C1324" s="11" cm="1">
        <f t="array" ref="C1324">INDEX('Enriched Data'!G:G,A1324+1)</f>
        <v>6364.97</v>
      </c>
      <c r="D1324" s="11">
        <f t="shared" si="61"/>
        <v>933491784.61999965</v>
      </c>
      <c r="E1324" s="10">
        <f t="shared" si="62"/>
        <v>0.99778814058385357</v>
      </c>
    </row>
    <row r="1325" spans="1:5">
      <c r="A1325">
        <f t="shared" si="60"/>
        <v>1324</v>
      </c>
      <c r="B1325" t="str" cm="1">
        <f t="array" ref="B1325">INDEX('Enriched Data'!C:C,A1325+1)</f>
        <v>Southland Fencing</v>
      </c>
      <c r="C1325" s="11" cm="1">
        <f t="array" ref="C1325">INDEX('Enriched Data'!G:G,A1325+1)</f>
        <v>6340</v>
      </c>
      <c r="D1325" s="11">
        <f t="shared" si="61"/>
        <v>933498124.61999965</v>
      </c>
      <c r="E1325" s="10">
        <f t="shared" si="62"/>
        <v>0.99779491726567926</v>
      </c>
    </row>
    <row r="1326" spans="1:5">
      <c r="A1326">
        <f t="shared" si="60"/>
        <v>1325</v>
      </c>
      <c r="B1326" t="str" cm="1">
        <f t="array" ref="B1326">INDEX('Enriched Data'!C:C,A1326+1)</f>
        <v>EAAL CORP</v>
      </c>
      <c r="C1326" s="11" cm="1">
        <f t="array" ref="C1326">INDEX('Enriched Data'!G:G,A1326+1)</f>
        <v>6314</v>
      </c>
      <c r="D1326" s="11">
        <f t="shared" si="61"/>
        <v>933504438.61999965</v>
      </c>
      <c r="E1326" s="10">
        <f t="shared" si="62"/>
        <v>0.9978016661566963</v>
      </c>
    </row>
    <row r="1327" spans="1:5">
      <c r="A1327">
        <f t="shared" si="60"/>
        <v>1326</v>
      </c>
      <c r="B1327" t="str" cm="1">
        <f t="array" ref="B1327">INDEX('Enriched Data'!C:C,A1327+1)</f>
        <v>Rosey Industrial Park &amp; Storage LLC</v>
      </c>
      <c r="C1327" s="11" cm="1">
        <f t="array" ref="C1327">INDEX('Enriched Data'!G:G,A1327+1)</f>
        <v>6288.15</v>
      </c>
      <c r="D1327" s="11">
        <f t="shared" si="61"/>
        <v>933510726.76999962</v>
      </c>
      <c r="E1327" s="10">
        <f t="shared" si="62"/>
        <v>0.9978083874172361</v>
      </c>
    </row>
    <row r="1328" spans="1:5">
      <c r="A1328">
        <f t="shared" si="60"/>
        <v>1327</v>
      </c>
      <c r="B1328" t="str" cm="1">
        <f t="array" ref="B1328">INDEX('Enriched Data'!C:C,A1328+1)</f>
        <v>MoreSteam.com LLC</v>
      </c>
      <c r="C1328" s="11" cm="1">
        <f t="array" ref="C1328">INDEX('Enriched Data'!G:G,A1328+1)</f>
        <v>6206</v>
      </c>
      <c r="D1328" s="11">
        <f t="shared" si="61"/>
        <v>933516932.76999962</v>
      </c>
      <c r="E1328" s="10">
        <f t="shared" si="62"/>
        <v>0.99781502086950902</v>
      </c>
    </row>
    <row r="1329" spans="1:5">
      <c r="A1329">
        <f t="shared" si="60"/>
        <v>1328</v>
      </c>
      <c r="B1329" t="str" cm="1">
        <f t="array" ref="B1329">INDEX('Enriched Data'!C:C,A1329+1)</f>
        <v>Better Business Bureau of W FL</v>
      </c>
      <c r="C1329" s="11" cm="1">
        <f t="array" ref="C1329">INDEX('Enriched Data'!G:G,A1329+1)</f>
        <v>6200</v>
      </c>
      <c r="D1329" s="11">
        <f t="shared" si="61"/>
        <v>933523132.76999962</v>
      </c>
      <c r="E1329" s="10">
        <f t="shared" si="62"/>
        <v>0.99782164790851835</v>
      </c>
    </row>
    <row r="1330" spans="1:5">
      <c r="A1330">
        <f t="shared" si="60"/>
        <v>1329</v>
      </c>
      <c r="B1330" t="str" cm="1">
        <f t="array" ref="B1330">INDEX('Enriched Data'!C:C,A1330+1)</f>
        <v>Tom J Martin</v>
      </c>
      <c r="C1330" s="11" cm="1">
        <f t="array" ref="C1330">INDEX('Enriched Data'!G:G,A1330+1)</f>
        <v>6200</v>
      </c>
      <c r="D1330" s="11">
        <f t="shared" si="61"/>
        <v>933529332.76999962</v>
      </c>
      <c r="E1330" s="10">
        <f t="shared" si="62"/>
        <v>0.99782827494752779</v>
      </c>
    </row>
    <row r="1331" spans="1:5">
      <c r="A1331">
        <f t="shared" si="60"/>
        <v>1330</v>
      </c>
      <c r="B1331" t="str" cm="1">
        <f t="array" ref="B1331">INDEX('Enriched Data'!C:C,A1331+1)</f>
        <v>Blackwell Repairs &amp; Welding</v>
      </c>
      <c r="C1331" s="11" cm="1">
        <f t="array" ref="C1331">INDEX('Enriched Data'!G:G,A1331+1)</f>
        <v>6200</v>
      </c>
      <c r="D1331" s="11">
        <f t="shared" si="61"/>
        <v>933535532.76999962</v>
      </c>
      <c r="E1331" s="10">
        <f t="shared" si="62"/>
        <v>0.99783490198653713</v>
      </c>
    </row>
    <row r="1332" spans="1:5">
      <c r="A1332">
        <f t="shared" si="60"/>
        <v>1331</v>
      </c>
      <c r="B1332" t="str" cm="1">
        <f t="array" ref="B1332">INDEX('Enriched Data'!C:C,A1332+1)</f>
        <v>Luckys Energy Service, Inc.</v>
      </c>
      <c r="C1332" s="11" cm="1">
        <f t="array" ref="C1332">INDEX('Enriched Data'!G:G,A1332+1)</f>
        <v>6143.76</v>
      </c>
      <c r="D1332" s="11">
        <f t="shared" si="61"/>
        <v>933541676.52999961</v>
      </c>
      <c r="E1332" s="10">
        <f t="shared" si="62"/>
        <v>0.99784146891188952</v>
      </c>
    </row>
    <row r="1333" spans="1:5">
      <c r="A1333">
        <f t="shared" si="60"/>
        <v>1332</v>
      </c>
      <c r="B1333" t="str" cm="1">
        <f t="array" ref="B1333">INDEX('Enriched Data'!C:C,A1333+1)</f>
        <v>KJ Cleaning LLC</v>
      </c>
      <c r="C1333" s="11" cm="1">
        <f t="array" ref="C1333">INDEX('Enriched Data'!G:G,A1333+1)</f>
        <v>6139</v>
      </c>
      <c r="D1333" s="11">
        <f t="shared" si="61"/>
        <v>933547815.52999961</v>
      </c>
      <c r="E1333" s="10">
        <f t="shared" si="62"/>
        <v>0.99784803074938599</v>
      </c>
    </row>
    <row r="1334" spans="1:5">
      <c r="A1334">
        <f t="shared" si="60"/>
        <v>1333</v>
      </c>
      <c r="B1334" t="str" cm="1">
        <f t="array" ref="B1334">INDEX('Enriched Data'!C:C,A1334+1)</f>
        <v>Airoldi Brothers, Inc.</v>
      </c>
      <c r="C1334" s="11" cm="1">
        <f t="array" ref="C1334">INDEX('Enriched Data'!G:G,A1334+1)</f>
        <v>6096.64</v>
      </c>
      <c r="D1334" s="11">
        <f t="shared" si="61"/>
        <v>933553912.1699996</v>
      </c>
      <c r="E1334" s="10">
        <f t="shared" si="62"/>
        <v>0.99785454730924183</v>
      </c>
    </row>
    <row r="1335" spans="1:5">
      <c r="A1335">
        <f t="shared" si="60"/>
        <v>1334</v>
      </c>
      <c r="B1335" t="str" cm="1">
        <f t="array" ref="B1335">INDEX('Enriched Data'!C:C,A1335+1)</f>
        <v>The Salvation Army A Georgia CT</v>
      </c>
      <c r="C1335" s="11" cm="1">
        <f t="array" ref="C1335">INDEX('Enriched Data'!G:G,A1335+1)</f>
        <v>6080.32</v>
      </c>
      <c r="D1335" s="11">
        <f t="shared" si="61"/>
        <v>933559992.48999965</v>
      </c>
      <c r="E1335" s="10">
        <f t="shared" si="62"/>
        <v>0.99786104642502083</v>
      </c>
    </row>
    <row r="1336" spans="1:5">
      <c r="A1336">
        <f t="shared" si="60"/>
        <v>1335</v>
      </c>
      <c r="B1336" t="str" cm="1">
        <f t="array" ref="B1336">INDEX('Enriched Data'!C:C,A1336+1)</f>
        <v>CPH Landscape</v>
      </c>
      <c r="C1336" s="11" cm="1">
        <f t="array" ref="C1336">INDEX('Enriched Data'!G:G,A1336+1)</f>
        <v>6075</v>
      </c>
      <c r="D1336" s="11">
        <f t="shared" si="61"/>
        <v>933566067.48999965</v>
      </c>
      <c r="E1336" s="10">
        <f t="shared" si="62"/>
        <v>0.99786753985437282</v>
      </c>
    </row>
    <row r="1337" spans="1:5">
      <c r="A1337">
        <f t="shared" si="60"/>
        <v>1336</v>
      </c>
      <c r="B1337" t="str" cm="1">
        <f t="array" ref="B1337">INDEX('Enriched Data'!C:C,A1337+1)</f>
        <v>Nyc Department Of Finance</v>
      </c>
      <c r="C1337" s="11" cm="1">
        <f t="array" ref="C1337">INDEX('Enriched Data'!G:G,A1337+1)</f>
        <v>6071.14</v>
      </c>
      <c r="D1337" s="11">
        <f t="shared" si="61"/>
        <v>933572138.62999964</v>
      </c>
      <c r="E1337" s="10">
        <f t="shared" si="62"/>
        <v>0.9978740291578585</v>
      </c>
    </row>
    <row r="1338" spans="1:5">
      <c r="A1338">
        <f t="shared" si="60"/>
        <v>1337</v>
      </c>
      <c r="B1338" t="str" cm="1">
        <f t="array" ref="B1338">INDEX('Enriched Data'!C:C,A1338+1)</f>
        <v>Linda Gates</v>
      </c>
      <c r="C1338" s="11" cm="1">
        <f t="array" ref="C1338">INDEX('Enriched Data'!G:G,A1338+1)</f>
        <v>6067</v>
      </c>
      <c r="D1338" s="11">
        <f t="shared" si="61"/>
        <v>933578205.62999964</v>
      </c>
      <c r="E1338" s="10">
        <f t="shared" si="62"/>
        <v>0.99788051403619238</v>
      </c>
    </row>
    <row r="1339" spans="1:5">
      <c r="A1339">
        <f t="shared" si="60"/>
        <v>1338</v>
      </c>
      <c r="B1339" t="str" cm="1">
        <f t="array" ref="B1339">INDEX('Enriched Data'!C:C,A1339+1)</f>
        <v>Steven Brown</v>
      </c>
      <c r="C1339" s="11" cm="1">
        <f t="array" ref="C1339">INDEX('Enriched Data'!G:G,A1339+1)</f>
        <v>6063.2</v>
      </c>
      <c r="D1339" s="11">
        <f t="shared" si="61"/>
        <v>933584268.82999969</v>
      </c>
      <c r="E1339" s="10">
        <f t="shared" si="62"/>
        <v>0.99788699485279264</v>
      </c>
    </row>
    <row r="1340" spans="1:5">
      <c r="A1340">
        <f t="shared" si="60"/>
        <v>1339</v>
      </c>
      <c r="B1340" t="str" cm="1">
        <f t="array" ref="B1340">INDEX('Enriched Data'!C:C,A1340+1)</f>
        <v>Pye-Barker Fire &amp; Safety Inc.</v>
      </c>
      <c r="C1340" s="11" cm="1">
        <f t="array" ref="C1340">INDEX('Enriched Data'!G:G,A1340+1)</f>
        <v>6044.37</v>
      </c>
      <c r="D1340" s="11">
        <f t="shared" si="61"/>
        <v>933590313.19999969</v>
      </c>
      <c r="E1340" s="10">
        <f t="shared" si="62"/>
        <v>0.99789345554243414</v>
      </c>
    </row>
    <row r="1341" spans="1:5">
      <c r="A1341">
        <f t="shared" si="60"/>
        <v>1340</v>
      </c>
      <c r="B1341" t="str" cm="1">
        <f t="array" ref="B1341">INDEX('Enriched Data'!C:C,A1341+1)</f>
        <v>Selking International, LLC</v>
      </c>
      <c r="C1341" s="11" cm="1">
        <f t="array" ref="C1341">INDEX('Enriched Data'!G:G,A1341+1)</f>
        <v>6025.93</v>
      </c>
      <c r="D1341" s="11">
        <f t="shared" si="61"/>
        <v>933596339.12999964</v>
      </c>
      <c r="E1341" s="10">
        <f t="shared" si="62"/>
        <v>0.99789989652197897</v>
      </c>
    </row>
    <row r="1342" spans="1:5">
      <c r="A1342">
        <f t="shared" si="60"/>
        <v>1341</v>
      </c>
      <c r="B1342" t="str" cm="1">
        <f t="array" ref="B1342">INDEX('Enriched Data'!C:C,A1342+1)</f>
        <v>Dawn Falace</v>
      </c>
      <c r="C1342" s="11" cm="1">
        <f t="array" ref="C1342">INDEX('Enriched Data'!G:G,A1342+1)</f>
        <v>6024.1</v>
      </c>
      <c r="D1342" s="11">
        <f t="shared" si="61"/>
        <v>933602363.22999966</v>
      </c>
      <c r="E1342" s="10">
        <f t="shared" si="62"/>
        <v>0.99790633554547836</v>
      </c>
    </row>
    <row r="1343" spans="1:5">
      <c r="A1343">
        <f t="shared" si="60"/>
        <v>1342</v>
      </c>
      <c r="B1343" t="str" cm="1">
        <f t="array" ref="B1343">INDEX('Enriched Data'!C:C,A1343+1)</f>
        <v>April Szulborski dba Advent Packaging</v>
      </c>
      <c r="C1343" s="11" cm="1">
        <f t="array" ref="C1343">INDEX('Enriched Data'!G:G,A1343+1)</f>
        <v>6021.29</v>
      </c>
      <c r="D1343" s="11">
        <f t="shared" si="61"/>
        <v>933608384.51999962</v>
      </c>
      <c r="E1343" s="10">
        <f t="shared" si="62"/>
        <v>0.99791277156543268</v>
      </c>
    </row>
    <row r="1344" spans="1:5">
      <c r="A1344">
        <f t="shared" si="60"/>
        <v>1343</v>
      </c>
      <c r="B1344" t="str" cm="1">
        <f t="array" ref="B1344">INDEX('Enriched Data'!C:C,A1344+1)</f>
        <v>Air Comfort, Inc.</v>
      </c>
      <c r="C1344" s="11" cm="1">
        <f t="array" ref="C1344">INDEX('Enriched Data'!G:G,A1344+1)</f>
        <v>6016.64</v>
      </c>
      <c r="D1344" s="11">
        <f t="shared" si="61"/>
        <v>933614401.15999961</v>
      </c>
      <c r="E1344" s="10">
        <f t="shared" si="62"/>
        <v>0.99791920261510769</v>
      </c>
    </row>
    <row r="1345" spans="1:5">
      <c r="A1345">
        <f t="shared" si="60"/>
        <v>1344</v>
      </c>
      <c r="B1345" t="str" cm="1">
        <f t="array" ref="B1345">INDEX('Enriched Data'!C:C,A1345+1)</f>
        <v>Hiegel Supply</v>
      </c>
      <c r="C1345" s="11" cm="1">
        <f t="array" ref="C1345">INDEX('Enriched Data'!G:G,A1345+1)</f>
        <v>6000</v>
      </c>
      <c r="D1345" s="11">
        <f t="shared" si="61"/>
        <v>933620401.15999961</v>
      </c>
      <c r="E1345" s="10">
        <f t="shared" si="62"/>
        <v>0.99792561587866524</v>
      </c>
    </row>
    <row r="1346" spans="1:5">
      <c r="A1346">
        <f t="shared" si="60"/>
        <v>1345</v>
      </c>
      <c r="B1346" t="str" cm="1">
        <f t="array" ref="B1346">INDEX('Enriched Data'!C:C,A1346+1)</f>
        <v>Northern Investments &amp; Properties</v>
      </c>
      <c r="C1346" s="11" cm="1">
        <f t="array" ref="C1346">INDEX('Enriched Data'!G:G,A1346+1)</f>
        <v>6000</v>
      </c>
      <c r="D1346" s="11">
        <f t="shared" si="61"/>
        <v>933626401.15999961</v>
      </c>
      <c r="E1346" s="10">
        <f t="shared" si="62"/>
        <v>0.99793202914222268</v>
      </c>
    </row>
    <row r="1347" spans="1:5">
      <c r="A1347">
        <f t="shared" si="60"/>
        <v>1346</v>
      </c>
      <c r="B1347" t="str" cm="1">
        <f t="array" ref="B1347">INDEX('Enriched Data'!C:C,A1347+1)</f>
        <v>Remco Business Center, LLC</v>
      </c>
      <c r="C1347" s="11" cm="1">
        <f t="array" ref="C1347">INDEX('Enriched Data'!G:G,A1347+1)</f>
        <v>6000</v>
      </c>
      <c r="D1347" s="11">
        <f t="shared" si="61"/>
        <v>933632401.15999961</v>
      </c>
      <c r="E1347" s="10">
        <f t="shared" si="62"/>
        <v>0.99793844240578011</v>
      </c>
    </row>
    <row r="1348" spans="1:5">
      <c r="A1348">
        <f t="shared" ref="A1348:A1411" si="63">A1347+1</f>
        <v>1347</v>
      </c>
      <c r="B1348" t="str" cm="1">
        <f t="array" ref="B1348">INDEX('Enriched Data'!C:C,A1348+1)</f>
        <v>Brook Construction Co., Inc.</v>
      </c>
      <c r="C1348" s="11" cm="1">
        <f t="array" ref="C1348">INDEX('Enriched Data'!G:G,A1348+1)</f>
        <v>6000</v>
      </c>
      <c r="D1348" s="11">
        <f t="shared" ref="D1348:D1411" si="64">D1347+C1348</f>
        <v>933638401.15999961</v>
      </c>
      <c r="E1348" s="10">
        <f t="shared" ref="E1348:E1411" si="65">D1348/$F$2</f>
        <v>0.99794485566933766</v>
      </c>
    </row>
    <row r="1349" spans="1:5">
      <c r="A1349">
        <f t="shared" si="63"/>
        <v>1348</v>
      </c>
      <c r="B1349" t="str" cm="1">
        <f t="array" ref="B1349">INDEX('Enriched Data'!C:C,A1349+1)</f>
        <v>Wilson David Antoine</v>
      </c>
      <c r="C1349" s="11" cm="1">
        <f t="array" ref="C1349">INDEX('Enriched Data'!G:G,A1349+1)</f>
        <v>6000</v>
      </c>
      <c r="D1349" s="11">
        <f t="shared" si="64"/>
        <v>933644401.15999961</v>
      </c>
      <c r="E1349" s="10">
        <f t="shared" si="65"/>
        <v>0.9979512689328951</v>
      </c>
    </row>
    <row r="1350" spans="1:5">
      <c r="A1350">
        <f t="shared" si="63"/>
        <v>1349</v>
      </c>
      <c r="B1350" t="str" cm="1">
        <f t="array" ref="B1350">INDEX('Enriched Data'!C:C,A1350+1)</f>
        <v>Alyssa Lora</v>
      </c>
      <c r="C1350" s="11" cm="1">
        <f t="array" ref="C1350">INDEX('Enriched Data'!G:G,A1350+1)</f>
        <v>6000</v>
      </c>
      <c r="D1350" s="11">
        <f t="shared" si="64"/>
        <v>933650401.15999961</v>
      </c>
      <c r="E1350" s="10">
        <f t="shared" si="65"/>
        <v>0.99795768219645253</v>
      </c>
    </row>
    <row r="1351" spans="1:5">
      <c r="A1351">
        <f t="shared" si="63"/>
        <v>1350</v>
      </c>
      <c r="B1351" t="str" cm="1">
        <f t="array" ref="B1351">INDEX('Enriched Data'!C:C,A1351+1)</f>
        <v>Southside Trailer Service</v>
      </c>
      <c r="C1351" s="11" cm="1">
        <f t="array" ref="C1351">INDEX('Enriched Data'!G:G,A1351+1)</f>
        <v>6000</v>
      </c>
      <c r="D1351" s="11">
        <f t="shared" si="64"/>
        <v>933656401.15999961</v>
      </c>
      <c r="E1351" s="10">
        <f t="shared" si="65"/>
        <v>0.99796409546001008</v>
      </c>
    </row>
    <row r="1352" spans="1:5">
      <c r="A1352">
        <f t="shared" si="63"/>
        <v>1351</v>
      </c>
      <c r="B1352" t="str" cm="1">
        <f t="array" ref="B1352">INDEX('Enriched Data'!C:C,A1352+1)</f>
        <v>Propane Central-Wichita</v>
      </c>
      <c r="C1352" s="11" cm="1">
        <f t="array" ref="C1352">INDEX('Enriched Data'!G:G,A1352+1)</f>
        <v>5980.54</v>
      </c>
      <c r="D1352" s="11">
        <f t="shared" si="64"/>
        <v>933662381.69999957</v>
      </c>
      <c r="E1352" s="10">
        <f t="shared" si="65"/>
        <v>0.99797048792321597</v>
      </c>
    </row>
    <row r="1353" spans="1:5">
      <c r="A1353">
        <f t="shared" si="63"/>
        <v>1352</v>
      </c>
      <c r="B1353" t="str" cm="1">
        <f t="array" ref="B1353">INDEX('Enriched Data'!C:C,A1353+1)</f>
        <v>Empire Fire Systems, LLC</v>
      </c>
      <c r="C1353" s="11" cm="1">
        <f t="array" ref="C1353">INDEX('Enriched Data'!G:G,A1353+1)</f>
        <v>5976.01</v>
      </c>
      <c r="D1353" s="11">
        <f t="shared" si="64"/>
        <v>933668357.70999956</v>
      </c>
      <c r="E1353" s="10">
        <f t="shared" si="65"/>
        <v>0.99797687554440795</v>
      </c>
    </row>
    <row r="1354" spans="1:5">
      <c r="A1354">
        <f t="shared" si="63"/>
        <v>1353</v>
      </c>
      <c r="B1354" t="str" cm="1">
        <f t="array" ref="B1354">INDEX('Enriched Data'!C:C,A1354+1)</f>
        <v>CWPM LLC</v>
      </c>
      <c r="C1354" s="11" cm="1">
        <f t="array" ref="C1354">INDEX('Enriched Data'!G:G,A1354+1)</f>
        <v>5975.52</v>
      </c>
      <c r="D1354" s="11">
        <f t="shared" si="64"/>
        <v>933674333.22999954</v>
      </c>
      <c r="E1354" s="10">
        <f t="shared" si="65"/>
        <v>0.99798326264185011</v>
      </c>
    </row>
    <row r="1355" spans="1:5">
      <c r="A1355">
        <f t="shared" si="63"/>
        <v>1354</v>
      </c>
      <c r="B1355" t="str" cm="1">
        <f t="array" ref="B1355">INDEX('Enriched Data'!C:C,A1355+1)</f>
        <v>Walton Management Services Inc.</v>
      </c>
      <c r="C1355" s="11" cm="1">
        <f t="array" ref="C1355">INDEX('Enriched Data'!G:G,A1355+1)</f>
        <v>5974.54</v>
      </c>
      <c r="D1355" s="11">
        <f t="shared" si="64"/>
        <v>933680307.7699995</v>
      </c>
      <c r="E1355" s="10">
        <f t="shared" si="65"/>
        <v>0.99798964869179252</v>
      </c>
    </row>
    <row r="1356" spans="1:5">
      <c r="A1356">
        <f t="shared" si="63"/>
        <v>1355</v>
      </c>
      <c r="B1356" t="str" cm="1">
        <f t="array" ref="B1356">INDEX('Enriched Data'!C:C,A1356+1)</f>
        <v>Commercial Shelving Inc</v>
      </c>
      <c r="C1356" s="11" cm="1">
        <f t="array" ref="C1356">INDEX('Enriched Data'!G:G,A1356+1)</f>
        <v>5958.09</v>
      </c>
      <c r="D1356" s="11">
        <f t="shared" si="64"/>
        <v>933686265.85999954</v>
      </c>
      <c r="E1356" s="10">
        <f t="shared" si="65"/>
        <v>0.99799601715870412</v>
      </c>
    </row>
    <row r="1357" spans="1:5">
      <c r="A1357">
        <f t="shared" si="63"/>
        <v>1356</v>
      </c>
      <c r="B1357" t="str" cm="1">
        <f t="array" ref="B1357">INDEX('Enriched Data'!C:C,A1357+1)</f>
        <v>Sean Joubert</v>
      </c>
      <c r="C1357" s="11" cm="1">
        <f t="array" ref="C1357">INDEX('Enriched Data'!G:G,A1357+1)</f>
        <v>5950</v>
      </c>
      <c r="D1357" s="11">
        <f t="shared" si="64"/>
        <v>933692215.85999954</v>
      </c>
      <c r="E1357" s="10">
        <f t="shared" si="65"/>
        <v>0.99800237697839855</v>
      </c>
    </row>
    <row r="1358" spans="1:5">
      <c r="A1358">
        <f t="shared" si="63"/>
        <v>1357</v>
      </c>
      <c r="B1358" t="str" cm="1">
        <f t="array" ref="B1358">INDEX('Enriched Data'!C:C,A1358+1)</f>
        <v>Super-Save Enterprises, Ltd.</v>
      </c>
      <c r="C1358" s="11" cm="1">
        <f t="array" ref="C1358">INDEX('Enriched Data'!G:G,A1358+1)</f>
        <v>5946.89</v>
      </c>
      <c r="D1358" s="11">
        <f t="shared" si="64"/>
        <v>933698162.74999952</v>
      </c>
      <c r="E1358" s="10">
        <f t="shared" si="65"/>
        <v>0.99800873347388475</v>
      </c>
    </row>
    <row r="1359" spans="1:5">
      <c r="A1359">
        <f t="shared" si="63"/>
        <v>1358</v>
      </c>
      <c r="B1359" t="str" cm="1">
        <f t="array" ref="B1359">INDEX('Enriched Data'!C:C,A1359+1)</f>
        <v>Ready Refresh-856680</v>
      </c>
      <c r="C1359" s="11" cm="1">
        <f t="array" ref="C1359">INDEX('Enriched Data'!G:G,A1359+1)</f>
        <v>5941.94</v>
      </c>
      <c r="D1359" s="11">
        <f t="shared" si="64"/>
        <v>933704104.68999958</v>
      </c>
      <c r="E1359" s="10">
        <f t="shared" si="65"/>
        <v>0.99801508467842859</v>
      </c>
    </row>
    <row r="1360" spans="1:5">
      <c r="A1360">
        <f t="shared" si="63"/>
        <v>1359</v>
      </c>
      <c r="B1360" t="str" cm="1">
        <f t="array" ref="B1360">INDEX('Enriched Data'!C:C,A1360+1)</f>
        <v>Tags Hawaii, Inc.</v>
      </c>
      <c r="C1360" s="11" cm="1">
        <f t="array" ref="C1360">INDEX('Enriched Data'!G:G,A1360+1)</f>
        <v>5916.74</v>
      </c>
      <c r="D1360" s="11">
        <f t="shared" si="64"/>
        <v>933710021.42999959</v>
      </c>
      <c r="E1360" s="10">
        <f t="shared" si="65"/>
        <v>0.99802140894726554</v>
      </c>
    </row>
    <row r="1361" spans="1:5">
      <c r="A1361">
        <f t="shared" si="63"/>
        <v>1360</v>
      </c>
      <c r="B1361" t="str" cm="1">
        <f t="array" ref="B1361">INDEX('Enriched Data'!C:C,A1361+1)</f>
        <v>Global Mobility Solutions</v>
      </c>
      <c r="C1361" s="11" cm="1">
        <f t="array" ref="C1361">INDEX('Enriched Data'!G:G,A1361+1)</f>
        <v>5896.96</v>
      </c>
      <c r="D1361" s="11">
        <f t="shared" si="64"/>
        <v>933715918.38999963</v>
      </c>
      <c r="E1361" s="10">
        <f t="shared" si="65"/>
        <v>0.99802771207371022</v>
      </c>
    </row>
    <row r="1362" spans="1:5">
      <c r="A1362">
        <f t="shared" si="63"/>
        <v>1361</v>
      </c>
      <c r="B1362" t="str" cm="1">
        <f t="array" ref="B1362">INDEX('Enriched Data'!C:C,A1362+1)</f>
        <v>Just Green Lawn and Landscaping</v>
      </c>
      <c r="C1362" s="11" cm="1">
        <f t="array" ref="C1362">INDEX('Enriched Data'!G:G,A1362+1)</f>
        <v>5895</v>
      </c>
      <c r="D1362" s="11">
        <f t="shared" si="64"/>
        <v>933721813.38999963</v>
      </c>
      <c r="E1362" s="10">
        <f t="shared" si="65"/>
        <v>0.99803401310515538</v>
      </c>
    </row>
    <row r="1363" spans="1:5">
      <c r="A1363">
        <f t="shared" si="63"/>
        <v>1362</v>
      </c>
      <c r="B1363" t="str" cm="1">
        <f t="array" ref="B1363">INDEX('Enriched Data'!C:C,A1363+1)</f>
        <v>National Fire &amp; Safety Inc</v>
      </c>
      <c r="C1363" s="11" cm="1">
        <f t="array" ref="C1363">INDEX('Enriched Data'!G:G,A1363+1)</f>
        <v>5893.59</v>
      </c>
      <c r="D1363" s="11">
        <f t="shared" si="64"/>
        <v>933727706.97999966</v>
      </c>
      <c r="E1363" s="10">
        <f t="shared" si="65"/>
        <v>0.99804031262948367</v>
      </c>
    </row>
    <row r="1364" spans="1:5">
      <c r="A1364">
        <f t="shared" si="63"/>
        <v>1363</v>
      </c>
      <c r="B1364" t="str" cm="1">
        <f t="array" ref="B1364">INDEX('Enriched Data'!C:C,A1364+1)</f>
        <v>JK Johns Roofing &amp; Sheet Metal, Inc</v>
      </c>
      <c r="C1364" s="11" cm="1">
        <f t="array" ref="C1364">INDEX('Enriched Data'!G:G,A1364+1)</f>
        <v>5879</v>
      </c>
      <c r="D1364" s="11">
        <f t="shared" si="64"/>
        <v>933733585.97999966</v>
      </c>
      <c r="E1364" s="10">
        <f t="shared" si="65"/>
        <v>0.99804659655889272</v>
      </c>
    </row>
    <row r="1365" spans="1:5">
      <c r="A1365">
        <f t="shared" si="63"/>
        <v>1364</v>
      </c>
      <c r="B1365" t="str" cm="1">
        <f t="array" ref="B1365">INDEX('Enriched Data'!C:C,A1365+1)</f>
        <v>Albuquerque Plumbing, Heat and Cool</v>
      </c>
      <c r="C1365" s="11" cm="1">
        <f t="array" ref="C1365">INDEX('Enriched Data'!G:G,A1365+1)</f>
        <v>5836.53</v>
      </c>
      <c r="D1365" s="11">
        <f t="shared" si="64"/>
        <v>933739422.50999963</v>
      </c>
      <c r="E1365" s="10">
        <f t="shared" si="65"/>
        <v>0.99805283509308462</v>
      </c>
    </row>
    <row r="1366" spans="1:5">
      <c r="A1366">
        <f t="shared" si="63"/>
        <v>1365</v>
      </c>
      <c r="B1366" t="str" cm="1">
        <f t="array" ref="B1366">INDEX('Enriched Data'!C:C,A1366+1)</f>
        <v>Memphis Maids, LLC</v>
      </c>
      <c r="C1366" s="11" cm="1">
        <f t="array" ref="C1366">INDEX('Enriched Data'!G:G,A1366+1)</f>
        <v>5831</v>
      </c>
      <c r="D1366" s="11">
        <f t="shared" si="64"/>
        <v>933745253.50999963</v>
      </c>
      <c r="E1366" s="10">
        <f t="shared" si="65"/>
        <v>0.9980590677163852</v>
      </c>
    </row>
    <row r="1367" spans="1:5">
      <c r="A1367">
        <f t="shared" si="63"/>
        <v>1366</v>
      </c>
      <c r="B1367" t="str" cm="1">
        <f t="array" ref="B1367">INDEX('Enriched Data'!C:C,A1367+1)</f>
        <v>ChemStation Chicago LLC</v>
      </c>
      <c r="C1367" s="11" cm="1">
        <f t="array" ref="C1367">INDEX('Enriched Data'!G:G,A1367+1)</f>
        <v>5830.01</v>
      </c>
      <c r="D1367" s="11">
        <f t="shared" si="64"/>
        <v>933751083.51999962</v>
      </c>
      <c r="E1367" s="10">
        <f t="shared" si="65"/>
        <v>0.99806529928149734</v>
      </c>
    </row>
    <row r="1368" spans="1:5">
      <c r="A1368">
        <f t="shared" si="63"/>
        <v>1367</v>
      </c>
      <c r="B1368" t="str" cm="1">
        <f t="array" ref="B1368">INDEX('Enriched Data'!C:C,A1368+1)</f>
        <v>Custom Pump &amp; Controls</v>
      </c>
      <c r="C1368" s="11" cm="1">
        <f t="array" ref="C1368">INDEX('Enriched Data'!G:G,A1368+1)</f>
        <v>5830</v>
      </c>
      <c r="D1368" s="11">
        <f t="shared" si="64"/>
        <v>933756913.51999962</v>
      </c>
      <c r="E1368" s="10">
        <f t="shared" si="65"/>
        <v>0.9980715308359206</v>
      </c>
    </row>
    <row r="1369" spans="1:5">
      <c r="A1369">
        <f t="shared" si="63"/>
        <v>1368</v>
      </c>
      <c r="B1369" t="str" cm="1">
        <f t="array" ref="B1369">INDEX('Enriched Data'!C:C,A1369+1)</f>
        <v>Affordable Truck Tires</v>
      </c>
      <c r="C1369" s="11" cm="1">
        <f t="array" ref="C1369">INDEX('Enriched Data'!G:G,A1369+1)</f>
        <v>5819.12</v>
      </c>
      <c r="D1369" s="11">
        <f t="shared" si="64"/>
        <v>933762732.63999963</v>
      </c>
      <c r="E1369" s="10">
        <f t="shared" si="65"/>
        <v>0.99807775076095939</v>
      </c>
    </row>
    <row r="1370" spans="1:5">
      <c r="A1370">
        <f t="shared" si="63"/>
        <v>1369</v>
      </c>
      <c r="B1370" t="str" cm="1">
        <f t="array" ref="B1370">INDEX('Enriched Data'!C:C,A1370+1)</f>
        <v>AAA Tire Company Inc</v>
      </c>
      <c r="C1370" s="11" cm="1">
        <f t="array" ref="C1370">INDEX('Enriched Data'!G:G,A1370+1)</f>
        <v>5816.31</v>
      </c>
      <c r="D1370" s="11">
        <f t="shared" si="64"/>
        <v>933768548.94999957</v>
      </c>
      <c r="E1370" s="10">
        <f t="shared" si="65"/>
        <v>0.998083967682453</v>
      </c>
    </row>
    <row r="1371" spans="1:5">
      <c r="A1371">
        <f t="shared" si="63"/>
        <v>1370</v>
      </c>
      <c r="B1371" t="str" cm="1">
        <f t="array" ref="B1371">INDEX('Enriched Data'!C:C,A1371+1)</f>
        <v>Perfection Lawn Care &amp; Mntc,</v>
      </c>
      <c r="C1371" s="11" cm="1">
        <f t="array" ref="C1371">INDEX('Enriched Data'!G:G,A1371+1)</f>
        <v>5800</v>
      </c>
      <c r="D1371" s="11">
        <f t="shared" si="64"/>
        <v>933774348.94999957</v>
      </c>
      <c r="E1371" s="10">
        <f t="shared" si="65"/>
        <v>0.99809016717055854</v>
      </c>
    </row>
    <row r="1372" spans="1:5">
      <c r="A1372">
        <f t="shared" si="63"/>
        <v>1371</v>
      </c>
      <c r="B1372" t="str" cm="1">
        <f t="array" ref="B1372">INDEX('Enriched Data'!C:C,A1372+1)</f>
        <v>The UPS Store Inc</v>
      </c>
      <c r="C1372" s="11" cm="1">
        <f t="array" ref="C1372">INDEX('Enriched Data'!G:G,A1372+1)</f>
        <v>5772.27</v>
      </c>
      <c r="D1372" s="11">
        <f t="shared" si="64"/>
        <v>933780121.21999955</v>
      </c>
      <c r="E1372" s="10">
        <f t="shared" si="65"/>
        <v>0.99809633701869771</v>
      </c>
    </row>
    <row r="1373" spans="1:5">
      <c r="A1373">
        <f t="shared" si="63"/>
        <v>1372</v>
      </c>
      <c r="B1373" t="str" cm="1">
        <f t="array" ref="B1373">INDEX('Enriched Data'!C:C,A1373+1)</f>
        <v>Overdoors of Illinois</v>
      </c>
      <c r="C1373" s="11" cm="1">
        <f t="array" ref="C1373">INDEX('Enriched Data'!G:G,A1373+1)</f>
        <v>5759.54</v>
      </c>
      <c r="D1373" s="11">
        <f t="shared" si="64"/>
        <v>933785880.75999951</v>
      </c>
      <c r="E1373" s="10">
        <f t="shared" si="65"/>
        <v>0.99810249326002931</v>
      </c>
    </row>
    <row r="1374" spans="1:5">
      <c r="A1374">
        <f t="shared" si="63"/>
        <v>1373</v>
      </c>
      <c r="B1374" t="str" cm="1">
        <f t="array" ref="B1374">INDEX('Enriched Data'!C:C,A1374+1)</f>
        <v>Stewart &amp; Stevenson FDDA LLC</v>
      </c>
      <c r="C1374" s="11" cm="1">
        <f t="array" ref="C1374">INDEX('Enriched Data'!G:G,A1374+1)</f>
        <v>5724.92</v>
      </c>
      <c r="D1374" s="11">
        <f t="shared" si="64"/>
        <v>933791605.67999947</v>
      </c>
      <c r="E1374" s="10">
        <f t="shared" si="65"/>
        <v>0.99810861249683014</v>
      </c>
    </row>
    <row r="1375" spans="1:5">
      <c r="A1375">
        <f t="shared" si="63"/>
        <v>1374</v>
      </c>
      <c r="B1375" t="str" cm="1">
        <f t="array" ref="B1375">INDEX('Enriched Data'!C:C,A1375+1)</f>
        <v>Black Equipment Company East, Inc.</v>
      </c>
      <c r="C1375" s="11" cm="1">
        <f t="array" ref="C1375">INDEX('Enriched Data'!G:G,A1375+1)</f>
        <v>5678.49</v>
      </c>
      <c r="D1375" s="11">
        <f t="shared" si="64"/>
        <v>933797284.16999948</v>
      </c>
      <c r="E1375" s="10">
        <f t="shared" si="65"/>
        <v>0.9981146821056599</v>
      </c>
    </row>
    <row r="1376" spans="1:5">
      <c r="A1376">
        <f t="shared" si="63"/>
        <v>1375</v>
      </c>
      <c r="B1376" t="str" cm="1">
        <f t="array" ref="B1376">INDEX('Enriched Data'!C:C,A1376+1)</f>
        <v>D&amp;K Pitchers Auto Salvage Inc</v>
      </c>
      <c r="C1376" s="11" cm="1">
        <f t="array" ref="C1376">INDEX('Enriched Data'!G:G,A1376+1)</f>
        <v>5675</v>
      </c>
      <c r="D1376" s="11">
        <f t="shared" si="64"/>
        <v>933802959.16999948</v>
      </c>
      <c r="E1376" s="10">
        <f t="shared" si="65"/>
        <v>0.99812074798410799</v>
      </c>
    </row>
    <row r="1377" spans="1:5">
      <c r="A1377">
        <f t="shared" si="63"/>
        <v>1376</v>
      </c>
      <c r="B1377" t="str" cm="1">
        <f t="array" ref="B1377">INDEX('Enriched Data'!C:C,A1377+1)</f>
        <v>Perfect Detail MI</v>
      </c>
      <c r="C1377" s="11" cm="1">
        <f t="array" ref="C1377">INDEX('Enriched Data'!G:G,A1377+1)</f>
        <v>5655</v>
      </c>
      <c r="D1377" s="11">
        <f t="shared" si="64"/>
        <v>933808614.16999948</v>
      </c>
      <c r="E1377" s="10">
        <f t="shared" si="65"/>
        <v>0.99812679248501091</v>
      </c>
    </row>
    <row r="1378" spans="1:5">
      <c r="A1378">
        <f t="shared" si="63"/>
        <v>1377</v>
      </c>
      <c r="B1378" t="str" cm="1">
        <f t="array" ref="B1378">INDEX('Enriched Data'!C:C,A1378+1)</f>
        <v>Prestige Yardscapes &amp; Snow Mgt</v>
      </c>
      <c r="C1378" s="11" cm="1">
        <f t="array" ref="C1378">INDEX('Enriched Data'!G:G,A1378+1)</f>
        <v>5648</v>
      </c>
      <c r="D1378" s="11">
        <f t="shared" si="64"/>
        <v>933814262.16999948</v>
      </c>
      <c r="E1378" s="10">
        <f t="shared" si="65"/>
        <v>0.99813282950377302</v>
      </c>
    </row>
    <row r="1379" spans="1:5">
      <c r="A1379">
        <f t="shared" si="63"/>
        <v>1378</v>
      </c>
      <c r="B1379" t="str" cm="1">
        <f t="array" ref="B1379">INDEX('Enriched Data'!C:C,A1379+1)</f>
        <v>A2B Hotshots, LLC</v>
      </c>
      <c r="C1379" s="11" cm="1">
        <f t="array" ref="C1379">INDEX('Enriched Data'!G:G,A1379+1)</f>
        <v>5600</v>
      </c>
      <c r="D1379" s="11">
        <f t="shared" si="64"/>
        <v>933819862.16999948</v>
      </c>
      <c r="E1379" s="10">
        <f t="shared" si="65"/>
        <v>0.99813881521642667</v>
      </c>
    </row>
    <row r="1380" spans="1:5">
      <c r="A1380">
        <f t="shared" si="63"/>
        <v>1379</v>
      </c>
      <c r="B1380" t="str" cm="1">
        <f t="array" ref="B1380">INDEX('Enriched Data'!C:C,A1380+1)</f>
        <v>Avenir Energy Ltd</v>
      </c>
      <c r="C1380" s="11" cm="1">
        <f t="array" ref="C1380">INDEX('Enriched Data'!G:G,A1380+1)</f>
        <v>5591.55</v>
      </c>
      <c r="D1380" s="11">
        <f t="shared" si="64"/>
        <v>933825453.71999943</v>
      </c>
      <c r="E1380" s="10">
        <f t="shared" si="65"/>
        <v>0.9981447918970674</v>
      </c>
    </row>
    <row r="1381" spans="1:5">
      <c r="A1381">
        <f t="shared" si="63"/>
        <v>1380</v>
      </c>
      <c r="B1381" t="str" cm="1">
        <f t="array" ref="B1381">INDEX('Enriched Data'!C:C,A1381+1)</f>
        <v>Xtreme Fleet Maintenance, LLC</v>
      </c>
      <c r="C1381" s="11" cm="1">
        <f t="array" ref="C1381">INDEX('Enriched Data'!G:G,A1381+1)</f>
        <v>5586.68</v>
      </c>
      <c r="D1381" s="11">
        <f t="shared" si="64"/>
        <v>933831040.39999938</v>
      </c>
      <c r="E1381" s="10">
        <f t="shared" si="65"/>
        <v>0.99815076337227593</v>
      </c>
    </row>
    <row r="1382" spans="1:5">
      <c r="A1382">
        <f t="shared" si="63"/>
        <v>1381</v>
      </c>
      <c r="B1382" t="str" cm="1">
        <f t="array" ref="B1382">INDEX('Enriched Data'!C:C,A1382+1)</f>
        <v>eTEC Fire Protection LLC</v>
      </c>
      <c r="C1382" s="11" cm="1">
        <f t="array" ref="C1382">INDEX('Enriched Data'!G:G,A1382+1)</f>
        <v>5581</v>
      </c>
      <c r="D1382" s="11">
        <f t="shared" si="64"/>
        <v>933836621.39999938</v>
      </c>
      <c r="E1382" s="10">
        <f t="shared" si="65"/>
        <v>0.9981567287762616</v>
      </c>
    </row>
    <row r="1383" spans="1:5">
      <c r="A1383">
        <f t="shared" si="63"/>
        <v>1382</v>
      </c>
      <c r="B1383" t="str" cm="1">
        <f t="array" ref="B1383">INDEX('Enriched Data'!C:C,A1383+1)</f>
        <v>Getty Images Inc</v>
      </c>
      <c r="C1383" s="11" cm="1">
        <f t="array" ref="C1383">INDEX('Enriched Data'!G:G,A1383+1)</f>
        <v>5570</v>
      </c>
      <c r="D1383" s="11">
        <f t="shared" si="64"/>
        <v>933842191.39999938</v>
      </c>
      <c r="E1383" s="10">
        <f t="shared" si="65"/>
        <v>0.99816268242259742</v>
      </c>
    </row>
    <row r="1384" spans="1:5">
      <c r="A1384">
        <f t="shared" si="63"/>
        <v>1383</v>
      </c>
      <c r="B1384" t="str" cm="1">
        <f t="array" ref="B1384">INDEX('Enriched Data'!C:C,A1384+1)</f>
        <v>Trupar America INC</v>
      </c>
      <c r="C1384" s="11" cm="1">
        <f t="array" ref="C1384">INDEX('Enriched Data'!G:G,A1384+1)</f>
        <v>5561.03</v>
      </c>
      <c r="D1384" s="11">
        <f t="shared" si="64"/>
        <v>933847752.42999935</v>
      </c>
      <c r="E1384" s="10">
        <f t="shared" si="65"/>
        <v>0.99816862648110427</v>
      </c>
    </row>
    <row r="1385" spans="1:5">
      <c r="A1385">
        <f t="shared" si="63"/>
        <v>1384</v>
      </c>
      <c r="B1385" t="str" cm="1">
        <f t="array" ref="B1385">INDEX('Enriched Data'!C:C,A1385+1)</f>
        <v>Leslie A Baker</v>
      </c>
      <c r="C1385" s="11" cm="1">
        <f t="array" ref="C1385">INDEX('Enriched Data'!G:G,A1385+1)</f>
        <v>5547.5</v>
      </c>
      <c r="D1385" s="11">
        <f t="shared" si="64"/>
        <v>933853299.92999935</v>
      </c>
      <c r="E1385" s="10">
        <f t="shared" si="65"/>
        <v>0.99817455607770178</v>
      </c>
    </row>
    <row r="1386" spans="1:5">
      <c r="A1386">
        <f t="shared" si="63"/>
        <v>1385</v>
      </c>
      <c r="B1386" t="str" cm="1">
        <f t="array" ref="B1386">INDEX('Enriched Data'!C:C,A1386+1)</f>
        <v>Colorado Mechanical Systems, Inc.</v>
      </c>
      <c r="C1386" s="11" cm="1">
        <f t="array" ref="C1386">INDEX('Enriched Data'!G:G,A1386+1)</f>
        <v>5507.44</v>
      </c>
      <c r="D1386" s="11">
        <f t="shared" si="64"/>
        <v>933858807.36999941</v>
      </c>
      <c r="E1386" s="10">
        <f t="shared" si="65"/>
        <v>0.99818044285507634</v>
      </c>
    </row>
    <row r="1387" spans="1:5">
      <c r="A1387">
        <f t="shared" si="63"/>
        <v>1386</v>
      </c>
      <c r="B1387" t="str" cm="1">
        <f t="array" ref="B1387">INDEX('Enriched Data'!C:C,A1387+1)</f>
        <v>Solid Home LLC</v>
      </c>
      <c r="C1387" s="11" cm="1">
        <f t="array" ref="C1387">INDEX('Enriched Data'!G:G,A1387+1)</f>
        <v>5450</v>
      </c>
      <c r="D1387" s="11">
        <f t="shared" si="64"/>
        <v>933864257.36999941</v>
      </c>
      <c r="E1387" s="10">
        <f t="shared" si="65"/>
        <v>0.99818626823614098</v>
      </c>
    </row>
    <row r="1388" spans="1:5">
      <c r="A1388">
        <f t="shared" si="63"/>
        <v>1387</v>
      </c>
      <c r="B1388" t="str" cm="1">
        <f t="array" ref="B1388">INDEX('Enriched Data'!C:C,A1388+1)</f>
        <v>Gem City Tire</v>
      </c>
      <c r="C1388" s="11" cm="1">
        <f t="array" ref="C1388">INDEX('Enriched Data'!G:G,A1388+1)</f>
        <v>5446.39</v>
      </c>
      <c r="D1388" s="11">
        <f t="shared" si="64"/>
        <v>933869703.75999939</v>
      </c>
      <c r="E1388" s="10">
        <f t="shared" si="65"/>
        <v>0.99819208975855878</v>
      </c>
    </row>
    <row r="1389" spans="1:5">
      <c r="A1389">
        <f t="shared" si="63"/>
        <v>1388</v>
      </c>
      <c r="B1389" t="str" cm="1">
        <f t="array" ref="B1389">INDEX('Enriched Data'!C:C,A1389+1)</f>
        <v>The American Legion</v>
      </c>
      <c r="C1389" s="11" cm="1">
        <f t="array" ref="C1389">INDEX('Enriched Data'!G:G,A1389+1)</f>
        <v>5433.95</v>
      </c>
      <c r="D1389" s="11">
        <f t="shared" si="64"/>
        <v>933875137.70999944</v>
      </c>
      <c r="E1389" s="10">
        <f t="shared" si="65"/>
        <v>0.9981978979841436</v>
      </c>
    </row>
    <row r="1390" spans="1:5">
      <c r="A1390">
        <f t="shared" si="63"/>
        <v>1389</v>
      </c>
      <c r="B1390" t="str" cm="1">
        <f t="array" ref="B1390">INDEX('Enriched Data'!C:C,A1390+1)</f>
        <v>KKJ, dba Jan Pro Fran Dev of NEPA</v>
      </c>
      <c r="C1390" s="11" cm="1">
        <f t="array" ref="C1390">INDEX('Enriched Data'!G:G,A1390+1)</f>
        <v>5419.04</v>
      </c>
      <c r="D1390" s="11">
        <f t="shared" si="64"/>
        <v>933880556.7499994</v>
      </c>
      <c r="E1390" s="10">
        <f t="shared" si="65"/>
        <v>0.99820369027276823</v>
      </c>
    </row>
    <row r="1391" spans="1:5">
      <c r="A1391">
        <f t="shared" si="63"/>
        <v>1390</v>
      </c>
      <c r="B1391" t="str" cm="1">
        <f t="array" ref="B1391">INDEX('Enriched Data'!C:C,A1391+1)</f>
        <v>McKinney Trailer Rental</v>
      </c>
      <c r="C1391" s="11" cm="1">
        <f t="array" ref="C1391">INDEX('Enriched Data'!G:G,A1391+1)</f>
        <v>5415.88</v>
      </c>
      <c r="D1391" s="11">
        <f t="shared" si="64"/>
        <v>933885972.6299994</v>
      </c>
      <c r="E1391" s="10">
        <f t="shared" si="65"/>
        <v>0.99820947918374092</v>
      </c>
    </row>
    <row r="1392" spans="1:5">
      <c r="A1392">
        <f t="shared" si="63"/>
        <v>1391</v>
      </c>
      <c r="B1392" t="str" cm="1">
        <f t="array" ref="B1392">INDEX('Enriched Data'!C:C,A1392+1)</f>
        <v>Dutchess Overhead Door Inc.</v>
      </c>
      <c r="C1392" s="11" cm="1">
        <f t="array" ref="C1392">INDEX('Enriched Data'!G:G,A1392+1)</f>
        <v>5412.96</v>
      </c>
      <c r="D1392" s="11">
        <f t="shared" si="64"/>
        <v>933891385.58999944</v>
      </c>
      <c r="E1392" s="10">
        <f t="shared" si="65"/>
        <v>0.99821526497359192</v>
      </c>
    </row>
    <row r="1393" spans="1:5">
      <c r="A1393">
        <f t="shared" si="63"/>
        <v>1392</v>
      </c>
      <c r="B1393" t="str" cm="1">
        <f t="array" ref="B1393">INDEX('Enriched Data'!C:C,A1393+1)</f>
        <v>MooveGuru, Inc</v>
      </c>
      <c r="C1393" s="11" cm="1">
        <f t="array" ref="C1393">INDEX('Enriched Data'!G:G,A1393+1)</f>
        <v>5400.41</v>
      </c>
      <c r="D1393" s="11">
        <f t="shared" si="64"/>
        <v>933896785.9999994</v>
      </c>
      <c r="E1393" s="10">
        <f t="shared" si="65"/>
        <v>0.99822103734903334</v>
      </c>
    </row>
    <row r="1394" spans="1:5">
      <c r="A1394">
        <f t="shared" si="63"/>
        <v>1393</v>
      </c>
      <c r="B1394" t="str" cm="1">
        <f t="array" ref="B1394">INDEX('Enriched Data'!C:C,A1394+1)</f>
        <v>Next Step Strategies LLC</v>
      </c>
      <c r="C1394" s="11" cm="1">
        <f t="array" ref="C1394">INDEX('Enriched Data'!G:G,A1394+1)</f>
        <v>5400</v>
      </c>
      <c r="D1394" s="11">
        <f t="shared" si="64"/>
        <v>933902185.9999994</v>
      </c>
      <c r="E1394" s="10">
        <f t="shared" si="65"/>
        <v>0.99822680928623497</v>
      </c>
    </row>
    <row r="1395" spans="1:5">
      <c r="A1395">
        <f t="shared" si="63"/>
        <v>1394</v>
      </c>
      <c r="B1395" t="str" cm="1">
        <f t="array" ref="B1395">INDEX('Enriched Data'!C:C,A1395+1)</f>
        <v>Powertown LLC dba Forklifts NH</v>
      </c>
      <c r="C1395" s="11" cm="1">
        <f t="array" ref="C1395">INDEX('Enriched Data'!G:G,A1395+1)</f>
        <v>5376.76</v>
      </c>
      <c r="D1395" s="11">
        <f t="shared" si="64"/>
        <v>933907562.75999939</v>
      </c>
      <c r="E1395" s="10">
        <f t="shared" si="65"/>
        <v>0.99823255638272923</v>
      </c>
    </row>
    <row r="1396" spans="1:5">
      <c r="A1396">
        <f t="shared" si="63"/>
        <v>1395</v>
      </c>
      <c r="B1396" t="str" cm="1">
        <f t="array" ref="B1396">INDEX('Enriched Data'!C:C,A1396+1)</f>
        <v>First Security</v>
      </c>
      <c r="C1396" s="11" cm="1">
        <f t="array" ref="C1396">INDEX('Enriched Data'!G:G,A1396+1)</f>
        <v>5363.89</v>
      </c>
      <c r="D1396" s="11">
        <f t="shared" si="64"/>
        <v>933912926.64999938</v>
      </c>
      <c r="E1396" s="10">
        <f t="shared" si="65"/>
        <v>0.99823828972277306</v>
      </c>
    </row>
    <row r="1397" spans="1:5">
      <c r="A1397">
        <f t="shared" si="63"/>
        <v>1396</v>
      </c>
      <c r="B1397" t="str" cm="1">
        <f t="array" ref="B1397">INDEX('Enriched Data'!C:C,A1397+1)</f>
        <v>Silco Fire &amp; Security</v>
      </c>
      <c r="C1397" s="11" cm="1">
        <f t="array" ref="C1397">INDEX('Enriched Data'!G:G,A1397+1)</f>
        <v>5356.7</v>
      </c>
      <c r="D1397" s="11">
        <f t="shared" si="64"/>
        <v>933918283.34999943</v>
      </c>
      <c r="E1397" s="10">
        <f t="shared" si="65"/>
        <v>0.99824401537758956</v>
      </c>
    </row>
    <row r="1398" spans="1:5">
      <c r="A1398">
        <f t="shared" si="63"/>
        <v>1397</v>
      </c>
      <c r="B1398" t="str" cm="1">
        <f t="array" ref="B1398">INDEX('Enriched Data'!C:C,A1398+1)</f>
        <v>N&amp;S Automotive</v>
      </c>
      <c r="C1398" s="11" cm="1">
        <f t="array" ref="C1398">INDEX('Enriched Data'!G:G,A1398+1)</f>
        <v>5331.25</v>
      </c>
      <c r="D1398" s="11">
        <f t="shared" si="64"/>
        <v>933923614.59999943</v>
      </c>
      <c r="E1398" s="10">
        <f t="shared" si="65"/>
        <v>0.99824971382947969</v>
      </c>
    </row>
    <row r="1399" spans="1:5">
      <c r="A1399">
        <f t="shared" si="63"/>
        <v>1398</v>
      </c>
      <c r="B1399" t="str" cm="1">
        <f t="array" ref="B1399">INDEX('Enriched Data'!C:C,A1399+1)</f>
        <v>Rickey L Walker</v>
      </c>
      <c r="C1399" s="11" cm="1">
        <f t="array" ref="C1399">INDEX('Enriched Data'!G:G,A1399+1)</f>
        <v>5246.14</v>
      </c>
      <c r="D1399" s="11">
        <f t="shared" si="64"/>
        <v>933928860.73999941</v>
      </c>
      <c r="E1399" s="10">
        <f t="shared" si="65"/>
        <v>0.99825532130922623</v>
      </c>
    </row>
    <row r="1400" spans="1:5">
      <c r="A1400">
        <f t="shared" si="63"/>
        <v>1399</v>
      </c>
      <c r="B1400" t="str" cm="1">
        <f t="array" ref="B1400">INDEX('Enriched Data'!C:C,A1400+1)</f>
        <v>Sheila Frazier</v>
      </c>
      <c r="C1400" s="11" cm="1">
        <f t="array" ref="C1400">INDEX('Enriched Data'!G:G,A1400+1)</f>
        <v>5219.78</v>
      </c>
      <c r="D1400" s="11">
        <f t="shared" si="64"/>
        <v>933934080.51999938</v>
      </c>
      <c r="E1400" s="10">
        <f t="shared" si="65"/>
        <v>0.99826090061336814</v>
      </c>
    </row>
    <row r="1401" spans="1:5">
      <c r="A1401">
        <f t="shared" si="63"/>
        <v>1400</v>
      </c>
      <c r="B1401" t="str" cm="1">
        <f t="array" ref="B1401">INDEX('Enriched Data'!C:C,A1401+1)</f>
        <v>Aulani Commercial Services, LLC</v>
      </c>
      <c r="C1401" s="11" cm="1">
        <f t="array" ref="C1401">INDEX('Enriched Data'!G:G,A1401+1)</f>
        <v>5200</v>
      </c>
      <c r="D1401" s="11">
        <f t="shared" si="64"/>
        <v>933939280.51999938</v>
      </c>
      <c r="E1401" s="10">
        <f t="shared" si="65"/>
        <v>0.99826645877511799</v>
      </c>
    </row>
    <row r="1402" spans="1:5">
      <c r="A1402">
        <f t="shared" si="63"/>
        <v>1401</v>
      </c>
      <c r="B1402" t="str" cm="1">
        <f t="array" ref="B1402">INDEX('Enriched Data'!C:C,A1402+1)</f>
        <v>A&amp;A Hauling &amp; Concrete</v>
      </c>
      <c r="C1402" s="11" cm="1">
        <f t="array" ref="C1402">INDEX('Enriched Data'!G:G,A1402+1)</f>
        <v>5200</v>
      </c>
      <c r="D1402" s="11">
        <f t="shared" si="64"/>
        <v>933944480.51999938</v>
      </c>
      <c r="E1402" s="10">
        <f t="shared" si="65"/>
        <v>0.99827201693686773</v>
      </c>
    </row>
    <row r="1403" spans="1:5">
      <c r="A1403">
        <f t="shared" si="63"/>
        <v>1402</v>
      </c>
      <c r="B1403" t="str" cm="1">
        <f t="array" ref="B1403">INDEX('Enriched Data'!C:C,A1403+1)</f>
        <v>El Paso XCS, LLC</v>
      </c>
      <c r="C1403" s="11" cm="1">
        <f t="array" ref="C1403">INDEX('Enriched Data'!G:G,A1403+1)</f>
        <v>5185.1899999999996</v>
      </c>
      <c r="D1403" s="11">
        <f t="shared" si="64"/>
        <v>933949665.70999944</v>
      </c>
      <c r="E1403" s="10">
        <f t="shared" si="65"/>
        <v>0.99827755926854544</v>
      </c>
    </row>
    <row r="1404" spans="1:5">
      <c r="A1404">
        <f t="shared" si="63"/>
        <v>1403</v>
      </c>
      <c r="B1404" t="str" cm="1">
        <f t="array" ref="B1404">INDEX('Enriched Data'!C:C,A1404+1)</f>
        <v>Bay Alarm Company</v>
      </c>
      <c r="C1404" s="11" cm="1">
        <f t="array" ref="C1404">INDEX('Enriched Data'!G:G,A1404+1)</f>
        <v>5152.91</v>
      </c>
      <c r="D1404" s="11">
        <f t="shared" si="64"/>
        <v>933954818.61999941</v>
      </c>
      <c r="E1404" s="10">
        <f t="shared" si="65"/>
        <v>0.9982830670968651</v>
      </c>
    </row>
    <row r="1405" spans="1:5">
      <c r="A1405">
        <f t="shared" si="63"/>
        <v>1404</v>
      </c>
      <c r="B1405" t="str" cm="1">
        <f t="array" ref="B1405">INDEX('Enriched Data'!C:C,A1405+1)</f>
        <v>Green Thumb Lawn Care</v>
      </c>
      <c r="C1405" s="11" cm="1">
        <f t="array" ref="C1405">INDEX('Enriched Data'!G:G,A1405+1)</f>
        <v>5150</v>
      </c>
      <c r="D1405" s="11">
        <f t="shared" si="64"/>
        <v>933959968.61999941</v>
      </c>
      <c r="E1405" s="10">
        <f t="shared" si="65"/>
        <v>0.99828857181475184</v>
      </c>
    </row>
    <row r="1406" spans="1:5">
      <c r="A1406">
        <f t="shared" si="63"/>
        <v>1405</v>
      </c>
      <c r="B1406" t="str" cm="1">
        <f t="array" ref="B1406">INDEX('Enriched Data'!C:C,A1406+1)</f>
        <v>Kahoot</v>
      </c>
      <c r="C1406" s="11" cm="1">
        <f t="array" ref="C1406">INDEX('Enriched Data'!G:G,A1406+1)</f>
        <v>5148</v>
      </c>
      <c r="D1406" s="11">
        <f t="shared" si="64"/>
        <v>933965116.61999941</v>
      </c>
      <c r="E1406" s="10">
        <f t="shared" si="65"/>
        <v>0.99829407439488416</v>
      </c>
    </row>
    <row r="1407" spans="1:5">
      <c r="A1407">
        <f t="shared" si="63"/>
        <v>1406</v>
      </c>
      <c r="B1407" t="str" cm="1">
        <f t="array" ref="B1407">INDEX('Enriched Data'!C:C,A1407+1)</f>
        <v>911 Restoration Franchise, Inc</v>
      </c>
      <c r="C1407" s="11" cm="1">
        <f t="array" ref="C1407">INDEX('Enriched Data'!G:G,A1407+1)</f>
        <v>5143.1099999999997</v>
      </c>
      <c r="D1407" s="11">
        <f t="shared" si="64"/>
        <v>933970259.72999942</v>
      </c>
      <c r="E1407" s="10">
        <f t="shared" si="65"/>
        <v>0.99829957174820672</v>
      </c>
    </row>
    <row r="1408" spans="1:5">
      <c r="A1408">
        <f t="shared" si="63"/>
        <v>1407</v>
      </c>
      <c r="B1408" t="str" cm="1">
        <f t="array" ref="B1408">INDEX('Enriched Data'!C:C,A1408+1)</f>
        <v>Assurance Electric LLC</v>
      </c>
      <c r="C1408" s="11" cm="1">
        <f t="array" ref="C1408">INDEX('Enriched Data'!G:G,A1408+1)</f>
        <v>5135.16</v>
      </c>
      <c r="D1408" s="11">
        <f t="shared" si="64"/>
        <v>933975394.88999939</v>
      </c>
      <c r="E1408" s="10">
        <f t="shared" si="65"/>
        <v>0.99830506060395496</v>
      </c>
    </row>
    <row r="1409" spans="1:5">
      <c r="A1409">
        <f t="shared" si="63"/>
        <v>1408</v>
      </c>
      <c r="B1409" t="str" cm="1">
        <f t="array" ref="B1409">INDEX('Enriched Data'!C:C,A1409+1)</f>
        <v>Nation Waste Inc</v>
      </c>
      <c r="C1409" s="11" cm="1">
        <f t="array" ref="C1409">INDEX('Enriched Data'!G:G,A1409+1)</f>
        <v>5049.33</v>
      </c>
      <c r="D1409" s="11">
        <f t="shared" si="64"/>
        <v>933980444.21999943</v>
      </c>
      <c r="E1409" s="10">
        <f t="shared" si="65"/>
        <v>0.99831045771796811</v>
      </c>
    </row>
    <row r="1410" spans="1:5">
      <c r="A1410">
        <f t="shared" si="63"/>
        <v>1409</v>
      </c>
      <c r="B1410" t="str" cm="1">
        <f t="array" ref="B1410">INDEX('Enriched Data'!C:C,A1410+1)</f>
        <v>OMNIA Partners</v>
      </c>
      <c r="C1410" s="11" cm="1">
        <f t="array" ref="C1410">INDEX('Enriched Data'!G:G,A1410+1)</f>
        <v>5030.0600000000004</v>
      </c>
      <c r="D1410" s="11">
        <f t="shared" si="64"/>
        <v>933985474.27999938</v>
      </c>
      <c r="E1410" s="10">
        <f t="shared" si="65"/>
        <v>0.99831583423471637</v>
      </c>
    </row>
    <row r="1411" spans="1:5">
      <c r="A1411">
        <f t="shared" si="63"/>
        <v>1410</v>
      </c>
      <c r="B1411" t="str" cm="1">
        <f t="array" ref="B1411">INDEX('Enriched Data'!C:C,A1411+1)</f>
        <v>Indeed, Inc.</v>
      </c>
      <c r="C1411" s="11" cm="1">
        <f t="array" ref="C1411">INDEX('Enriched Data'!G:G,A1411+1)</f>
        <v>5024.84</v>
      </c>
      <c r="D1411" s="11">
        <f t="shared" si="64"/>
        <v>933990499.11999941</v>
      </c>
      <c r="E1411" s="10">
        <f t="shared" si="65"/>
        <v>0.99832120517192546</v>
      </c>
    </row>
    <row r="1412" spans="1:5">
      <c r="A1412">
        <f t="shared" ref="A1412:A1475" si="66">A1411+1</f>
        <v>1411</v>
      </c>
      <c r="B1412" t="str" cm="1">
        <f t="array" ref="B1412">INDEX('Enriched Data'!C:C,A1412+1)</f>
        <v>Grayco Enterprises, Inc</v>
      </c>
      <c r="C1412" s="11" cm="1">
        <f t="array" ref="C1412">INDEX('Enriched Data'!G:G,A1412+1)</f>
        <v>5020</v>
      </c>
      <c r="D1412" s="11">
        <f t="shared" ref="D1412:D1475" si="67">D1411+C1412</f>
        <v>933995519.11999941</v>
      </c>
      <c r="E1412" s="10">
        <f t="shared" ref="E1412:E1475" si="68">D1412/$F$2</f>
        <v>0.9983265709357686</v>
      </c>
    </row>
    <row r="1413" spans="1:5">
      <c r="A1413">
        <f t="shared" si="66"/>
        <v>1412</v>
      </c>
      <c r="B1413" t="str" cm="1">
        <f t="array" ref="B1413">INDEX('Enriched Data'!C:C,A1413+1)</f>
        <v>MilitaryByOwner Advertising, Inc.</v>
      </c>
      <c r="C1413" s="11" cm="1">
        <f t="array" ref="C1413">INDEX('Enriched Data'!G:G,A1413+1)</f>
        <v>5000</v>
      </c>
      <c r="D1413" s="11">
        <f t="shared" si="67"/>
        <v>934000519.11999941</v>
      </c>
      <c r="E1413" s="10">
        <f t="shared" si="68"/>
        <v>0.99833191532206644</v>
      </c>
    </row>
    <row r="1414" spans="1:5">
      <c r="A1414">
        <f t="shared" si="66"/>
        <v>1413</v>
      </c>
      <c r="B1414" t="str" cm="1">
        <f t="array" ref="B1414">INDEX('Enriched Data'!C:C,A1414+1)</f>
        <v>Randy Sagar</v>
      </c>
      <c r="C1414" s="11" cm="1">
        <f t="array" ref="C1414">INDEX('Enriched Data'!G:G,A1414+1)</f>
        <v>5000</v>
      </c>
      <c r="D1414" s="11">
        <f t="shared" si="67"/>
        <v>934005519.11999941</v>
      </c>
      <c r="E1414" s="10">
        <f t="shared" si="68"/>
        <v>0.99833725970836429</v>
      </c>
    </row>
    <row r="1415" spans="1:5">
      <c r="A1415">
        <f t="shared" si="66"/>
        <v>1414</v>
      </c>
      <c r="B1415" t="str" cm="1">
        <f t="array" ref="B1415">INDEX('Enriched Data'!C:C,A1415+1)</f>
        <v>Danies Maldonado</v>
      </c>
      <c r="C1415" s="11" cm="1">
        <f t="array" ref="C1415">INDEX('Enriched Data'!G:G,A1415+1)</f>
        <v>5000</v>
      </c>
      <c r="D1415" s="11">
        <f t="shared" si="67"/>
        <v>934010519.11999941</v>
      </c>
      <c r="E1415" s="10">
        <f t="shared" si="68"/>
        <v>0.99834260409466224</v>
      </c>
    </row>
    <row r="1416" spans="1:5">
      <c r="A1416">
        <f t="shared" si="66"/>
        <v>1415</v>
      </c>
      <c r="B1416" t="str" cm="1">
        <f t="array" ref="B1416">INDEX('Enriched Data'!C:C,A1416+1)</f>
        <v>Jenkins Services, Inc</v>
      </c>
      <c r="C1416" s="11" cm="1">
        <f t="array" ref="C1416">INDEX('Enriched Data'!G:G,A1416+1)</f>
        <v>5000</v>
      </c>
      <c r="D1416" s="11">
        <f t="shared" si="67"/>
        <v>934015519.11999941</v>
      </c>
      <c r="E1416" s="10">
        <f t="shared" si="68"/>
        <v>0.99834794848096009</v>
      </c>
    </row>
    <row r="1417" spans="1:5">
      <c r="A1417">
        <f t="shared" si="66"/>
        <v>1416</v>
      </c>
      <c r="B1417" t="str" cm="1">
        <f t="array" ref="B1417">INDEX('Enriched Data'!C:C,A1417+1)</f>
        <v>Mirrione, Shaughnessy &amp; Uitti, LLC in Trust</v>
      </c>
      <c r="C1417" s="11" cm="1">
        <f t="array" ref="C1417">INDEX('Enriched Data'!G:G,A1417+1)</f>
        <v>5000</v>
      </c>
      <c r="D1417" s="11">
        <f t="shared" si="67"/>
        <v>934020519.11999941</v>
      </c>
      <c r="E1417" s="10">
        <f t="shared" si="68"/>
        <v>0.99835329286725805</v>
      </c>
    </row>
    <row r="1418" spans="1:5">
      <c r="A1418">
        <f t="shared" si="66"/>
        <v>1417</v>
      </c>
      <c r="B1418" t="str" cm="1">
        <f t="array" ref="B1418">INDEX('Enriched Data'!C:C,A1418+1)</f>
        <v>ST. Pete Pride, Inc</v>
      </c>
      <c r="C1418" s="11" cm="1">
        <f t="array" ref="C1418">INDEX('Enriched Data'!G:G,A1418+1)</f>
        <v>5000</v>
      </c>
      <c r="D1418" s="11">
        <f t="shared" si="67"/>
        <v>934025519.11999941</v>
      </c>
      <c r="E1418" s="10">
        <f t="shared" si="68"/>
        <v>0.99835863725355589</v>
      </c>
    </row>
    <row r="1419" spans="1:5">
      <c r="A1419">
        <f t="shared" si="66"/>
        <v>1418</v>
      </c>
      <c r="B1419" t="str" cm="1">
        <f t="array" ref="B1419">INDEX('Enriched Data'!C:C,A1419+1)</f>
        <v>American Cancer Society, Inc.</v>
      </c>
      <c r="C1419" s="11" cm="1">
        <f t="array" ref="C1419">INDEX('Enriched Data'!G:G,A1419+1)</f>
        <v>5000</v>
      </c>
      <c r="D1419" s="11">
        <f t="shared" si="67"/>
        <v>934030519.11999941</v>
      </c>
      <c r="E1419" s="10">
        <f t="shared" si="68"/>
        <v>0.99836398163985385</v>
      </c>
    </row>
    <row r="1420" spans="1:5">
      <c r="A1420">
        <f t="shared" si="66"/>
        <v>1419</v>
      </c>
      <c r="B1420" t="str" cm="1">
        <f t="array" ref="B1420">INDEX('Enriched Data'!C:C,A1420+1)</f>
        <v>Michael Nehnevajsa and Susan</v>
      </c>
      <c r="C1420" s="11" cm="1">
        <f t="array" ref="C1420">INDEX('Enriched Data'!G:G,A1420+1)</f>
        <v>5000</v>
      </c>
      <c r="D1420" s="11">
        <f t="shared" si="67"/>
        <v>934035519.11999941</v>
      </c>
      <c r="E1420" s="10">
        <f t="shared" si="68"/>
        <v>0.99836932602615169</v>
      </c>
    </row>
    <row r="1421" spans="1:5">
      <c r="A1421">
        <f t="shared" si="66"/>
        <v>1420</v>
      </c>
      <c r="B1421" t="str" cm="1">
        <f t="array" ref="B1421">INDEX('Enriched Data'!C:C,A1421+1)</f>
        <v>Mooremaids</v>
      </c>
      <c r="C1421" s="11" cm="1">
        <f t="array" ref="C1421">INDEX('Enriched Data'!G:G,A1421+1)</f>
        <v>4995</v>
      </c>
      <c r="D1421" s="11">
        <f t="shared" si="67"/>
        <v>934040514.11999941</v>
      </c>
      <c r="E1421" s="10">
        <f t="shared" si="68"/>
        <v>0.99837466506806327</v>
      </c>
    </row>
    <row r="1422" spans="1:5">
      <c r="A1422">
        <f t="shared" si="66"/>
        <v>1421</v>
      </c>
      <c r="B1422" t="str" cm="1">
        <f t="array" ref="B1422">INDEX('Enriched Data'!C:C,A1422+1)</f>
        <v>Bright Painting &amp; Design Inc Dba Wow 1 day painting</v>
      </c>
      <c r="C1422" s="11" cm="1">
        <f t="array" ref="C1422">INDEX('Enriched Data'!G:G,A1422+1)</f>
        <v>4991.4799999999996</v>
      </c>
      <c r="D1422" s="11">
        <f t="shared" si="67"/>
        <v>934045505.59999943</v>
      </c>
      <c r="E1422" s="10">
        <f t="shared" si="68"/>
        <v>0.99838000034752694</v>
      </c>
    </row>
    <row r="1423" spans="1:5">
      <c r="A1423">
        <f t="shared" si="66"/>
        <v>1422</v>
      </c>
      <c r="B1423" t="str" cm="1">
        <f t="array" ref="B1423">INDEX('Enriched Data'!C:C,A1423+1)</f>
        <v>Arthur Laws</v>
      </c>
      <c r="C1423" s="11" cm="1">
        <f t="array" ref="C1423">INDEX('Enriched Data'!G:G,A1423+1)</f>
        <v>4987.8599999999997</v>
      </c>
      <c r="D1423" s="11">
        <f t="shared" si="67"/>
        <v>934050493.45999944</v>
      </c>
      <c r="E1423" s="10">
        <f t="shared" si="68"/>
        <v>0.99838533175765498</v>
      </c>
    </row>
    <row r="1424" spans="1:5">
      <c r="A1424">
        <f t="shared" si="66"/>
        <v>1423</v>
      </c>
      <c r="B1424" t="str" cm="1">
        <f t="array" ref="B1424">INDEX('Enriched Data'!C:C,A1424+1)</f>
        <v>Cox Autom Mobility Fleet Servs</v>
      </c>
      <c r="C1424" s="11" cm="1">
        <f t="array" ref="C1424">INDEX('Enriched Data'!G:G,A1424+1)</f>
        <v>4981.8999999999996</v>
      </c>
      <c r="D1424" s="11">
        <f t="shared" si="67"/>
        <v>934055475.35999942</v>
      </c>
      <c r="E1424" s="10">
        <f t="shared" si="68"/>
        <v>0.99839065679727435</v>
      </c>
    </row>
    <row r="1425" spans="1:5">
      <c r="A1425">
        <f t="shared" si="66"/>
        <v>1424</v>
      </c>
      <c r="B1425" t="str" cm="1">
        <f t="array" ref="B1425">INDEX('Enriched Data'!C:C,A1425+1)</f>
        <v>National Guard Association US, Inc.</v>
      </c>
      <c r="C1425" s="11" cm="1">
        <f t="array" ref="C1425">INDEX('Enriched Data'!G:G,A1425+1)</f>
        <v>4970</v>
      </c>
      <c r="D1425" s="11">
        <f t="shared" si="67"/>
        <v>934060445.35999942</v>
      </c>
      <c r="E1425" s="10">
        <f t="shared" si="68"/>
        <v>0.99839596911725448</v>
      </c>
    </row>
    <row r="1426" spans="1:5">
      <c r="A1426">
        <f t="shared" si="66"/>
        <v>1425</v>
      </c>
      <c r="B1426" t="str" cm="1">
        <f t="array" ref="B1426">INDEX('Enriched Data'!C:C,A1426+1)</f>
        <v>Grainger</v>
      </c>
      <c r="C1426" s="11" cm="1">
        <f t="array" ref="C1426">INDEX('Enriched Data'!G:G,A1426+1)</f>
        <v>4968.71</v>
      </c>
      <c r="D1426" s="11">
        <f t="shared" si="67"/>
        <v>934065414.06999946</v>
      </c>
      <c r="E1426" s="10">
        <f t="shared" si="68"/>
        <v>0.99840128005838302</v>
      </c>
    </row>
    <row r="1427" spans="1:5">
      <c r="A1427">
        <f t="shared" si="66"/>
        <v>1426</v>
      </c>
      <c r="B1427" t="str" cm="1">
        <f t="array" ref="B1427">INDEX('Enriched Data'!C:C,A1427+1)</f>
        <v>Beaudoin &amp; Krause-Leemon LLP DO NOT USE(Use-153003)</v>
      </c>
      <c r="C1427" s="11" cm="1">
        <f t="array" ref="C1427">INDEX('Enriched Data'!G:G,A1427+1)</f>
        <v>4954.57</v>
      </c>
      <c r="D1427" s="11">
        <f t="shared" si="67"/>
        <v>934070368.63999951</v>
      </c>
      <c r="E1427" s="10">
        <f t="shared" si="68"/>
        <v>0.99840657588558701</v>
      </c>
    </row>
    <row r="1428" spans="1:5">
      <c r="A1428">
        <f t="shared" si="66"/>
        <v>1427</v>
      </c>
      <c r="B1428" t="str" cm="1">
        <f t="array" ref="B1428">INDEX('Enriched Data'!C:C,A1428+1)</f>
        <v>Door Works Inc</v>
      </c>
      <c r="C1428" s="11" cm="1">
        <f t="array" ref="C1428">INDEX('Enriched Data'!G:G,A1428+1)</f>
        <v>4940.2299999999996</v>
      </c>
      <c r="D1428" s="11">
        <f t="shared" si="67"/>
        <v>934075308.86999953</v>
      </c>
      <c r="E1428" s="10">
        <f t="shared" si="68"/>
        <v>0.99841185638509111</v>
      </c>
    </row>
    <row r="1429" spans="1:5">
      <c r="A1429">
        <f t="shared" si="66"/>
        <v>1428</v>
      </c>
      <c r="B1429" t="str" cm="1">
        <f t="array" ref="B1429">INDEX('Enriched Data'!C:C,A1429+1)</f>
        <v>National Defense Transportation Association</v>
      </c>
      <c r="C1429" s="11" cm="1">
        <f t="array" ref="C1429">INDEX('Enriched Data'!G:G,A1429+1)</f>
        <v>4925</v>
      </c>
      <c r="D1429" s="11">
        <f t="shared" si="67"/>
        <v>934080233.86999953</v>
      </c>
      <c r="E1429" s="10">
        <f t="shared" si="68"/>
        <v>0.99841712060559451</v>
      </c>
    </row>
    <row r="1430" spans="1:5">
      <c r="A1430">
        <f t="shared" si="66"/>
        <v>1429</v>
      </c>
      <c r="B1430" t="str" cm="1">
        <f t="array" ref="B1430">INDEX('Enriched Data'!C:C,A1430+1)</f>
        <v>Charlies Plumbing Inc.</v>
      </c>
      <c r="C1430" s="11" cm="1">
        <f t="array" ref="C1430">INDEX('Enriched Data'!G:G,A1430+1)</f>
        <v>4924.28</v>
      </c>
      <c r="D1430" s="11">
        <f t="shared" si="67"/>
        <v>934085158.1499995</v>
      </c>
      <c r="E1430" s="10">
        <f t="shared" si="68"/>
        <v>0.9984223840565063</v>
      </c>
    </row>
    <row r="1431" spans="1:5">
      <c r="A1431">
        <f t="shared" si="66"/>
        <v>1430</v>
      </c>
      <c r="B1431" t="str" cm="1">
        <f t="array" ref="B1431">INDEX('Enriched Data'!C:C,A1431+1)</f>
        <v>KB Electric Inc.</v>
      </c>
      <c r="C1431" s="11" cm="1">
        <f t="array" ref="C1431">INDEX('Enriched Data'!G:G,A1431+1)</f>
        <v>4910</v>
      </c>
      <c r="D1431" s="11">
        <f t="shared" si="67"/>
        <v>934090068.1499995</v>
      </c>
      <c r="E1431" s="10">
        <f t="shared" si="68"/>
        <v>0.99842763224385089</v>
      </c>
    </row>
    <row r="1432" spans="1:5">
      <c r="A1432">
        <f t="shared" si="66"/>
        <v>1431</v>
      </c>
      <c r="B1432" t="str" cm="1">
        <f t="array" ref="B1432">INDEX('Enriched Data'!C:C,A1432+1)</f>
        <v>King Waste Services, LLC</v>
      </c>
      <c r="C1432" s="11" cm="1">
        <f t="array" ref="C1432">INDEX('Enriched Data'!G:G,A1432+1)</f>
        <v>4900</v>
      </c>
      <c r="D1432" s="11">
        <f t="shared" si="67"/>
        <v>934094968.1499995</v>
      </c>
      <c r="E1432" s="10">
        <f t="shared" si="68"/>
        <v>0.99843286974242285</v>
      </c>
    </row>
    <row r="1433" spans="1:5">
      <c r="A1433">
        <f t="shared" si="66"/>
        <v>1432</v>
      </c>
      <c r="B1433" t="str" cm="1">
        <f t="array" ref="B1433">INDEX('Enriched Data'!C:C,A1433+1)</f>
        <v>Mid-Ohio Material Handling, Inc</v>
      </c>
      <c r="C1433" s="11" cm="1">
        <f t="array" ref="C1433">INDEX('Enriched Data'!G:G,A1433+1)</f>
        <v>4880.71</v>
      </c>
      <c r="D1433" s="11">
        <f t="shared" si="67"/>
        <v>934099848.85999954</v>
      </c>
      <c r="E1433" s="10">
        <f t="shared" si="68"/>
        <v>0.99843808662235245</v>
      </c>
    </row>
    <row r="1434" spans="1:5">
      <c r="A1434">
        <f t="shared" si="66"/>
        <v>1433</v>
      </c>
      <c r="B1434" t="str" cm="1">
        <f t="array" ref="B1434">INDEX('Enriched Data'!C:C,A1434+1)</f>
        <v>State of New Jersey</v>
      </c>
      <c r="C1434" s="11" cm="1">
        <f t="array" ref="C1434">INDEX('Enriched Data'!G:G,A1434+1)</f>
        <v>4878</v>
      </c>
      <c r="D1434" s="11">
        <f t="shared" si="67"/>
        <v>934104726.85999954</v>
      </c>
      <c r="E1434" s="10">
        <f t="shared" si="68"/>
        <v>0.9984433006056247</v>
      </c>
    </row>
    <row r="1435" spans="1:5">
      <c r="A1435">
        <f t="shared" si="66"/>
        <v>1434</v>
      </c>
      <c r="B1435" t="str" cm="1">
        <f t="array" ref="B1435">INDEX('Enriched Data'!C:C,A1435+1)</f>
        <v>KALTIRE</v>
      </c>
      <c r="C1435" s="11" cm="1">
        <f t="array" ref="C1435">INDEX('Enriched Data'!G:G,A1435+1)</f>
        <v>4837.9799999999996</v>
      </c>
      <c r="D1435" s="11">
        <f t="shared" si="67"/>
        <v>934109564.83999956</v>
      </c>
      <c r="E1435" s="10">
        <f t="shared" si="68"/>
        <v>0.99844847181242902</v>
      </c>
    </row>
    <row r="1436" spans="1:5">
      <c r="A1436">
        <f t="shared" si="66"/>
        <v>1435</v>
      </c>
      <c r="B1436" t="str" cm="1">
        <f t="array" ref="B1436">INDEX('Enriched Data'!C:C,A1436+1)</f>
        <v>Patrick Services, Inc</v>
      </c>
      <c r="C1436" s="11" cm="1">
        <f t="array" ref="C1436">INDEX('Enriched Data'!G:G,A1436+1)</f>
        <v>4807</v>
      </c>
      <c r="D1436" s="11">
        <f t="shared" si="67"/>
        <v>934114371.83999956</v>
      </c>
      <c r="E1436" s="10">
        <f t="shared" si="68"/>
        <v>0.99845360990541576</v>
      </c>
    </row>
    <row r="1437" spans="1:5">
      <c r="A1437">
        <f t="shared" si="66"/>
        <v>1436</v>
      </c>
      <c r="B1437" t="str" cm="1">
        <f t="array" ref="B1437">INDEX('Enriched Data'!C:C,A1437+1)</f>
        <v>ABC Plaza</v>
      </c>
      <c r="C1437" s="11" cm="1">
        <f t="array" ref="C1437">INDEX('Enriched Data'!G:G,A1437+1)</f>
        <v>4800</v>
      </c>
      <c r="D1437" s="11">
        <f t="shared" si="67"/>
        <v>934119171.83999956</v>
      </c>
      <c r="E1437" s="10">
        <f t="shared" si="68"/>
        <v>0.99845874051626171</v>
      </c>
    </row>
    <row r="1438" spans="1:5">
      <c r="A1438">
        <f t="shared" si="66"/>
        <v>1437</v>
      </c>
      <c r="B1438" t="str" cm="1">
        <f t="array" ref="B1438">INDEX('Enriched Data'!C:C,A1438+1)</f>
        <v>Ralph Wiles</v>
      </c>
      <c r="C1438" s="11" cm="1">
        <f t="array" ref="C1438">INDEX('Enriched Data'!G:G,A1438+1)</f>
        <v>4800</v>
      </c>
      <c r="D1438" s="11">
        <f t="shared" si="67"/>
        <v>934123971.83999956</v>
      </c>
      <c r="E1438" s="10">
        <f t="shared" si="68"/>
        <v>0.99846387112710777</v>
      </c>
    </row>
    <row r="1439" spans="1:5">
      <c r="A1439">
        <f t="shared" si="66"/>
        <v>1438</v>
      </c>
      <c r="B1439" t="str" cm="1">
        <f t="array" ref="B1439">INDEX('Enriched Data'!C:C,A1439+1)</f>
        <v>Judy Logsdon</v>
      </c>
      <c r="C1439" s="11" cm="1">
        <f t="array" ref="C1439">INDEX('Enriched Data'!G:G,A1439+1)</f>
        <v>4800</v>
      </c>
      <c r="D1439" s="11">
        <f t="shared" si="67"/>
        <v>934128771.83999956</v>
      </c>
      <c r="E1439" s="10">
        <f t="shared" si="68"/>
        <v>0.99846900173795372</v>
      </c>
    </row>
    <row r="1440" spans="1:5">
      <c r="A1440">
        <f t="shared" si="66"/>
        <v>1439</v>
      </c>
      <c r="B1440" t="str" cm="1">
        <f t="array" ref="B1440">INDEX('Enriched Data'!C:C,A1440+1)</f>
        <v>Molly Maid of the Peninsula &amp; Willia</v>
      </c>
      <c r="C1440" s="11" cm="1">
        <f t="array" ref="C1440">INDEX('Enriched Data'!G:G,A1440+1)</f>
        <v>4800</v>
      </c>
      <c r="D1440" s="11">
        <f t="shared" si="67"/>
        <v>934133571.83999956</v>
      </c>
      <c r="E1440" s="10">
        <f t="shared" si="68"/>
        <v>0.99847413234879967</v>
      </c>
    </row>
    <row r="1441" spans="1:5">
      <c r="A1441">
        <f t="shared" si="66"/>
        <v>1440</v>
      </c>
      <c r="B1441" t="str" cm="1">
        <f t="array" ref="B1441">INDEX('Enriched Data'!C:C,A1441+1)</f>
        <v>Joseph Peter Westerberg</v>
      </c>
      <c r="C1441" s="11" cm="1">
        <f t="array" ref="C1441">INDEX('Enriched Data'!G:G,A1441+1)</f>
        <v>4796</v>
      </c>
      <c r="D1441" s="11">
        <f t="shared" si="67"/>
        <v>934138367.83999956</v>
      </c>
      <c r="E1441" s="10">
        <f t="shared" si="68"/>
        <v>0.99847925868413667</v>
      </c>
    </row>
    <row r="1442" spans="1:5">
      <c r="A1442">
        <f t="shared" si="66"/>
        <v>1441</v>
      </c>
      <c r="B1442" t="str" cm="1">
        <f t="array" ref="B1442">INDEX('Enriched Data'!C:C,A1442+1)</f>
        <v>Andrews Welding and Fabr. Servs</v>
      </c>
      <c r="C1442" s="11" cm="1">
        <f t="array" ref="C1442">INDEX('Enriched Data'!G:G,A1442+1)</f>
        <v>4786.3</v>
      </c>
      <c r="D1442" s="11">
        <f t="shared" si="67"/>
        <v>934143154.13999951</v>
      </c>
      <c r="E1442" s="10">
        <f t="shared" si="68"/>
        <v>0.99848437465136408</v>
      </c>
    </row>
    <row r="1443" spans="1:5">
      <c r="A1443">
        <f t="shared" si="66"/>
        <v>1442</v>
      </c>
      <c r="B1443" t="str" cm="1">
        <f t="array" ref="B1443">INDEX('Enriched Data'!C:C,A1443+1)</f>
        <v>Washrite, Inc.</v>
      </c>
      <c r="C1443" s="11" cm="1">
        <f t="array" ref="C1443">INDEX('Enriched Data'!G:G,A1443+1)</f>
        <v>4771</v>
      </c>
      <c r="D1443" s="11">
        <f t="shared" si="67"/>
        <v>934147925.13999951</v>
      </c>
      <c r="E1443" s="10">
        <f t="shared" si="68"/>
        <v>0.99848947426476953</v>
      </c>
    </row>
    <row r="1444" spans="1:5">
      <c r="A1444">
        <f t="shared" si="66"/>
        <v>1443</v>
      </c>
      <c r="B1444" t="str" cm="1">
        <f t="array" ref="B1444">INDEX('Enriched Data'!C:C,A1444+1)</f>
        <v>Cartus - Relocation</v>
      </c>
      <c r="C1444" s="11" cm="1">
        <f t="array" ref="C1444">INDEX('Enriched Data'!G:G,A1444+1)</f>
        <v>4769.88</v>
      </c>
      <c r="D1444" s="11">
        <f t="shared" si="67"/>
        <v>934152695.0199995</v>
      </c>
      <c r="E1444" s="10">
        <f t="shared" si="68"/>
        <v>0.99849457268103248</v>
      </c>
    </row>
    <row r="1445" spans="1:5">
      <c r="A1445">
        <f t="shared" si="66"/>
        <v>1444</v>
      </c>
      <c r="B1445" t="str" cm="1">
        <f t="array" ref="B1445">INDEX('Enriched Data'!C:C,A1445+1)</f>
        <v>Southern Sweepers &amp; Scrubbers</v>
      </c>
      <c r="C1445" s="11" cm="1">
        <f t="array" ref="C1445">INDEX('Enriched Data'!G:G,A1445+1)</f>
        <v>4759.92</v>
      </c>
      <c r="D1445" s="11">
        <f t="shared" si="67"/>
        <v>934157454.93999946</v>
      </c>
      <c r="E1445" s="10">
        <f t="shared" si="68"/>
        <v>0.9984996604512778</v>
      </c>
    </row>
    <row r="1446" spans="1:5">
      <c r="A1446">
        <f t="shared" si="66"/>
        <v>1445</v>
      </c>
      <c r="B1446" t="str" cm="1">
        <f t="array" ref="B1446">INDEX('Enriched Data'!C:C,A1446+1)</f>
        <v>Fairborn Equipment Midwest</v>
      </c>
      <c r="C1446" s="11" cm="1">
        <f t="array" ref="C1446">INDEX('Enriched Data'!G:G,A1446+1)</f>
        <v>4743.12</v>
      </c>
      <c r="D1446" s="11">
        <f t="shared" si="67"/>
        <v>934162198.05999947</v>
      </c>
      <c r="E1446" s="10">
        <f t="shared" si="68"/>
        <v>0.99850473026438524</v>
      </c>
    </row>
    <row r="1447" spans="1:5">
      <c r="A1447">
        <f t="shared" si="66"/>
        <v>1446</v>
      </c>
      <c r="B1447" t="str" cm="1">
        <f t="array" ref="B1447">INDEX('Enriched Data'!C:C,A1447+1)</f>
        <v>Cleantegrity, LLC</v>
      </c>
      <c r="C1447" s="11" cm="1">
        <f t="array" ref="C1447">INDEX('Enriched Data'!G:G,A1447+1)</f>
        <v>4728.3599999999997</v>
      </c>
      <c r="D1447" s="11">
        <f t="shared" si="67"/>
        <v>934166926.41999948</v>
      </c>
      <c r="E1447" s="10">
        <f t="shared" si="68"/>
        <v>0.99850978430086446</v>
      </c>
    </row>
    <row r="1448" spans="1:5">
      <c r="A1448">
        <f t="shared" si="66"/>
        <v>1447</v>
      </c>
      <c r="B1448" t="str" cm="1">
        <f t="array" ref="B1448">INDEX('Enriched Data'!C:C,A1448+1)</f>
        <v>ATP Alarms</v>
      </c>
      <c r="C1448" s="11" cm="1">
        <f t="array" ref="C1448">INDEX('Enriched Data'!G:G,A1448+1)</f>
        <v>4726.8999999999996</v>
      </c>
      <c r="D1448" s="11">
        <f t="shared" si="67"/>
        <v>934171653.31999946</v>
      </c>
      <c r="E1448" s="10">
        <f t="shared" si="68"/>
        <v>0.99851483677678265</v>
      </c>
    </row>
    <row r="1449" spans="1:5">
      <c r="A1449">
        <f t="shared" si="66"/>
        <v>1448</v>
      </c>
      <c r="B1449" t="str" cm="1">
        <f t="array" ref="B1449">INDEX('Enriched Data'!C:C,A1449+1)</f>
        <v>Double Oak Erosion</v>
      </c>
      <c r="C1449" s="11" cm="1">
        <f t="array" ref="C1449">INDEX('Enriched Data'!G:G,A1449+1)</f>
        <v>4725.33</v>
      </c>
      <c r="D1449" s="11">
        <f t="shared" si="67"/>
        <v>934176378.6499995</v>
      </c>
      <c r="E1449" s="10">
        <f t="shared" si="68"/>
        <v>0.99851988757456378</v>
      </c>
    </row>
    <row r="1450" spans="1:5">
      <c r="A1450">
        <f t="shared" si="66"/>
        <v>1449</v>
      </c>
      <c r="B1450" t="str" cm="1">
        <f t="array" ref="B1450">INDEX('Enriched Data'!C:C,A1450+1)</f>
        <v>Kyle Simpson</v>
      </c>
      <c r="C1450" s="11" cm="1">
        <f t="array" ref="C1450">INDEX('Enriched Data'!G:G,A1450+1)</f>
        <v>4717.1000000000004</v>
      </c>
      <c r="D1450" s="11">
        <f t="shared" si="67"/>
        <v>934181095.74999952</v>
      </c>
      <c r="E1450" s="10">
        <f t="shared" si="68"/>
        <v>0.99852492957548489</v>
      </c>
    </row>
    <row r="1451" spans="1:5">
      <c r="A1451">
        <f t="shared" si="66"/>
        <v>1450</v>
      </c>
      <c r="B1451" t="str" cm="1">
        <f t="array" ref="B1451">INDEX('Enriched Data'!C:C,A1451+1)</f>
        <v>Arrowwood Landscape Design LLC</v>
      </c>
      <c r="C1451" s="11" cm="1">
        <f t="array" ref="C1451">INDEX('Enriched Data'!G:G,A1451+1)</f>
        <v>4707</v>
      </c>
      <c r="D1451" s="11">
        <f t="shared" si="67"/>
        <v>934185802.74999952</v>
      </c>
      <c r="E1451" s="10">
        <f t="shared" si="68"/>
        <v>0.99852996078074574</v>
      </c>
    </row>
    <row r="1452" spans="1:5">
      <c r="A1452">
        <f t="shared" si="66"/>
        <v>1451</v>
      </c>
      <c r="B1452" t="str" cm="1">
        <f t="array" ref="B1452">INDEX('Enriched Data'!C:C,A1452+1)</f>
        <v>Davis Door Service Inc.</v>
      </c>
      <c r="C1452" s="11" cm="1">
        <f t="array" ref="C1452">INDEX('Enriched Data'!G:G,A1452+1)</f>
        <v>4693.6400000000003</v>
      </c>
      <c r="D1452" s="11">
        <f t="shared" si="67"/>
        <v>934190496.38999951</v>
      </c>
      <c r="E1452" s="10">
        <f t="shared" si="68"/>
        <v>0.99853497770580635</v>
      </c>
    </row>
    <row r="1453" spans="1:5">
      <c r="A1453">
        <f t="shared" si="66"/>
        <v>1452</v>
      </c>
      <c r="B1453" t="str" cm="1">
        <f t="array" ref="B1453">INDEX('Enriched Data'!C:C,A1453+1)</f>
        <v>Southern Touch Exterior Solutions</v>
      </c>
      <c r="C1453" s="11" cm="1">
        <f t="array" ref="C1453">INDEX('Enriched Data'!G:G,A1453+1)</f>
        <v>4665</v>
      </c>
      <c r="D1453" s="11">
        <f t="shared" si="67"/>
        <v>934195161.38999951</v>
      </c>
      <c r="E1453" s="10">
        <f t="shared" si="68"/>
        <v>0.99853996401822231</v>
      </c>
    </row>
    <row r="1454" spans="1:5">
      <c r="A1454">
        <f t="shared" si="66"/>
        <v>1453</v>
      </c>
      <c r="B1454" t="str" cm="1">
        <f t="array" ref="B1454">INDEX('Enriched Data'!C:C,A1454+1)</f>
        <v>Logan Schulken</v>
      </c>
      <c r="C1454" s="11" cm="1">
        <f t="array" ref="C1454">INDEX('Enriched Data'!G:G,A1454+1)</f>
        <v>4660</v>
      </c>
      <c r="D1454" s="11">
        <f t="shared" si="67"/>
        <v>934199821.38999951</v>
      </c>
      <c r="E1454" s="10">
        <f t="shared" si="68"/>
        <v>0.9985449449862519</v>
      </c>
    </row>
    <row r="1455" spans="1:5">
      <c r="A1455">
        <f t="shared" si="66"/>
        <v>1454</v>
      </c>
      <c r="B1455" t="str" cm="1">
        <f t="array" ref="B1455">INDEX('Enriched Data'!C:C,A1455+1)</f>
        <v>American Door Services Inc.</v>
      </c>
      <c r="C1455" s="11" cm="1">
        <f t="array" ref="C1455">INDEX('Enriched Data'!G:G,A1455+1)</f>
        <v>4659.5200000000004</v>
      </c>
      <c r="D1455" s="11">
        <f t="shared" si="67"/>
        <v>934204480.90999949</v>
      </c>
      <c r="E1455" s="10">
        <f t="shared" si="68"/>
        <v>0.99854992544122045</v>
      </c>
    </row>
    <row r="1456" spans="1:5">
      <c r="A1456">
        <f t="shared" si="66"/>
        <v>1455</v>
      </c>
      <c r="B1456" t="str" cm="1">
        <f t="array" ref="B1456">INDEX('Enriched Data'!C:C,A1456+1)</f>
        <v>Biermann Plumbing &amp; Heating</v>
      </c>
      <c r="C1456" s="11" cm="1">
        <f t="array" ref="C1456">INDEX('Enriched Data'!G:G,A1456+1)</f>
        <v>4631.25</v>
      </c>
      <c r="D1456" s="11">
        <f t="shared" si="67"/>
        <v>934209112.15999949</v>
      </c>
      <c r="E1456" s="10">
        <f t="shared" si="68"/>
        <v>0.9985548756790289</v>
      </c>
    </row>
    <row r="1457" spans="1:5">
      <c r="A1457">
        <f t="shared" si="66"/>
        <v>1456</v>
      </c>
      <c r="B1457" t="str" cm="1">
        <f t="array" ref="B1457">INDEX('Enriched Data'!C:C,A1457+1)</f>
        <v>Transworld Systems Inc</v>
      </c>
      <c r="C1457" s="11" cm="1">
        <f t="array" ref="C1457">INDEX('Enriched Data'!G:G,A1457+1)</f>
        <v>4621.04</v>
      </c>
      <c r="D1457" s="11">
        <f t="shared" si="67"/>
        <v>934213733.19999945</v>
      </c>
      <c r="E1457" s="10">
        <f t="shared" si="68"/>
        <v>0.99855981500360047</v>
      </c>
    </row>
    <row r="1458" spans="1:5">
      <c r="A1458">
        <f t="shared" si="66"/>
        <v>1457</v>
      </c>
      <c r="B1458" t="str" cm="1">
        <f t="array" ref="B1458">INDEX('Enriched Data'!C:C,A1458+1)</f>
        <v>Suburban Propane LP 7881</v>
      </c>
      <c r="C1458" s="11" cm="1">
        <f t="array" ref="C1458">INDEX('Enriched Data'!G:G,A1458+1)</f>
        <v>4612.87</v>
      </c>
      <c r="D1458" s="11">
        <f t="shared" si="67"/>
        <v>934218346.06999946</v>
      </c>
      <c r="E1458" s="10">
        <f t="shared" si="68"/>
        <v>0.99856474559544484</v>
      </c>
    </row>
    <row r="1459" spans="1:5">
      <c r="A1459">
        <f t="shared" si="66"/>
        <v>1458</v>
      </c>
      <c r="B1459" t="str" cm="1">
        <f t="array" ref="B1459">INDEX('Enriched Data'!C:C,A1459+1)</f>
        <v>Quick Cable Corporation</v>
      </c>
      <c r="C1459" s="11" cm="1">
        <f t="array" ref="C1459">INDEX('Enriched Data'!G:G,A1459+1)</f>
        <v>4597.59</v>
      </c>
      <c r="D1459" s="11">
        <f t="shared" si="67"/>
        <v>934222943.65999949</v>
      </c>
      <c r="E1459" s="10">
        <f t="shared" si="68"/>
        <v>0.9985696598548448</v>
      </c>
    </row>
    <row r="1460" spans="1:5">
      <c r="A1460">
        <f t="shared" si="66"/>
        <v>1459</v>
      </c>
      <c r="B1460" t="str" cm="1">
        <f t="array" ref="B1460">INDEX('Enriched Data'!C:C,A1460+1)</f>
        <v>Summit Fire &amp; Security</v>
      </c>
      <c r="C1460" s="11" cm="1">
        <f t="array" ref="C1460">INDEX('Enriched Data'!G:G,A1460+1)</f>
        <v>4568.84</v>
      </c>
      <c r="D1460" s="11">
        <f t="shared" si="67"/>
        <v>934227512.49999952</v>
      </c>
      <c r="E1460" s="10">
        <f t="shared" si="68"/>
        <v>0.99857454338402352</v>
      </c>
    </row>
    <row r="1461" spans="1:5">
      <c r="A1461">
        <f t="shared" si="66"/>
        <v>1460</v>
      </c>
      <c r="B1461" t="str" cm="1">
        <f t="array" ref="B1461">INDEX('Enriched Data'!C:C,A1461+1)</f>
        <v>A-1 Waste &amp; Rolloff Service, Inc</v>
      </c>
      <c r="C1461" s="11" cm="1">
        <f t="array" ref="C1461">INDEX('Enriched Data'!G:G,A1461+1)</f>
        <v>4538</v>
      </c>
      <c r="D1461" s="11">
        <f t="shared" si="67"/>
        <v>934232050.49999952</v>
      </c>
      <c r="E1461" s="10">
        <f t="shared" si="68"/>
        <v>0.99857939394902739</v>
      </c>
    </row>
    <row r="1462" spans="1:5">
      <c r="A1462">
        <f t="shared" si="66"/>
        <v>1461</v>
      </c>
      <c r="B1462" t="str" cm="1">
        <f t="array" ref="B1462">INDEX('Enriched Data'!C:C,A1462+1)</f>
        <v>Corporate Creations</v>
      </c>
      <c r="C1462" s="11" cm="1">
        <f t="array" ref="C1462">INDEX('Enriched Data'!G:G,A1462+1)</f>
        <v>4536</v>
      </c>
      <c r="D1462" s="11">
        <f t="shared" si="67"/>
        <v>934236586.49999952</v>
      </c>
      <c r="E1462" s="10">
        <f t="shared" si="68"/>
        <v>0.99858424237627685</v>
      </c>
    </row>
    <row r="1463" spans="1:5">
      <c r="A1463">
        <f t="shared" si="66"/>
        <v>1462</v>
      </c>
      <c r="B1463" t="str" cm="1">
        <f t="array" ref="B1463">INDEX('Enriched Data'!C:C,A1463+1)</f>
        <v>Southern On-Site</v>
      </c>
      <c r="C1463" s="11" cm="1">
        <f t="array" ref="C1463">INDEX('Enriched Data'!G:G,A1463+1)</f>
        <v>4533.75</v>
      </c>
      <c r="D1463" s="11">
        <f t="shared" si="67"/>
        <v>934241120.24999952</v>
      </c>
      <c r="E1463" s="10">
        <f t="shared" si="68"/>
        <v>0.99858908839855254</v>
      </c>
    </row>
    <row r="1464" spans="1:5">
      <c r="A1464">
        <f t="shared" si="66"/>
        <v>1463</v>
      </c>
      <c r="B1464" t="str" cm="1">
        <f t="array" ref="B1464">INDEX('Enriched Data'!C:C,A1464+1)</f>
        <v>USAble Life</v>
      </c>
      <c r="C1464" s="11" cm="1">
        <f t="array" ref="C1464">INDEX('Enriched Data'!G:G,A1464+1)</f>
        <v>4532.96</v>
      </c>
      <c r="D1464" s="11">
        <f t="shared" si="67"/>
        <v>934245653.20999956</v>
      </c>
      <c r="E1464" s="10">
        <f t="shared" si="68"/>
        <v>0.99859393357641513</v>
      </c>
    </row>
    <row r="1465" spans="1:5">
      <c r="A1465">
        <f t="shared" si="66"/>
        <v>1464</v>
      </c>
      <c r="B1465" t="str" cm="1">
        <f t="array" ref="B1465">INDEX('Enriched Data'!C:C,A1465+1)</f>
        <v>JBS GARAGE DOOR SERVICES LLC</v>
      </c>
      <c r="C1465" s="11" cm="1">
        <f t="array" ref="C1465">INDEX('Enriched Data'!G:G,A1465+1)</f>
        <v>4528.79</v>
      </c>
      <c r="D1465" s="11">
        <f t="shared" si="67"/>
        <v>934250181.99999952</v>
      </c>
      <c r="E1465" s="10">
        <f t="shared" si="68"/>
        <v>0.99859877429705945</v>
      </c>
    </row>
    <row r="1466" spans="1:5">
      <c r="A1466">
        <f t="shared" si="66"/>
        <v>1465</v>
      </c>
      <c r="B1466" t="str" cm="1">
        <f t="array" ref="B1466">INDEX('Enriched Data'!C:C,A1466+1)</f>
        <v>D.Law, Inc.</v>
      </c>
      <c r="C1466" s="11" cm="1">
        <f t="array" ref="C1466">INDEX('Enriched Data'!G:G,A1466+1)</f>
        <v>4512.1400000000003</v>
      </c>
      <c r="D1466" s="11">
        <f t="shared" si="67"/>
        <v>934254694.13999951</v>
      </c>
      <c r="E1466" s="10">
        <f t="shared" si="68"/>
        <v>0.99860359722089753</v>
      </c>
    </row>
    <row r="1467" spans="1:5">
      <c r="A1467">
        <f t="shared" si="66"/>
        <v>1466</v>
      </c>
      <c r="B1467" t="str" cm="1">
        <f t="array" ref="B1467">INDEX('Enriched Data'!C:C,A1467+1)</f>
        <v>AFGO Mechanical Services, Inc</v>
      </c>
      <c r="C1467" s="11" cm="1">
        <f t="array" ref="C1467">INDEX('Enriched Data'!G:G,A1467+1)</f>
        <v>4502.99</v>
      </c>
      <c r="D1467" s="11">
        <f t="shared" si="67"/>
        <v>934259197.12999952</v>
      </c>
      <c r="E1467" s="10">
        <f t="shared" si="68"/>
        <v>0.99860841036450865</v>
      </c>
    </row>
    <row r="1468" spans="1:5">
      <c r="A1468">
        <f t="shared" si="66"/>
        <v>1467</v>
      </c>
      <c r="B1468" t="str" cm="1">
        <f t="array" ref="B1468">INDEX('Enriched Data'!C:C,A1468+1)</f>
        <v>Luciaci Enterprises LLC</v>
      </c>
      <c r="C1468" s="11" cm="1">
        <f t="array" ref="C1468">INDEX('Enriched Data'!G:G,A1468+1)</f>
        <v>4500</v>
      </c>
      <c r="D1468" s="11">
        <f t="shared" si="67"/>
        <v>934263697.12999952</v>
      </c>
      <c r="E1468" s="10">
        <f t="shared" si="68"/>
        <v>0.9986132203121767</v>
      </c>
    </row>
    <row r="1469" spans="1:5">
      <c r="A1469">
        <f t="shared" si="66"/>
        <v>1468</v>
      </c>
      <c r="B1469" t="str" cm="1">
        <f t="array" ref="B1469">INDEX('Enriched Data'!C:C,A1469+1)</f>
        <v>Well Manicured Properties</v>
      </c>
      <c r="C1469" s="11" cm="1">
        <f t="array" ref="C1469">INDEX('Enriched Data'!G:G,A1469+1)</f>
        <v>4500</v>
      </c>
      <c r="D1469" s="11">
        <f t="shared" si="67"/>
        <v>934268197.12999952</v>
      </c>
      <c r="E1469" s="10">
        <f t="shared" si="68"/>
        <v>0.99861803025984486</v>
      </c>
    </row>
    <row r="1470" spans="1:5">
      <c r="A1470">
        <f t="shared" si="66"/>
        <v>1469</v>
      </c>
      <c r="B1470" t="str" cm="1">
        <f t="array" ref="B1470">INDEX('Enriched Data'!C:C,A1470+1)</f>
        <v>RC Lawncare, LLC</v>
      </c>
      <c r="C1470" s="11" cm="1">
        <f t="array" ref="C1470">INDEX('Enriched Data'!G:G,A1470+1)</f>
        <v>4500</v>
      </c>
      <c r="D1470" s="11">
        <f t="shared" si="67"/>
        <v>934272697.12999952</v>
      </c>
      <c r="E1470" s="10">
        <f t="shared" si="68"/>
        <v>0.99862284020751291</v>
      </c>
    </row>
    <row r="1471" spans="1:5">
      <c r="A1471">
        <f t="shared" si="66"/>
        <v>1470</v>
      </c>
      <c r="B1471" t="str" cm="1">
        <f t="array" ref="B1471">INDEX('Enriched Data'!C:C,A1471+1)</f>
        <v>Bowen Law Firm</v>
      </c>
      <c r="C1471" s="11" cm="1">
        <f t="array" ref="C1471">INDEX('Enriched Data'!G:G,A1471+1)</f>
        <v>4500</v>
      </c>
      <c r="D1471" s="11">
        <f t="shared" si="67"/>
        <v>934277197.12999952</v>
      </c>
      <c r="E1471" s="10">
        <f t="shared" si="68"/>
        <v>0.99862765015518107</v>
      </c>
    </row>
    <row r="1472" spans="1:5">
      <c r="A1472">
        <f t="shared" si="66"/>
        <v>1471</v>
      </c>
      <c r="B1472" t="str" cm="1">
        <f t="array" ref="B1472">INDEX('Enriched Data'!C:C,A1472+1)</f>
        <v>Morris Pulpwood &amp; Timber</v>
      </c>
      <c r="C1472" s="11" cm="1">
        <f t="array" ref="C1472">INDEX('Enriched Data'!G:G,A1472+1)</f>
        <v>4500</v>
      </c>
      <c r="D1472" s="11">
        <f t="shared" si="67"/>
        <v>934281697.12999952</v>
      </c>
      <c r="E1472" s="10">
        <f t="shared" si="68"/>
        <v>0.99863246010284912</v>
      </c>
    </row>
    <row r="1473" spans="1:5">
      <c r="A1473">
        <f t="shared" si="66"/>
        <v>1472</v>
      </c>
      <c r="B1473" t="str" cm="1">
        <f t="array" ref="B1473">INDEX('Enriched Data'!C:C,A1473+1)</f>
        <v>Northern Pass Refrigeration</v>
      </c>
      <c r="C1473" s="11" cm="1">
        <f t="array" ref="C1473">INDEX('Enriched Data'!G:G,A1473+1)</f>
        <v>4489.71</v>
      </c>
      <c r="D1473" s="11">
        <f t="shared" si="67"/>
        <v>934286186.83999956</v>
      </c>
      <c r="E1473" s="10">
        <f t="shared" si="68"/>
        <v>0.99863725905177025</v>
      </c>
    </row>
    <row r="1474" spans="1:5">
      <c r="A1474">
        <f t="shared" si="66"/>
        <v>1473</v>
      </c>
      <c r="B1474" t="str" cm="1">
        <f t="array" ref="B1474">INDEX('Enriched Data'!C:C,A1474+1)</f>
        <v>Ingersoll Rand</v>
      </c>
      <c r="C1474" s="11" cm="1">
        <f t="array" ref="C1474">INDEX('Enriched Data'!G:G,A1474+1)</f>
        <v>4488.4399999999996</v>
      </c>
      <c r="D1474" s="11">
        <f t="shared" si="67"/>
        <v>934290675.27999961</v>
      </c>
      <c r="E1474" s="10">
        <f t="shared" si="68"/>
        <v>0.99864205664321737</v>
      </c>
    </row>
    <row r="1475" spans="1:5">
      <c r="A1475">
        <f t="shared" si="66"/>
        <v>1474</v>
      </c>
      <c r="B1475" t="str" cm="1">
        <f t="array" ref="B1475">INDEX('Enriched Data'!C:C,A1475+1)</f>
        <v>Miller Truck Leasing</v>
      </c>
      <c r="C1475" s="11" cm="1">
        <f t="array" ref="C1475">INDEX('Enriched Data'!G:G,A1475+1)</f>
        <v>4483.41</v>
      </c>
      <c r="D1475" s="11">
        <f t="shared" si="67"/>
        <v>934295158.68999958</v>
      </c>
      <c r="E1475" s="10">
        <f t="shared" si="68"/>
        <v>0.99864684885821164</v>
      </c>
    </row>
    <row r="1476" spans="1:5">
      <c r="A1476">
        <f t="shared" ref="A1476:A1539" si="69">A1475+1</f>
        <v>1475</v>
      </c>
      <c r="B1476" t="str" cm="1">
        <f t="array" ref="B1476">INDEX('Enriched Data'!C:C,A1476+1)</f>
        <v>Carson Industries, Inc</v>
      </c>
      <c r="C1476" s="11" cm="1">
        <f t="array" ref="C1476">INDEX('Enriched Data'!G:G,A1476+1)</f>
        <v>4465.92</v>
      </c>
      <c r="D1476" s="11">
        <f t="shared" ref="D1476:D1539" si="70">D1475+C1476</f>
        <v>934299624.60999954</v>
      </c>
      <c r="E1476" s="10">
        <f t="shared" ref="E1476:E1539" si="71">D1476/$F$2</f>
        <v>0.99865162237854277</v>
      </c>
    </row>
    <row r="1477" spans="1:5">
      <c r="A1477">
        <f t="shared" si="69"/>
        <v>1476</v>
      </c>
      <c r="B1477" t="str" cm="1">
        <f t="array" ref="B1477">INDEX('Enriched Data'!C:C,A1477+1)</f>
        <v>That 1 Painter</v>
      </c>
      <c r="C1477" s="11" cm="1">
        <f t="array" ref="C1477">INDEX('Enriched Data'!G:G,A1477+1)</f>
        <v>4448.99</v>
      </c>
      <c r="D1477" s="11">
        <f t="shared" si="70"/>
        <v>934304073.59999955</v>
      </c>
      <c r="E1477" s="10">
        <f t="shared" si="71"/>
        <v>0.99865637780278183</v>
      </c>
    </row>
    <row r="1478" spans="1:5">
      <c r="A1478">
        <f t="shared" si="69"/>
        <v>1477</v>
      </c>
      <c r="B1478" t="str" cm="1">
        <f t="array" ref="B1478">INDEX('Enriched Data'!C:C,A1478+1)</f>
        <v>Suburban Welding &amp; Steel LLC</v>
      </c>
      <c r="C1478" s="11" cm="1">
        <f t="array" ref="C1478">INDEX('Enriched Data'!G:G,A1478+1)</f>
        <v>4438.92</v>
      </c>
      <c r="D1478" s="11">
        <f t="shared" si="70"/>
        <v>934308512.5199995</v>
      </c>
      <c r="E1478" s="10">
        <f t="shared" si="71"/>
        <v>0.99866112246342686</v>
      </c>
    </row>
    <row r="1479" spans="1:5">
      <c r="A1479">
        <f t="shared" si="69"/>
        <v>1478</v>
      </c>
      <c r="B1479" t="str" cm="1">
        <f t="array" ref="B1479">INDEX('Enriched Data'!C:C,A1479+1)</f>
        <v>Kentucky Petroleum Supply LLC</v>
      </c>
      <c r="C1479" s="11" cm="1">
        <f t="array" ref="C1479">INDEX('Enriched Data'!G:G,A1479+1)</f>
        <v>4436.74</v>
      </c>
      <c r="D1479" s="11">
        <f t="shared" si="70"/>
        <v>934312949.25999951</v>
      </c>
      <c r="E1479" s="10">
        <f t="shared" si="71"/>
        <v>0.9986658647939195</v>
      </c>
    </row>
    <row r="1480" spans="1:5">
      <c r="A1480">
        <f t="shared" si="69"/>
        <v>1479</v>
      </c>
      <c r="B1480" t="str" cm="1">
        <f t="array" ref="B1480">INDEX('Enriched Data'!C:C,A1480+1)</f>
        <v>Scopelitis Garvin Light Hanson&amp;Fear</v>
      </c>
      <c r="C1480" s="11" cm="1">
        <f t="array" ref="C1480">INDEX('Enriched Data'!G:G,A1480+1)</f>
        <v>4365.95</v>
      </c>
      <c r="D1480" s="11">
        <f t="shared" si="70"/>
        <v>934317315.20999956</v>
      </c>
      <c r="E1480" s="10">
        <f t="shared" si="71"/>
        <v>0.99867053145859108</v>
      </c>
    </row>
    <row r="1481" spans="1:5">
      <c r="A1481">
        <f t="shared" si="69"/>
        <v>1480</v>
      </c>
      <c r="B1481" t="str" cm="1">
        <f t="array" ref="B1481">INDEX('Enriched Data'!C:C,A1481+1)</f>
        <v>Charles Woodward dba CW Lawns</v>
      </c>
      <c r="C1481" s="11" cm="1">
        <f t="array" ref="C1481">INDEX('Enriched Data'!G:G,A1481+1)</f>
        <v>4353.75</v>
      </c>
      <c r="D1481" s="11">
        <f t="shared" si="70"/>
        <v>934321668.95999956</v>
      </c>
      <c r="E1481" s="10">
        <f t="shared" si="71"/>
        <v>0.99867518508295994</v>
      </c>
    </row>
    <row r="1482" spans="1:5">
      <c r="A1482">
        <f t="shared" si="69"/>
        <v>1481</v>
      </c>
      <c r="B1482" t="str" cm="1">
        <f t="array" ref="B1482">INDEX('Enriched Data'!C:C,A1482+1)</f>
        <v>Laid Back Lawn Care</v>
      </c>
      <c r="C1482" s="11" cm="1">
        <f t="array" ref="C1482">INDEX('Enriched Data'!G:G,A1482+1)</f>
        <v>4330</v>
      </c>
      <c r="D1482" s="11">
        <f t="shared" si="70"/>
        <v>934325998.95999956</v>
      </c>
      <c r="E1482" s="10">
        <f t="shared" si="71"/>
        <v>0.99867981332149391</v>
      </c>
    </row>
    <row r="1483" spans="1:5">
      <c r="A1483">
        <f t="shared" si="69"/>
        <v>1482</v>
      </c>
      <c r="B1483" t="str" cm="1">
        <f t="array" ref="B1483">INDEX('Enriched Data'!C:C,A1483+1)</f>
        <v>Diamary Pileta</v>
      </c>
      <c r="C1483" s="11" cm="1">
        <f t="array" ref="C1483">INDEX('Enriched Data'!G:G,A1483+1)</f>
        <v>4307</v>
      </c>
      <c r="D1483" s="11">
        <f t="shared" si="70"/>
        <v>934330305.95999956</v>
      </c>
      <c r="E1483" s="10">
        <f t="shared" si="71"/>
        <v>0.99868441697585086</v>
      </c>
    </row>
    <row r="1484" spans="1:5">
      <c r="A1484">
        <f t="shared" si="69"/>
        <v>1483</v>
      </c>
      <c r="B1484" t="str" cm="1">
        <f t="array" ref="B1484">INDEX('Enriched Data'!C:C,A1484+1)</f>
        <v>S&amp;J Lawn Care Service</v>
      </c>
      <c r="C1484" s="11" cm="1">
        <f t="array" ref="C1484">INDEX('Enriched Data'!G:G,A1484+1)</f>
        <v>4250</v>
      </c>
      <c r="D1484" s="11">
        <f t="shared" si="70"/>
        <v>934334555.95999956</v>
      </c>
      <c r="E1484" s="10">
        <f t="shared" si="71"/>
        <v>0.99868895970420413</v>
      </c>
    </row>
    <row r="1485" spans="1:5">
      <c r="A1485">
        <f t="shared" si="69"/>
        <v>1484</v>
      </c>
      <c r="B1485" t="str" cm="1">
        <f t="array" ref="B1485">INDEX('Enriched Data'!C:C,A1485+1)</f>
        <v>Xerox Financial Services LLC</v>
      </c>
      <c r="C1485" s="11" cm="1">
        <f t="array" ref="C1485">INDEX('Enriched Data'!G:G,A1485+1)</f>
        <v>4246.1499999999996</v>
      </c>
      <c r="D1485" s="11">
        <f t="shared" si="70"/>
        <v>934338802.10999954</v>
      </c>
      <c r="E1485" s="10">
        <f t="shared" si="71"/>
        <v>0.99869349831737986</v>
      </c>
    </row>
    <row r="1486" spans="1:5">
      <c r="A1486">
        <f t="shared" si="69"/>
        <v>1485</v>
      </c>
      <c r="B1486" t="str" cm="1">
        <f t="array" ref="B1486">INDEX('Enriched Data'!C:C,A1486+1)</f>
        <v>Uline*</v>
      </c>
      <c r="C1486" s="11" cm="1">
        <f t="array" ref="C1486">INDEX('Enriched Data'!G:G,A1486+1)</f>
        <v>4240.96</v>
      </c>
      <c r="D1486" s="11">
        <f t="shared" si="70"/>
        <v>934343043.06999958</v>
      </c>
      <c r="E1486" s="10">
        <f t="shared" si="71"/>
        <v>0.99869803138308266</v>
      </c>
    </row>
    <row r="1487" spans="1:5">
      <c r="A1487">
        <f t="shared" si="69"/>
        <v>1486</v>
      </c>
      <c r="B1487" t="str" cm="1">
        <f t="array" ref="B1487">INDEX('Enriched Data'!C:C,A1487+1)</f>
        <v>Mcmullen Oil</v>
      </c>
      <c r="C1487" s="11" cm="1">
        <f t="array" ref="C1487">INDEX('Enriched Data'!G:G,A1487+1)</f>
        <v>4231.3999999999996</v>
      </c>
      <c r="D1487" s="11">
        <f t="shared" si="70"/>
        <v>934347274.46999955</v>
      </c>
      <c r="E1487" s="10">
        <f t="shared" si="71"/>
        <v>0.99870255423031884</v>
      </c>
    </row>
    <row r="1488" spans="1:5">
      <c r="A1488">
        <f t="shared" si="69"/>
        <v>1487</v>
      </c>
      <c r="B1488" t="str" cm="1">
        <f t="array" ref="B1488">INDEX('Enriched Data'!C:C,A1488+1)</f>
        <v>ODS Cleaning Services LLC</v>
      </c>
      <c r="C1488" s="11" cm="1">
        <f t="array" ref="C1488">INDEX('Enriched Data'!G:G,A1488+1)</f>
        <v>4230</v>
      </c>
      <c r="D1488" s="11">
        <f t="shared" si="70"/>
        <v>934351504.46999955</v>
      </c>
      <c r="E1488" s="10">
        <f t="shared" si="71"/>
        <v>0.99870707558112681</v>
      </c>
    </row>
    <row r="1489" spans="1:5">
      <c r="A1489">
        <f t="shared" si="69"/>
        <v>1488</v>
      </c>
      <c r="B1489" t="str" cm="1">
        <f t="array" ref="B1489">INDEX('Enriched Data'!C:C,A1489+1)</f>
        <v>Chayah Faith Inc.</v>
      </c>
      <c r="C1489" s="11" cm="1">
        <f t="array" ref="C1489">INDEX('Enriched Data'!G:G,A1489+1)</f>
        <v>4220.24</v>
      </c>
      <c r="D1489" s="11">
        <f t="shared" si="70"/>
        <v>934355724.70999956</v>
      </c>
      <c r="E1489" s="10">
        <f t="shared" si="71"/>
        <v>0.99871158649969283</v>
      </c>
    </row>
    <row r="1490" spans="1:5">
      <c r="A1490">
        <f t="shared" si="69"/>
        <v>1489</v>
      </c>
      <c r="B1490" t="str" cm="1">
        <f t="array" ref="B1490">INDEX('Enriched Data'!C:C,A1490+1)</f>
        <v>James E Cozart</v>
      </c>
      <c r="C1490" s="11" cm="1">
        <f t="array" ref="C1490">INDEX('Enriched Data'!G:G,A1490+1)</f>
        <v>4200</v>
      </c>
      <c r="D1490" s="11">
        <f t="shared" si="70"/>
        <v>934359924.70999956</v>
      </c>
      <c r="E1490" s="10">
        <f t="shared" si="71"/>
        <v>0.99871607578418309</v>
      </c>
    </row>
    <row r="1491" spans="1:5">
      <c r="A1491">
        <f t="shared" si="69"/>
        <v>1490</v>
      </c>
      <c r="B1491" t="str" cm="1">
        <f t="array" ref="B1491">INDEX('Enriched Data'!C:C,A1491+1)</f>
        <v>Ambreen Smith</v>
      </c>
      <c r="C1491" s="11" cm="1">
        <f t="array" ref="C1491">INDEX('Enriched Data'!G:G,A1491+1)</f>
        <v>4200</v>
      </c>
      <c r="D1491" s="11">
        <f t="shared" si="70"/>
        <v>934364124.70999956</v>
      </c>
      <c r="E1491" s="10">
        <f t="shared" si="71"/>
        <v>0.99872056506867335</v>
      </c>
    </row>
    <row r="1492" spans="1:5">
      <c r="A1492">
        <f t="shared" si="69"/>
        <v>1491</v>
      </c>
      <c r="B1492" t="str" cm="1">
        <f t="array" ref="B1492">INDEX('Enriched Data'!C:C,A1492+1)</f>
        <v>Scott County Tobacco Warehouse</v>
      </c>
      <c r="C1492" s="11" cm="1">
        <f t="array" ref="C1492">INDEX('Enriched Data'!G:G,A1492+1)</f>
        <v>4200</v>
      </c>
      <c r="D1492" s="11">
        <f t="shared" si="70"/>
        <v>934368324.70999956</v>
      </c>
      <c r="E1492" s="10">
        <f t="shared" si="71"/>
        <v>0.9987250543531635</v>
      </c>
    </row>
    <row r="1493" spans="1:5">
      <c r="A1493">
        <f t="shared" si="69"/>
        <v>1492</v>
      </c>
      <c r="B1493" t="str" cm="1">
        <f t="array" ref="B1493">INDEX('Enriched Data'!C:C,A1493+1)</f>
        <v>Action Enterprises, Inc</v>
      </c>
      <c r="C1493" s="11" cm="1">
        <f t="array" ref="C1493">INDEX('Enriched Data'!G:G,A1493+1)</f>
        <v>4200</v>
      </c>
      <c r="D1493" s="11">
        <f t="shared" si="70"/>
        <v>934372524.70999956</v>
      </c>
      <c r="E1493" s="10">
        <f t="shared" si="71"/>
        <v>0.99872954363765376</v>
      </c>
    </row>
    <row r="1494" spans="1:5">
      <c r="A1494">
        <f t="shared" si="69"/>
        <v>1493</v>
      </c>
      <c r="B1494" t="str" cm="1">
        <f t="array" ref="B1494">INDEX('Enriched Data'!C:C,A1494+1)</f>
        <v>D&amp;K Hunt Electric</v>
      </c>
      <c r="C1494" s="11" cm="1">
        <f t="array" ref="C1494">INDEX('Enriched Data'!G:G,A1494+1)</f>
        <v>4199.46</v>
      </c>
      <c r="D1494" s="11">
        <f t="shared" si="70"/>
        <v>934376724.1699996</v>
      </c>
      <c r="E1494" s="10">
        <f t="shared" si="71"/>
        <v>0.99873403234495028</v>
      </c>
    </row>
    <row r="1495" spans="1:5">
      <c r="A1495">
        <f t="shared" si="69"/>
        <v>1494</v>
      </c>
      <c r="B1495" t="str" cm="1">
        <f t="array" ref="B1495">INDEX('Enriched Data'!C:C,A1495+1)</f>
        <v>Blue Ridge Enterprises, LLC</v>
      </c>
      <c r="C1495" s="11" cm="1">
        <f t="array" ref="C1495">INDEX('Enriched Data'!G:G,A1495+1)</f>
        <v>4174.1099999999997</v>
      </c>
      <c r="D1495" s="11">
        <f t="shared" si="70"/>
        <v>934380898.27999961</v>
      </c>
      <c r="E1495" s="10">
        <f t="shared" si="71"/>
        <v>0.99873849395620828</v>
      </c>
    </row>
    <row r="1496" spans="1:5">
      <c r="A1496">
        <f t="shared" si="69"/>
        <v>1495</v>
      </c>
      <c r="B1496" t="str" cm="1">
        <f t="array" ref="B1496">INDEX('Enriched Data'!C:C,A1496+1)</f>
        <v>Cleaning Services Of Lubbock</v>
      </c>
      <c r="C1496" s="11" cm="1">
        <f t="array" ref="C1496">INDEX('Enriched Data'!G:G,A1496+1)</f>
        <v>4156.78</v>
      </c>
      <c r="D1496" s="11">
        <f t="shared" si="70"/>
        <v>934385055.05999959</v>
      </c>
      <c r="E1496" s="10">
        <f t="shared" si="71"/>
        <v>0.99874293704382333</v>
      </c>
    </row>
    <row r="1497" spans="1:5">
      <c r="A1497">
        <f t="shared" si="69"/>
        <v>1496</v>
      </c>
      <c r="B1497" t="str" cm="1">
        <f t="array" ref="B1497">INDEX('Enriched Data'!C:C,A1497+1)</f>
        <v>ABC Landscaping Inc.</v>
      </c>
      <c r="C1497" s="11" cm="1">
        <f t="array" ref="C1497">INDEX('Enriched Data'!G:G,A1497+1)</f>
        <v>4150</v>
      </c>
      <c r="D1497" s="11">
        <f t="shared" si="70"/>
        <v>934389205.05999959</v>
      </c>
      <c r="E1497" s="10">
        <f t="shared" si="71"/>
        <v>0.99874737288445059</v>
      </c>
    </row>
    <row r="1498" spans="1:5">
      <c r="A1498">
        <f t="shared" si="69"/>
        <v>1497</v>
      </c>
      <c r="B1498" t="str" cm="1">
        <f t="array" ref="B1498">INDEX('Enriched Data'!C:C,A1498+1)</f>
        <v>Sonitrol Pacific</v>
      </c>
      <c r="C1498" s="11" cm="1">
        <f t="array" ref="C1498">INDEX('Enriched Data'!G:G,A1498+1)</f>
        <v>4130.45</v>
      </c>
      <c r="D1498" s="11">
        <f t="shared" si="70"/>
        <v>934393335.50999963</v>
      </c>
      <c r="E1498" s="10">
        <f t="shared" si="71"/>
        <v>0.99875178782852747</v>
      </c>
    </row>
    <row r="1499" spans="1:5">
      <c r="A1499">
        <f t="shared" si="69"/>
        <v>1498</v>
      </c>
      <c r="B1499" t="str" cm="1">
        <f t="array" ref="B1499">INDEX('Enriched Data'!C:C,A1499+1)</f>
        <v>Sprout Social, Inc.</v>
      </c>
      <c r="C1499" s="11" cm="1">
        <f t="array" ref="C1499">INDEX('Enriched Data'!G:G,A1499+1)</f>
        <v>4125</v>
      </c>
      <c r="D1499" s="11">
        <f t="shared" si="70"/>
        <v>934397460.50999963</v>
      </c>
      <c r="E1499" s="10">
        <f t="shared" si="71"/>
        <v>0.99875619694722328</v>
      </c>
    </row>
    <row r="1500" spans="1:5">
      <c r="A1500">
        <f t="shared" si="69"/>
        <v>1499</v>
      </c>
      <c r="B1500" t="str" cm="1">
        <f t="array" ref="B1500">INDEX('Enriched Data'!C:C,A1500+1)</f>
        <v>Limons Road Service</v>
      </c>
      <c r="C1500" s="11" cm="1">
        <f t="array" ref="C1500">INDEX('Enriched Data'!G:G,A1500+1)</f>
        <v>4119.13</v>
      </c>
      <c r="D1500" s="11">
        <f t="shared" si="70"/>
        <v>934401579.63999963</v>
      </c>
      <c r="E1500" s="10">
        <f t="shared" si="71"/>
        <v>0.99876059979160947</v>
      </c>
    </row>
    <row r="1501" spans="1:5">
      <c r="A1501">
        <f t="shared" si="69"/>
        <v>1500</v>
      </c>
      <c r="B1501" t="str" cm="1">
        <f t="array" ref="B1501">INDEX('Enriched Data'!C:C,A1501+1)</f>
        <v>Cisco Air Systems, Inc.</v>
      </c>
      <c r="C1501" s="11" cm="1">
        <f t="array" ref="C1501">INDEX('Enriched Data'!G:G,A1501+1)</f>
        <v>4117.4799999999996</v>
      </c>
      <c r="D1501" s="11">
        <f t="shared" si="70"/>
        <v>934405697.11999965</v>
      </c>
      <c r="E1501" s="10">
        <f t="shared" si="71"/>
        <v>0.99876500087234832</v>
      </c>
    </row>
    <row r="1502" spans="1:5">
      <c r="A1502">
        <f t="shared" si="69"/>
        <v>1501</v>
      </c>
      <c r="B1502" t="str" cm="1">
        <f t="array" ref="B1502">INDEX('Enriched Data'!C:C,A1502+1)</f>
        <v>Dilmar Oil Company Inc</v>
      </c>
      <c r="C1502" s="11" cm="1">
        <f t="array" ref="C1502">INDEX('Enriched Data'!G:G,A1502+1)</f>
        <v>4093.44</v>
      </c>
      <c r="D1502" s="11">
        <f t="shared" si="70"/>
        <v>934409790.5599997</v>
      </c>
      <c r="E1502" s="10">
        <f t="shared" si="71"/>
        <v>0.9987693762572778</v>
      </c>
    </row>
    <row r="1503" spans="1:5">
      <c r="A1503">
        <f t="shared" si="69"/>
        <v>1502</v>
      </c>
      <c r="B1503" t="str" cm="1">
        <f t="array" ref="B1503">INDEX('Enriched Data'!C:C,A1503+1)</f>
        <v>Colonial Webb Contractors Company</v>
      </c>
      <c r="C1503" s="11" cm="1">
        <f t="array" ref="C1503">INDEX('Enriched Data'!G:G,A1503+1)</f>
        <v>4086.61</v>
      </c>
      <c r="D1503" s="11">
        <f t="shared" si="70"/>
        <v>934413877.16999972</v>
      </c>
      <c r="E1503" s="10">
        <f t="shared" si="71"/>
        <v>0.99877374434177557</v>
      </c>
    </row>
    <row r="1504" spans="1:5">
      <c r="A1504">
        <f t="shared" si="69"/>
        <v>1503</v>
      </c>
      <c r="B1504" t="str" cm="1">
        <f t="array" ref="B1504">INDEX('Enriched Data'!C:C,A1504+1)</f>
        <v>Denise Cunningham</v>
      </c>
      <c r="C1504" s="11" cm="1">
        <f t="array" ref="C1504">INDEX('Enriched Data'!G:G,A1504+1)</f>
        <v>4068.75</v>
      </c>
      <c r="D1504" s="11">
        <f t="shared" si="70"/>
        <v>934417945.91999972</v>
      </c>
      <c r="E1504" s="10">
        <f t="shared" si="71"/>
        <v>0.99877809333612544</v>
      </c>
    </row>
    <row r="1505" spans="1:5">
      <c r="A1505">
        <f t="shared" si="69"/>
        <v>1504</v>
      </c>
      <c r="B1505" t="str" cm="1">
        <f t="array" ref="B1505">INDEX('Enriched Data'!C:C,A1505+1)</f>
        <v>GovX, Inc.</v>
      </c>
      <c r="C1505" s="11" cm="1">
        <f t="array" ref="C1505">INDEX('Enriched Data'!G:G,A1505+1)</f>
        <v>4060.23</v>
      </c>
      <c r="D1505" s="11">
        <f t="shared" si="70"/>
        <v>934422006.14999974</v>
      </c>
      <c r="E1505" s="10">
        <f t="shared" si="71"/>
        <v>0.99878243322364113</v>
      </c>
    </row>
    <row r="1506" spans="1:5">
      <c r="A1506">
        <f t="shared" si="69"/>
        <v>1505</v>
      </c>
      <c r="B1506" t="str" cm="1">
        <f t="array" ref="B1506">INDEX('Enriched Data'!C:C,A1506+1)</f>
        <v>Dales Welding Service</v>
      </c>
      <c r="C1506" s="11" cm="1">
        <f t="array" ref="C1506">INDEX('Enriched Data'!G:G,A1506+1)</f>
        <v>4037.97</v>
      </c>
      <c r="D1506" s="11">
        <f t="shared" si="70"/>
        <v>934426044.11999977</v>
      </c>
      <c r="E1506" s="10">
        <f t="shared" si="71"/>
        <v>0.99878674931794909</v>
      </c>
    </row>
    <row r="1507" spans="1:5">
      <c r="A1507">
        <f t="shared" si="69"/>
        <v>1506</v>
      </c>
      <c r="B1507" t="str" cm="1">
        <f t="array" ref="B1507">INDEX('Enriched Data'!C:C,A1507+1)</f>
        <v>Bob &amp; Bills Service Station, LLC</v>
      </c>
      <c r="C1507" s="11" cm="1">
        <f t="array" ref="C1507">INDEX('Enriched Data'!G:G,A1507+1)</f>
        <v>4025.09</v>
      </c>
      <c r="D1507" s="11">
        <f t="shared" si="70"/>
        <v>934430069.2099998</v>
      </c>
      <c r="E1507" s="10">
        <f t="shared" si="71"/>
        <v>0.99879105164511783</v>
      </c>
    </row>
    <row r="1508" spans="1:5">
      <c r="A1508">
        <f t="shared" si="69"/>
        <v>1507</v>
      </c>
      <c r="B1508" t="str" cm="1">
        <f t="array" ref="B1508">INDEX('Enriched Data'!C:C,A1508+1)</f>
        <v>Thomas Towing &amp; Transport</v>
      </c>
      <c r="C1508" s="11" cm="1">
        <f t="array" ref="C1508">INDEX('Enriched Data'!G:G,A1508+1)</f>
        <v>4021.88</v>
      </c>
      <c r="D1508" s="11">
        <f t="shared" si="70"/>
        <v>934434091.08999979</v>
      </c>
      <c r="E1508" s="10">
        <f t="shared" si="71"/>
        <v>0.99879535054119062</v>
      </c>
    </row>
    <row r="1509" spans="1:5">
      <c r="A1509">
        <f t="shared" si="69"/>
        <v>1508</v>
      </c>
      <c r="B1509" t="str" cm="1">
        <f t="array" ref="B1509">INDEX('Enriched Data'!C:C,A1509+1)</f>
        <v>Dave Davidson</v>
      </c>
      <c r="C1509" s="11" cm="1">
        <f t="array" ref="C1509">INDEX('Enriched Data'!G:G,A1509+1)</f>
        <v>4019.17</v>
      </c>
      <c r="D1509" s="11">
        <f t="shared" si="70"/>
        <v>934438110.25999975</v>
      </c>
      <c r="E1509" s="10">
        <f t="shared" si="71"/>
        <v>0.99879964654060593</v>
      </c>
    </row>
    <row r="1510" spans="1:5">
      <c r="A1510">
        <f t="shared" si="69"/>
        <v>1509</v>
      </c>
      <c r="B1510" t="str" cm="1">
        <f t="array" ref="B1510">INDEX('Enriched Data'!C:C,A1510+1)</f>
        <v>UFCW Local 102</v>
      </c>
      <c r="C1510" s="11" cm="1">
        <f t="array" ref="C1510">INDEX('Enriched Data'!G:G,A1510+1)</f>
        <v>4019</v>
      </c>
      <c r="D1510" s="11">
        <f t="shared" si="70"/>
        <v>934442129.25999975</v>
      </c>
      <c r="E1510" s="10">
        <f t="shared" si="71"/>
        <v>0.99880394235831216</v>
      </c>
    </row>
    <row r="1511" spans="1:5">
      <c r="A1511">
        <f t="shared" si="69"/>
        <v>1510</v>
      </c>
      <c r="B1511" t="str" cm="1">
        <f t="array" ref="B1511">INDEX('Enriched Data'!C:C,A1511+1)</f>
        <v>Security Central, Inc.</v>
      </c>
      <c r="C1511" s="11" cm="1">
        <f t="array" ref="C1511">INDEX('Enriched Data'!G:G,A1511+1)</f>
        <v>4013.46</v>
      </c>
      <c r="D1511" s="11">
        <f t="shared" si="70"/>
        <v>934446142.71999979</v>
      </c>
      <c r="E1511" s="10">
        <f t="shared" si="71"/>
        <v>0.99880823225443849</v>
      </c>
    </row>
    <row r="1512" spans="1:5">
      <c r="A1512">
        <f t="shared" si="69"/>
        <v>1511</v>
      </c>
      <c r="B1512" t="str" cm="1">
        <f t="array" ref="B1512">INDEX('Enriched Data'!C:C,A1512+1)</f>
        <v>Patricia McCarty Martinez</v>
      </c>
      <c r="C1512" s="11" cm="1">
        <f t="array" ref="C1512">INDEX('Enriched Data'!G:G,A1512+1)</f>
        <v>4005.25</v>
      </c>
      <c r="D1512" s="11">
        <f t="shared" si="70"/>
        <v>934450147.96999979</v>
      </c>
      <c r="E1512" s="10">
        <f t="shared" si="71"/>
        <v>0.99881251337508237</v>
      </c>
    </row>
    <row r="1513" spans="1:5">
      <c r="A1513">
        <f t="shared" si="69"/>
        <v>1512</v>
      </c>
      <c r="B1513" t="str" cm="1">
        <f t="array" ref="B1513">INDEX('Enriched Data'!C:C,A1513+1)</f>
        <v>Shine Bright Cleaning, Inc.</v>
      </c>
      <c r="C1513" s="11" cm="1">
        <f t="array" ref="C1513">INDEX('Enriched Data'!G:G,A1513+1)</f>
        <v>4000</v>
      </c>
      <c r="D1513" s="11">
        <f t="shared" si="70"/>
        <v>934454147.96999979</v>
      </c>
      <c r="E1513" s="10">
        <f t="shared" si="71"/>
        <v>0.99881678888412073</v>
      </c>
    </row>
    <row r="1514" spans="1:5">
      <c r="A1514">
        <f t="shared" si="69"/>
        <v>1513</v>
      </c>
      <c r="B1514" t="str" cm="1">
        <f t="array" ref="B1514">INDEX('Enriched Data'!C:C,A1514+1)</f>
        <v>Scrap Metal Management North</v>
      </c>
      <c r="C1514" s="11" cm="1">
        <f t="array" ref="C1514">INDEX('Enriched Data'!G:G,A1514+1)</f>
        <v>4000</v>
      </c>
      <c r="D1514" s="11">
        <f t="shared" si="70"/>
        <v>934458147.96999979</v>
      </c>
      <c r="E1514" s="10">
        <f t="shared" si="71"/>
        <v>0.99882106439315899</v>
      </c>
    </row>
    <row r="1515" spans="1:5">
      <c r="A1515">
        <f t="shared" si="69"/>
        <v>1514</v>
      </c>
      <c r="B1515" t="str" cm="1">
        <f t="array" ref="B1515">INDEX('Enriched Data'!C:C,A1515+1)</f>
        <v>Colonial Oil Industries, Inc</v>
      </c>
      <c r="C1515" s="11" cm="1">
        <f t="array" ref="C1515">INDEX('Enriched Data'!G:G,A1515+1)</f>
        <v>3991.98</v>
      </c>
      <c r="D1515" s="11">
        <f t="shared" si="70"/>
        <v>934462139.94999981</v>
      </c>
      <c r="E1515" s="10">
        <f t="shared" si="71"/>
        <v>0.99882533132980167</v>
      </c>
    </row>
    <row r="1516" spans="1:5">
      <c r="A1516">
        <f t="shared" si="69"/>
        <v>1515</v>
      </c>
      <c r="B1516" t="str" cm="1">
        <f t="array" ref="B1516">INDEX('Enriched Data'!C:C,A1516+1)</f>
        <v>Red Gate Software Ltd.</v>
      </c>
      <c r="C1516" s="11" cm="1">
        <f t="array" ref="C1516">INDEX('Enriched Data'!G:G,A1516+1)</f>
        <v>3975.12</v>
      </c>
      <c r="D1516" s="11">
        <f t="shared" si="70"/>
        <v>934466115.06999981</v>
      </c>
      <c r="E1516" s="10">
        <f t="shared" si="71"/>
        <v>0.99882958024517376</v>
      </c>
    </row>
    <row r="1517" spans="1:5">
      <c r="A1517">
        <f t="shared" si="69"/>
        <v>1516</v>
      </c>
      <c r="B1517" t="str" cm="1">
        <f t="array" ref="B1517">INDEX('Enriched Data'!C:C,A1517+1)</f>
        <v>Spectrum Maintenance Services, LLC</v>
      </c>
      <c r="C1517" s="11" cm="1">
        <f t="array" ref="C1517">INDEX('Enriched Data'!G:G,A1517+1)</f>
        <v>3965</v>
      </c>
      <c r="D1517" s="11">
        <f t="shared" si="70"/>
        <v>934470080.06999981</v>
      </c>
      <c r="E1517" s="10">
        <f t="shared" si="71"/>
        <v>0.99883381834350804</v>
      </c>
    </row>
    <row r="1518" spans="1:5">
      <c r="A1518">
        <f t="shared" si="69"/>
        <v>1517</v>
      </c>
      <c r="B1518" t="str" cm="1">
        <f t="array" ref="B1518">INDEX('Enriched Data'!C:C,A1518+1)</f>
        <v>Lawn Trouper, Inc.</v>
      </c>
      <c r="C1518" s="11" cm="1">
        <f t="array" ref="C1518">INDEX('Enriched Data'!G:G,A1518+1)</f>
        <v>3960</v>
      </c>
      <c r="D1518" s="11">
        <f t="shared" si="70"/>
        <v>934474040.06999981</v>
      </c>
      <c r="E1518" s="10">
        <f t="shared" si="71"/>
        <v>0.99883805109745594</v>
      </c>
    </row>
    <row r="1519" spans="1:5">
      <c r="A1519">
        <f t="shared" si="69"/>
        <v>1518</v>
      </c>
      <c r="B1519" t="str" cm="1">
        <f t="array" ref="B1519">INDEX('Enriched Data'!C:C,A1519+1)</f>
        <v>Hydra Power Hydraulics</v>
      </c>
      <c r="C1519" s="11" cm="1">
        <f t="array" ref="C1519">INDEX('Enriched Data'!G:G,A1519+1)</f>
        <v>3936.91</v>
      </c>
      <c r="D1519" s="11">
        <f t="shared" si="70"/>
        <v>934477976.97999978</v>
      </c>
      <c r="E1519" s="10">
        <f t="shared" si="71"/>
        <v>0.99884225917102798</v>
      </c>
    </row>
    <row r="1520" spans="1:5">
      <c r="A1520">
        <f t="shared" si="69"/>
        <v>1519</v>
      </c>
      <c r="B1520" t="str" cm="1">
        <f t="array" ref="B1520">INDEX('Enriched Data'!C:C,A1520+1)</f>
        <v>East-West Electric Inc</v>
      </c>
      <c r="C1520" s="11" cm="1">
        <f t="array" ref="C1520">INDEX('Enriched Data'!G:G,A1520+1)</f>
        <v>3926</v>
      </c>
      <c r="D1520" s="11">
        <f t="shared" si="70"/>
        <v>934481902.97999978</v>
      </c>
      <c r="E1520" s="10">
        <f t="shared" si="71"/>
        <v>0.998846455583149</v>
      </c>
    </row>
    <row r="1521" spans="1:5">
      <c r="A1521">
        <f t="shared" si="69"/>
        <v>1520</v>
      </c>
      <c r="B1521" t="str" cm="1">
        <f t="array" ref="B1521">INDEX('Enriched Data'!C:C,A1521+1)</f>
        <v>Dipple Plumbing Inc.</v>
      </c>
      <c r="C1521" s="11" cm="1">
        <f t="array" ref="C1521">INDEX('Enriched Data'!G:G,A1521+1)</f>
        <v>3925</v>
      </c>
      <c r="D1521" s="11">
        <f t="shared" si="70"/>
        <v>934485827.97999978</v>
      </c>
      <c r="E1521" s="10">
        <f t="shared" si="71"/>
        <v>0.99885065092639291</v>
      </c>
    </row>
    <row r="1522" spans="1:5">
      <c r="A1522">
        <f t="shared" si="69"/>
        <v>1521</v>
      </c>
      <c r="B1522" t="str" cm="1">
        <f t="array" ref="B1522">INDEX('Enriched Data'!C:C,A1522+1)</f>
        <v>Flynn Scale Inc</v>
      </c>
      <c r="C1522" s="11" cm="1">
        <f t="array" ref="C1522">INDEX('Enriched Data'!G:G,A1522+1)</f>
        <v>3918.83</v>
      </c>
      <c r="D1522" s="11">
        <f t="shared" si="70"/>
        <v>934489746.80999982</v>
      </c>
      <c r="E1522" s="10">
        <f t="shared" si="71"/>
        <v>0.99885483967466404</v>
      </c>
    </row>
    <row r="1523" spans="1:5">
      <c r="A1523">
        <f t="shared" si="69"/>
        <v>1522</v>
      </c>
      <c r="B1523" t="str" cm="1">
        <f t="array" ref="B1523">INDEX('Enriched Data'!C:C,A1523+1)</f>
        <v>SI Mechanical, LLC</v>
      </c>
      <c r="C1523" s="11" cm="1">
        <f t="array" ref="C1523">INDEX('Enriched Data'!G:G,A1523+1)</f>
        <v>3911.17</v>
      </c>
      <c r="D1523" s="11">
        <f t="shared" si="70"/>
        <v>934493657.97999978</v>
      </c>
      <c r="E1523" s="10">
        <f t="shared" si="71"/>
        <v>0.99885902023533535</v>
      </c>
    </row>
    <row r="1524" spans="1:5">
      <c r="A1524">
        <f t="shared" si="69"/>
        <v>1523</v>
      </c>
      <c r="B1524" t="str" cm="1">
        <f t="array" ref="B1524">INDEX('Enriched Data'!C:C,A1524+1)</f>
        <v>Redguard Fire &amp; Security</v>
      </c>
      <c r="C1524" s="11" cm="1">
        <f t="array" ref="C1524">INDEX('Enriched Data'!G:G,A1524+1)</f>
        <v>3901.68</v>
      </c>
      <c r="D1524" s="11">
        <f t="shared" si="70"/>
        <v>934497559.65999973</v>
      </c>
      <c r="E1524" s="10">
        <f t="shared" si="71"/>
        <v>0.99886319065236151</v>
      </c>
    </row>
    <row r="1525" spans="1:5">
      <c r="A1525">
        <f t="shared" si="69"/>
        <v>1524</v>
      </c>
      <c r="B1525" t="str" cm="1">
        <f t="array" ref="B1525">INDEX('Enriched Data'!C:C,A1525+1)</f>
        <v>Jessica Strechar dba JS Cleaning Service</v>
      </c>
      <c r="C1525" s="11" cm="1">
        <f t="array" ref="C1525">INDEX('Enriched Data'!G:G,A1525+1)</f>
        <v>3900</v>
      </c>
      <c r="D1525" s="11">
        <f t="shared" si="70"/>
        <v>934501459.65999973</v>
      </c>
      <c r="E1525" s="10">
        <f t="shared" si="71"/>
        <v>0.99886735927367387</v>
      </c>
    </row>
    <row r="1526" spans="1:5">
      <c r="A1526">
        <f t="shared" si="69"/>
        <v>1525</v>
      </c>
      <c r="B1526" t="str" cm="1">
        <f t="array" ref="B1526">INDEX('Enriched Data'!C:C,A1526+1)</f>
        <v>Kolb Electric, Inc</v>
      </c>
      <c r="C1526" s="11" cm="1">
        <f t="array" ref="C1526">INDEX('Enriched Data'!G:G,A1526+1)</f>
        <v>3900</v>
      </c>
      <c r="D1526" s="11">
        <f t="shared" si="70"/>
        <v>934505359.65999973</v>
      </c>
      <c r="E1526" s="10">
        <f t="shared" si="71"/>
        <v>0.99887152789498623</v>
      </c>
    </row>
    <row r="1527" spans="1:5">
      <c r="A1527">
        <f t="shared" si="69"/>
        <v>1526</v>
      </c>
      <c r="B1527" t="str" cm="1">
        <f t="array" ref="B1527">INDEX('Enriched Data'!C:C,A1527+1)</f>
        <v>Foos Fire, Inc.</v>
      </c>
      <c r="C1527" s="11" cm="1">
        <f t="array" ref="C1527">INDEX('Enriched Data'!G:G,A1527+1)</f>
        <v>3861.18</v>
      </c>
      <c r="D1527" s="11">
        <f t="shared" si="70"/>
        <v>934509220.83999968</v>
      </c>
      <c r="E1527" s="10">
        <f t="shared" si="71"/>
        <v>0.99887565502248332</v>
      </c>
    </row>
    <row r="1528" spans="1:5">
      <c r="A1528">
        <f t="shared" si="69"/>
        <v>1527</v>
      </c>
      <c r="B1528" t="str" cm="1">
        <f t="array" ref="B1528">INDEX('Enriched Data'!C:C,A1528+1)</f>
        <v>Overhead Door Co of Shenandoah Vall</v>
      </c>
      <c r="C1528" s="11" cm="1">
        <f t="array" ref="C1528">INDEX('Enriched Data'!G:G,A1528+1)</f>
        <v>3858.61</v>
      </c>
      <c r="D1528" s="11">
        <f t="shared" si="70"/>
        <v>934513079.44999969</v>
      </c>
      <c r="E1528" s="10">
        <f t="shared" si="71"/>
        <v>0.99887977940296591</v>
      </c>
    </row>
    <row r="1529" spans="1:5">
      <c r="A1529">
        <f t="shared" si="69"/>
        <v>1528</v>
      </c>
      <c r="B1529" t="str" cm="1">
        <f t="array" ref="B1529">INDEX('Enriched Data'!C:C,A1529+1)</f>
        <v>Cali Maintenance, Inc.</v>
      </c>
      <c r="C1529" s="11" cm="1">
        <f t="array" ref="C1529">INDEX('Enriched Data'!G:G,A1529+1)</f>
        <v>3857.22</v>
      </c>
      <c r="D1529" s="11">
        <f t="shared" si="70"/>
        <v>934516936.66999972</v>
      </c>
      <c r="E1529" s="10">
        <f t="shared" si="71"/>
        <v>0.99888390229770907</v>
      </c>
    </row>
    <row r="1530" spans="1:5">
      <c r="A1530">
        <f t="shared" si="69"/>
        <v>1529</v>
      </c>
      <c r="B1530" t="str" cm="1">
        <f t="array" ref="B1530">INDEX('Enriched Data'!C:C,A1530+1)</f>
        <v>Alliance Mechanical Services</v>
      </c>
      <c r="C1530" s="11" cm="1">
        <f t="array" ref="C1530">INDEX('Enriched Data'!G:G,A1530+1)</f>
        <v>3843.58</v>
      </c>
      <c r="D1530" s="11">
        <f t="shared" si="70"/>
        <v>934520780.24999976</v>
      </c>
      <c r="E1530" s="10">
        <f t="shared" si="71"/>
        <v>0.9988880106129665</v>
      </c>
    </row>
    <row r="1531" spans="1:5">
      <c r="A1531">
        <f t="shared" si="69"/>
        <v>1530</v>
      </c>
      <c r="B1531" t="str" cm="1">
        <f t="array" ref="B1531">INDEX('Enriched Data'!C:C,A1531+1)</f>
        <v>Merry Maids</v>
      </c>
      <c r="C1531" s="11" cm="1">
        <f t="array" ref="C1531">INDEX('Enriched Data'!G:G,A1531+1)</f>
        <v>3825</v>
      </c>
      <c r="D1531" s="11">
        <f t="shared" si="70"/>
        <v>934524605.24999976</v>
      </c>
      <c r="E1531" s="10">
        <f t="shared" si="71"/>
        <v>0.99889209906848442</v>
      </c>
    </row>
    <row r="1532" spans="1:5">
      <c r="A1532">
        <f t="shared" si="69"/>
        <v>1531</v>
      </c>
      <c r="B1532" t="str" cm="1">
        <f t="array" ref="B1532">INDEX('Enriched Data'!C:C,A1532+1)</f>
        <v>Signature Relocation</v>
      </c>
      <c r="C1532" s="11" cm="1">
        <f t="array" ref="C1532">INDEX('Enriched Data'!G:G,A1532+1)</f>
        <v>3824.07</v>
      </c>
      <c r="D1532" s="11">
        <f t="shared" si="70"/>
        <v>934528429.31999981</v>
      </c>
      <c r="E1532" s="10">
        <f t="shared" si="71"/>
        <v>0.99889618652994649</v>
      </c>
    </row>
    <row r="1533" spans="1:5">
      <c r="A1533">
        <f t="shared" si="69"/>
        <v>1532</v>
      </c>
      <c r="B1533" t="str" cm="1">
        <f t="array" ref="B1533">INDEX('Enriched Data'!C:C,A1533+1)</f>
        <v>D-Ben Security Systems, Inc.</v>
      </c>
      <c r="C1533" s="11" cm="1">
        <f t="array" ref="C1533">INDEX('Enriched Data'!G:G,A1533+1)</f>
        <v>3788.23</v>
      </c>
      <c r="D1533" s="11">
        <f t="shared" si="70"/>
        <v>934532217.54999983</v>
      </c>
      <c r="E1533" s="10">
        <f t="shared" si="71"/>
        <v>0.99890023568284758</v>
      </c>
    </row>
    <row r="1534" spans="1:5">
      <c r="A1534">
        <f t="shared" si="69"/>
        <v>1533</v>
      </c>
      <c r="B1534" t="str" cm="1">
        <f t="array" ref="B1534">INDEX('Enriched Data'!C:C,A1534+1)</f>
        <v>G.O. Tap Plus</v>
      </c>
      <c r="C1534" s="11" cm="1">
        <f t="array" ref="C1534">INDEX('Enriched Data'!G:G,A1534+1)</f>
        <v>3784.78</v>
      </c>
      <c r="D1534" s="11">
        <f t="shared" si="70"/>
        <v>934536002.3299998</v>
      </c>
      <c r="E1534" s="10">
        <f t="shared" si="71"/>
        <v>0.99890428114812202</v>
      </c>
    </row>
    <row r="1535" spans="1:5">
      <c r="A1535">
        <f t="shared" si="69"/>
        <v>1534</v>
      </c>
      <c r="B1535" t="str" cm="1">
        <f t="array" ref="B1535">INDEX('Enriched Data'!C:C,A1535+1)</f>
        <v>3A Communications, LLC</v>
      </c>
      <c r="C1535" s="11" cm="1">
        <f t="array" ref="C1535">INDEX('Enriched Data'!G:G,A1535+1)</f>
        <v>3775</v>
      </c>
      <c r="D1535" s="11">
        <f t="shared" si="70"/>
        <v>934539777.3299998</v>
      </c>
      <c r="E1535" s="10">
        <f t="shared" si="71"/>
        <v>0.99890831615977693</v>
      </c>
    </row>
    <row r="1536" spans="1:5">
      <c r="A1536">
        <f t="shared" si="69"/>
        <v>1535</v>
      </c>
      <c r="B1536" t="str" cm="1">
        <f t="array" ref="B1536">INDEX('Enriched Data'!C:C,A1536+1)</f>
        <v>Environmental Equipment Supply</v>
      </c>
      <c r="C1536" s="11" cm="1">
        <f t="array" ref="C1536">INDEX('Enriched Data'!G:G,A1536+1)</f>
        <v>3769.98</v>
      </c>
      <c r="D1536" s="11">
        <f t="shared" si="70"/>
        <v>934543547.30999982</v>
      </c>
      <c r="E1536" s="10">
        <f t="shared" si="71"/>
        <v>0.99891234580566801</v>
      </c>
    </row>
    <row r="1537" spans="1:5">
      <c r="A1537">
        <f t="shared" si="69"/>
        <v>1536</v>
      </c>
      <c r="B1537" t="str" cm="1">
        <f t="array" ref="B1537">INDEX('Enriched Data'!C:C,A1537+1)</f>
        <v>Sturdy Oil Company</v>
      </c>
      <c r="C1537" s="11" cm="1">
        <f t="array" ref="C1537">INDEX('Enriched Data'!G:G,A1537+1)</f>
        <v>3752.51</v>
      </c>
      <c r="D1537" s="11">
        <f t="shared" si="70"/>
        <v>934547299.81999981</v>
      </c>
      <c r="E1537" s="10">
        <f t="shared" si="71"/>
        <v>0.9989163567782734</v>
      </c>
    </row>
    <row r="1538" spans="1:5">
      <c r="A1538">
        <f t="shared" si="69"/>
        <v>1537</v>
      </c>
      <c r="B1538" t="str" cm="1">
        <f t="array" ref="B1538">INDEX('Enriched Data'!C:C,A1538+1)</f>
        <v>Carlos Palomera</v>
      </c>
      <c r="C1538" s="11" cm="1">
        <f t="array" ref="C1538">INDEX('Enriched Data'!G:G,A1538+1)</f>
        <v>3750</v>
      </c>
      <c r="D1538" s="11">
        <f t="shared" si="70"/>
        <v>934551049.81999981</v>
      </c>
      <c r="E1538" s="10">
        <f t="shared" si="71"/>
        <v>0.99892036506799686</v>
      </c>
    </row>
    <row r="1539" spans="1:5">
      <c r="A1539">
        <f t="shared" si="69"/>
        <v>1538</v>
      </c>
      <c r="B1539" t="str" cm="1">
        <f t="array" ref="B1539">INDEX('Enriched Data'!C:C,A1539+1)</f>
        <v>Hookin &amp; Bookin Towing LLC</v>
      </c>
      <c r="C1539" s="11" cm="1">
        <f t="array" ref="C1539">INDEX('Enriched Data'!G:G,A1539+1)</f>
        <v>3750</v>
      </c>
      <c r="D1539" s="11">
        <f t="shared" si="70"/>
        <v>934554799.81999981</v>
      </c>
      <c r="E1539" s="10">
        <f t="shared" si="71"/>
        <v>0.99892437335772022</v>
      </c>
    </row>
    <row r="1540" spans="1:5">
      <c r="A1540">
        <f t="shared" ref="A1540:A1603" si="72">A1539+1</f>
        <v>1539</v>
      </c>
      <c r="B1540" t="str" cm="1">
        <f t="array" ref="B1540">INDEX('Enriched Data'!C:C,A1540+1)</f>
        <v>JT Lawn N Mulch, LLC</v>
      </c>
      <c r="C1540" s="11" cm="1">
        <f t="array" ref="C1540">INDEX('Enriched Data'!G:G,A1540+1)</f>
        <v>3741</v>
      </c>
      <c r="D1540" s="11">
        <f t="shared" ref="D1540:D1603" si="73">D1539+C1540</f>
        <v>934558540.81999981</v>
      </c>
      <c r="E1540" s="10">
        <f t="shared" ref="E1540:E1603" si="74">D1540/$F$2</f>
        <v>0.99892837202754836</v>
      </c>
    </row>
    <row r="1541" spans="1:5">
      <c r="A1541">
        <f t="shared" si="72"/>
        <v>1540</v>
      </c>
      <c r="B1541" t="str" cm="1">
        <f t="array" ref="B1541">INDEX('Enriched Data'!C:C,A1541+1)</f>
        <v>Michael Muhlfeder</v>
      </c>
      <c r="C1541" s="11" cm="1">
        <f t="array" ref="C1541">INDEX('Enriched Data'!G:G,A1541+1)</f>
        <v>3725</v>
      </c>
      <c r="D1541" s="11">
        <f t="shared" si="73"/>
        <v>934562265.81999981</v>
      </c>
      <c r="E1541" s="10">
        <f t="shared" si="74"/>
        <v>0.99893235359534027</v>
      </c>
    </row>
    <row r="1542" spans="1:5">
      <c r="A1542">
        <f t="shared" si="72"/>
        <v>1541</v>
      </c>
      <c r="B1542" t="str" cm="1">
        <f t="array" ref="B1542">INDEX('Enriched Data'!C:C,A1542+1)</f>
        <v>Miner Florida</v>
      </c>
      <c r="C1542" s="11" cm="1">
        <f t="array" ref="C1542">INDEX('Enriched Data'!G:G,A1542+1)</f>
        <v>3721.4</v>
      </c>
      <c r="D1542" s="11">
        <f t="shared" si="73"/>
        <v>934565987.21999979</v>
      </c>
      <c r="E1542" s="10">
        <f t="shared" si="74"/>
        <v>0.99893633131517401</v>
      </c>
    </row>
    <row r="1543" spans="1:5">
      <c r="A1543">
        <f t="shared" si="72"/>
        <v>1542</v>
      </c>
      <c r="B1543" t="str" cm="1">
        <f t="array" ref="B1543">INDEX('Enriched Data'!C:C,A1543+1)</f>
        <v>Portable Storage Inc.</v>
      </c>
      <c r="C1543" s="11" cm="1">
        <f t="array" ref="C1543">INDEX('Enriched Data'!G:G,A1543+1)</f>
        <v>3720</v>
      </c>
      <c r="D1543" s="11">
        <f t="shared" si="73"/>
        <v>934569707.21999979</v>
      </c>
      <c r="E1543" s="10">
        <f t="shared" si="74"/>
        <v>0.99894030753857965</v>
      </c>
    </row>
    <row r="1544" spans="1:5">
      <c r="A1544">
        <f t="shared" si="72"/>
        <v>1543</v>
      </c>
      <c r="B1544" t="str" cm="1">
        <f t="array" ref="B1544">INDEX('Enriched Data'!C:C,A1544+1)</f>
        <v>Sonitrol/Pacific West Security Inc.</v>
      </c>
      <c r="C1544" s="11" cm="1">
        <f t="array" ref="C1544">INDEX('Enriched Data'!G:G,A1544+1)</f>
        <v>3720</v>
      </c>
      <c r="D1544" s="11">
        <f t="shared" si="73"/>
        <v>934573427.21999979</v>
      </c>
      <c r="E1544" s="10">
        <f t="shared" si="74"/>
        <v>0.9989442837619853</v>
      </c>
    </row>
    <row r="1545" spans="1:5">
      <c r="A1545">
        <f t="shared" si="72"/>
        <v>1544</v>
      </c>
      <c r="B1545" t="str" cm="1">
        <f t="array" ref="B1545">INDEX('Enriched Data'!C:C,A1545+1)</f>
        <v>Landstar Ranger Inc</v>
      </c>
      <c r="C1545" s="11" cm="1">
        <f t="array" ref="C1545">INDEX('Enriched Data'!G:G,A1545+1)</f>
        <v>3714.76</v>
      </c>
      <c r="D1545" s="11">
        <f t="shared" si="73"/>
        <v>934577141.97999978</v>
      </c>
      <c r="E1545" s="10">
        <f t="shared" si="74"/>
        <v>0.9989482543844741</v>
      </c>
    </row>
    <row r="1546" spans="1:5">
      <c r="A1546">
        <f t="shared" si="72"/>
        <v>1545</v>
      </c>
      <c r="B1546" t="str" cm="1">
        <f t="array" ref="B1546">INDEX('Enriched Data'!C:C,A1546+1)</f>
        <v>Fidelity Engineering Corporation</v>
      </c>
      <c r="C1546" s="11" cm="1">
        <f t="array" ref="C1546">INDEX('Enriched Data'!G:G,A1546+1)</f>
        <v>3710</v>
      </c>
      <c r="D1546" s="11">
        <f t="shared" si="73"/>
        <v>934580851.97999978</v>
      </c>
      <c r="E1546" s="10">
        <f t="shared" si="74"/>
        <v>0.9989522199191071</v>
      </c>
    </row>
    <row r="1547" spans="1:5">
      <c r="A1547">
        <f t="shared" si="72"/>
        <v>1546</v>
      </c>
      <c r="B1547" t="str" cm="1">
        <f t="array" ref="B1547">INDEX('Enriched Data'!C:C,A1547+1)</f>
        <v>Creative Landscape Group</v>
      </c>
      <c r="C1547" s="11" cm="1">
        <f t="array" ref="C1547">INDEX('Enriched Data'!G:G,A1547+1)</f>
        <v>3705</v>
      </c>
      <c r="D1547" s="11">
        <f t="shared" si="73"/>
        <v>934584556.97999978</v>
      </c>
      <c r="E1547" s="10">
        <f t="shared" si="74"/>
        <v>0.99895618010935383</v>
      </c>
    </row>
    <row r="1548" spans="1:5">
      <c r="A1548">
        <f t="shared" si="72"/>
        <v>1547</v>
      </c>
      <c r="B1548" t="str" cm="1">
        <f t="array" ref="B1548">INDEX('Enriched Data'!C:C,A1548+1)</f>
        <v>Fastenal Canada LTD</v>
      </c>
      <c r="C1548" s="11" cm="1">
        <f t="array" ref="C1548">INDEX('Enriched Data'!G:G,A1548+1)</f>
        <v>3692.52</v>
      </c>
      <c r="D1548" s="11">
        <f t="shared" si="73"/>
        <v>934588249.49999976</v>
      </c>
      <c r="E1548" s="10">
        <f t="shared" si="74"/>
        <v>0.99896012696001235</v>
      </c>
    </row>
    <row r="1549" spans="1:5">
      <c r="A1549">
        <f t="shared" si="72"/>
        <v>1548</v>
      </c>
      <c r="B1549" t="str" cm="1">
        <f t="array" ref="B1549">INDEX('Enriched Data'!C:C,A1549+1)</f>
        <v>Denalect Alarm</v>
      </c>
      <c r="C1549" s="11" cm="1">
        <f t="array" ref="C1549">INDEX('Enriched Data'!G:G,A1549+1)</f>
        <v>3673.75</v>
      </c>
      <c r="D1549" s="11">
        <f t="shared" si="73"/>
        <v>934591923.24999976</v>
      </c>
      <c r="E1549" s="10">
        <f t="shared" si="74"/>
        <v>0.99896405374784469</v>
      </c>
    </row>
    <row r="1550" spans="1:5">
      <c r="A1550">
        <f t="shared" si="72"/>
        <v>1549</v>
      </c>
      <c r="B1550" t="str" cm="1">
        <f t="array" ref="B1550">INDEX('Enriched Data'!C:C,A1550+1)</f>
        <v>Harding Landscapes</v>
      </c>
      <c r="C1550" s="11" cm="1">
        <f t="array" ref="C1550">INDEX('Enriched Data'!G:G,A1550+1)</f>
        <v>3648</v>
      </c>
      <c r="D1550" s="11">
        <f t="shared" si="73"/>
        <v>934595571.24999976</v>
      </c>
      <c r="E1550" s="10">
        <f t="shared" si="74"/>
        <v>0.99896795301208763</v>
      </c>
    </row>
    <row r="1551" spans="1:5">
      <c r="A1551">
        <f t="shared" si="72"/>
        <v>1550</v>
      </c>
      <c r="B1551" t="str" cm="1">
        <f t="array" ref="B1551">INDEX('Enriched Data'!C:C,A1551+1)</f>
        <v>G&amp;C Diesel LLC</v>
      </c>
      <c r="C1551" s="11" cm="1">
        <f t="array" ref="C1551">INDEX('Enriched Data'!G:G,A1551+1)</f>
        <v>3641.03</v>
      </c>
      <c r="D1551" s="11">
        <f t="shared" si="73"/>
        <v>934599212.27999973</v>
      </c>
      <c r="E1551" s="10">
        <f t="shared" si="74"/>
        <v>0.99897184482625612</v>
      </c>
    </row>
    <row r="1552" spans="1:5">
      <c r="A1552">
        <f t="shared" si="72"/>
        <v>1551</v>
      </c>
      <c r="B1552" t="str" cm="1">
        <f t="array" ref="B1552">INDEX('Enriched Data'!C:C,A1552+1)</f>
        <v>At Leisure Contractor Licensing LLC</v>
      </c>
      <c r="C1552" s="11" cm="1">
        <f t="array" ref="C1552">INDEX('Enriched Data'!G:G,A1552+1)</f>
        <v>3618</v>
      </c>
      <c r="D1552" s="11">
        <f t="shared" si="73"/>
        <v>934602830.27999973</v>
      </c>
      <c r="E1552" s="10">
        <f t="shared" si="74"/>
        <v>0.99897571202418123</v>
      </c>
    </row>
    <row r="1553" spans="1:5">
      <c r="A1553">
        <f t="shared" si="72"/>
        <v>1552</v>
      </c>
      <c r="B1553" t="str" cm="1">
        <f t="array" ref="B1553">INDEX('Enriched Data'!C:C,A1553+1)</f>
        <v>Commercial Tire Group LLC</v>
      </c>
      <c r="C1553" s="11" cm="1">
        <f t="array" ref="C1553">INDEX('Enriched Data'!G:G,A1553+1)</f>
        <v>3617.7</v>
      </c>
      <c r="D1553" s="11">
        <f t="shared" si="73"/>
        <v>934606447.97999978</v>
      </c>
      <c r="E1553" s="10">
        <f t="shared" si="74"/>
        <v>0.99897957890144329</v>
      </c>
    </row>
    <row r="1554" spans="1:5">
      <c r="A1554">
        <f t="shared" si="72"/>
        <v>1553</v>
      </c>
      <c r="B1554" t="str" cm="1">
        <f t="array" ref="B1554">INDEX('Enriched Data'!C:C,A1554+1)</f>
        <v>Pittsburgh Reliable Clng Serv, LLC</v>
      </c>
      <c r="C1554" s="11" cm="1">
        <f t="array" ref="C1554">INDEX('Enriched Data'!G:G,A1554+1)</f>
        <v>3613.39</v>
      </c>
      <c r="D1554" s="11">
        <f t="shared" si="73"/>
        <v>934610061.36999977</v>
      </c>
      <c r="E1554" s="10">
        <f t="shared" si="74"/>
        <v>0.99898344117184423</v>
      </c>
    </row>
    <row r="1555" spans="1:5">
      <c r="A1555">
        <f t="shared" si="72"/>
        <v>1554</v>
      </c>
      <c r="B1555" t="str" cm="1">
        <f t="array" ref="B1555">INDEX('Enriched Data'!C:C,A1555+1)</f>
        <v>K-15 Auto Salvage Inc.</v>
      </c>
      <c r="C1555" s="11" cm="1">
        <f t="array" ref="C1555">INDEX('Enriched Data'!G:G,A1555+1)</f>
        <v>3600</v>
      </c>
      <c r="D1555" s="11">
        <f t="shared" si="73"/>
        <v>934613661.36999977</v>
      </c>
      <c r="E1555" s="10">
        <f t="shared" si="74"/>
        <v>0.9989872891299787</v>
      </c>
    </row>
    <row r="1556" spans="1:5">
      <c r="A1556">
        <f t="shared" si="72"/>
        <v>1555</v>
      </c>
      <c r="B1556" t="str" cm="1">
        <f t="array" ref="B1556">INDEX('Enriched Data'!C:C,A1556+1)</f>
        <v>Roger M. Schultz</v>
      </c>
      <c r="C1556" s="11" cm="1">
        <f t="array" ref="C1556">INDEX('Enriched Data'!G:G,A1556+1)</f>
        <v>3600</v>
      </c>
      <c r="D1556" s="11">
        <f t="shared" si="73"/>
        <v>934617261.36999977</v>
      </c>
      <c r="E1556" s="10">
        <f t="shared" si="74"/>
        <v>0.99899113708811327</v>
      </c>
    </row>
    <row r="1557" spans="1:5">
      <c r="A1557">
        <f t="shared" si="72"/>
        <v>1556</v>
      </c>
      <c r="B1557" t="str" cm="1">
        <f t="array" ref="B1557">INDEX('Enriched Data'!C:C,A1557+1)</f>
        <v>Washington State Dpt of Ecology</v>
      </c>
      <c r="C1557" s="11" cm="1">
        <f t="array" ref="C1557">INDEX('Enriched Data'!G:G,A1557+1)</f>
        <v>3600</v>
      </c>
      <c r="D1557" s="11">
        <f t="shared" si="73"/>
        <v>934620861.36999977</v>
      </c>
      <c r="E1557" s="10">
        <f t="shared" si="74"/>
        <v>0.99899498504624773</v>
      </c>
    </row>
    <row r="1558" spans="1:5">
      <c r="A1558">
        <f t="shared" si="72"/>
        <v>1557</v>
      </c>
      <c r="B1558" t="str" cm="1">
        <f t="array" ref="B1558">INDEX('Enriched Data'!C:C,A1558+1)</f>
        <v>Overhead Door Co. of the Capital C</v>
      </c>
      <c r="C1558" s="11" cm="1">
        <f t="array" ref="C1558">INDEX('Enriched Data'!G:G,A1558+1)</f>
        <v>3590</v>
      </c>
      <c r="D1558" s="11">
        <f t="shared" si="73"/>
        <v>934624451.36999977</v>
      </c>
      <c r="E1558" s="10">
        <f t="shared" si="74"/>
        <v>0.99899882231560955</v>
      </c>
    </row>
    <row r="1559" spans="1:5">
      <c r="A1559">
        <f t="shared" si="72"/>
        <v>1558</v>
      </c>
      <c r="B1559" t="str" cm="1">
        <f t="array" ref="B1559">INDEX('Enriched Data'!C:C,A1559+1)</f>
        <v>Testlify, Inc</v>
      </c>
      <c r="C1559" s="11" cm="1">
        <f t="array" ref="C1559">INDEX('Enriched Data'!G:G,A1559+1)</f>
        <v>3588</v>
      </c>
      <c r="D1559" s="11">
        <f t="shared" si="73"/>
        <v>934628039.36999977</v>
      </c>
      <c r="E1559" s="10">
        <f t="shared" si="74"/>
        <v>0.99900265744721695</v>
      </c>
    </row>
    <row r="1560" spans="1:5">
      <c r="A1560">
        <f t="shared" si="72"/>
        <v>1559</v>
      </c>
      <c r="B1560" t="str" cm="1">
        <f t="array" ref="B1560">INDEX('Enriched Data'!C:C,A1560+1)</f>
        <v>Stepps Heavy Transport</v>
      </c>
      <c r="C1560" s="11" cm="1">
        <f t="array" ref="C1560">INDEX('Enriched Data'!G:G,A1560+1)</f>
        <v>3539.03</v>
      </c>
      <c r="D1560" s="11">
        <f t="shared" si="73"/>
        <v>934631578.39999974</v>
      </c>
      <c r="E1560" s="10">
        <f t="shared" si="74"/>
        <v>0.9990064402359049</v>
      </c>
    </row>
    <row r="1561" spans="1:5">
      <c r="A1561">
        <f t="shared" si="72"/>
        <v>1560</v>
      </c>
      <c r="B1561" t="str" cm="1">
        <f t="array" ref="B1561">INDEX('Enriched Data'!C:C,A1561+1)</f>
        <v>Courtney Pride LLC</v>
      </c>
      <c r="C1561" s="11" cm="1">
        <f t="array" ref="C1561">INDEX('Enriched Data'!G:G,A1561+1)</f>
        <v>3520.06</v>
      </c>
      <c r="D1561" s="11">
        <f t="shared" si="73"/>
        <v>934635098.45999968</v>
      </c>
      <c r="E1561" s="10">
        <f t="shared" si="74"/>
        <v>0.99901020274799124</v>
      </c>
    </row>
    <row r="1562" spans="1:5">
      <c r="A1562">
        <f t="shared" si="72"/>
        <v>1561</v>
      </c>
      <c r="B1562" t="str" cm="1">
        <f t="array" ref="B1562">INDEX('Enriched Data'!C:C,A1562+1)</f>
        <v>BIR Investments, LLC</v>
      </c>
      <c r="C1562" s="11" cm="1">
        <f t="array" ref="C1562">INDEX('Enriched Data'!G:G,A1562+1)</f>
        <v>3500</v>
      </c>
      <c r="D1562" s="11">
        <f t="shared" si="73"/>
        <v>934638598.45999968</v>
      </c>
      <c r="E1562" s="10">
        <f t="shared" si="74"/>
        <v>0.9990139438183997</v>
      </c>
    </row>
    <row r="1563" spans="1:5">
      <c r="A1563">
        <f t="shared" si="72"/>
        <v>1562</v>
      </c>
      <c r="B1563" t="str" cm="1">
        <f t="array" ref="B1563">INDEX('Enriched Data'!C:C,A1563+1)</f>
        <v>Marion L Robinson</v>
      </c>
      <c r="C1563" s="11" cm="1">
        <f t="array" ref="C1563">INDEX('Enriched Data'!G:G,A1563+1)</f>
        <v>3500</v>
      </c>
      <c r="D1563" s="11">
        <f t="shared" si="73"/>
        <v>934642098.45999968</v>
      </c>
      <c r="E1563" s="10">
        <f t="shared" si="74"/>
        <v>0.99901768488880827</v>
      </c>
    </row>
    <row r="1564" spans="1:5">
      <c r="A1564">
        <f t="shared" si="72"/>
        <v>1563</v>
      </c>
      <c r="B1564" t="str" cm="1">
        <f t="array" ref="B1564">INDEX('Enriched Data'!C:C,A1564+1)</f>
        <v>Budget Sewer Service, Inc.</v>
      </c>
      <c r="C1564" s="11" cm="1">
        <f t="array" ref="C1564">INDEX('Enriched Data'!G:G,A1564+1)</f>
        <v>3500</v>
      </c>
      <c r="D1564" s="11">
        <f t="shared" si="73"/>
        <v>934645598.45999968</v>
      </c>
      <c r="E1564" s="10">
        <f t="shared" si="74"/>
        <v>0.99902142595921672</v>
      </c>
    </row>
    <row r="1565" spans="1:5">
      <c r="A1565">
        <f t="shared" si="72"/>
        <v>1564</v>
      </c>
      <c r="B1565" t="str" cm="1">
        <f t="array" ref="B1565">INDEX('Enriched Data'!C:C,A1565+1)</f>
        <v>Medley Material Handling Company</v>
      </c>
      <c r="C1565" s="11" cm="1">
        <f t="array" ref="C1565">INDEX('Enriched Data'!G:G,A1565+1)</f>
        <v>3487.82</v>
      </c>
      <c r="D1565" s="11">
        <f t="shared" si="73"/>
        <v>934649086.27999973</v>
      </c>
      <c r="E1565" s="10">
        <f t="shared" si="74"/>
        <v>0.99902515401070036</v>
      </c>
    </row>
    <row r="1566" spans="1:5">
      <c r="A1566">
        <f t="shared" si="72"/>
        <v>1565</v>
      </c>
      <c r="B1566" t="str" cm="1">
        <f t="array" ref="B1566">INDEX('Enriched Data'!C:C,A1566+1)</f>
        <v>Global Security, LLC dba Paradyme</v>
      </c>
      <c r="C1566" s="11" cm="1">
        <f t="array" ref="C1566">INDEX('Enriched Data'!G:G,A1566+1)</f>
        <v>3486.69</v>
      </c>
      <c r="D1566" s="11">
        <f t="shared" si="73"/>
        <v>934652572.96999979</v>
      </c>
      <c r="E1566" s="10">
        <f t="shared" si="74"/>
        <v>0.9990288808543526</v>
      </c>
    </row>
    <row r="1567" spans="1:5">
      <c r="A1567">
        <f t="shared" si="72"/>
        <v>1566</v>
      </c>
      <c r="B1567" t="str" cm="1">
        <f t="array" ref="B1567">INDEX('Enriched Data'!C:C,A1567+1)</f>
        <v>Yellow Truck &amp; Trailer Repair Inc</v>
      </c>
      <c r="C1567" s="11" cm="1">
        <f t="array" ref="C1567">INDEX('Enriched Data'!G:G,A1567+1)</f>
        <v>3484.57</v>
      </c>
      <c r="D1567" s="11">
        <f t="shared" si="73"/>
        <v>934656057.53999984</v>
      </c>
      <c r="E1567" s="10">
        <f t="shared" si="74"/>
        <v>0.99903260543198502</v>
      </c>
    </row>
    <row r="1568" spans="1:5">
      <c r="A1568">
        <f t="shared" si="72"/>
        <v>1567</v>
      </c>
      <c r="B1568" t="str" cm="1">
        <f t="array" ref="B1568">INDEX('Enriched Data'!C:C,A1568+1)</f>
        <v>D&amp;D Fire &amp; Security</v>
      </c>
      <c r="C1568" s="11" cm="1">
        <f t="array" ref="C1568">INDEX('Enriched Data'!G:G,A1568+1)</f>
        <v>3468.65</v>
      </c>
      <c r="D1568" s="11">
        <f t="shared" si="73"/>
        <v>934659526.18999982</v>
      </c>
      <c r="E1568" s="10">
        <f t="shared" si="74"/>
        <v>0.99903631299309148</v>
      </c>
    </row>
    <row r="1569" spans="1:5">
      <c r="A1569">
        <f t="shared" si="72"/>
        <v>1568</v>
      </c>
      <c r="B1569" t="str" cm="1">
        <f t="array" ref="B1569">INDEX('Enriched Data'!C:C,A1569+1)</f>
        <v>Puroclean</v>
      </c>
      <c r="C1569" s="11" cm="1">
        <f t="array" ref="C1569">INDEX('Enriched Data'!G:G,A1569+1)</f>
        <v>3457.22</v>
      </c>
      <c r="D1569" s="11">
        <f t="shared" si="73"/>
        <v>934662983.40999985</v>
      </c>
      <c r="E1569" s="10">
        <f t="shared" si="74"/>
        <v>0.99904000833693085</v>
      </c>
    </row>
    <row r="1570" spans="1:5">
      <c r="A1570">
        <f t="shared" si="72"/>
        <v>1569</v>
      </c>
      <c r="B1570" t="str" cm="1">
        <f t="array" ref="B1570">INDEX('Enriched Data'!C:C,A1570+1)</f>
        <v>Carolina Cultured Aquatics</v>
      </c>
      <c r="C1570" s="11" cm="1">
        <f t="array" ref="C1570">INDEX('Enriched Data'!G:G,A1570+1)</f>
        <v>3450</v>
      </c>
      <c r="D1570" s="11">
        <f t="shared" si="73"/>
        <v>934666433.40999985</v>
      </c>
      <c r="E1570" s="10">
        <f t="shared" si="74"/>
        <v>0.99904369596347642</v>
      </c>
    </row>
    <row r="1571" spans="1:5">
      <c r="A1571">
        <f t="shared" si="72"/>
        <v>1570</v>
      </c>
      <c r="B1571" t="str" cm="1">
        <f t="array" ref="B1571">INDEX('Enriched Data'!C:C,A1571+1)</f>
        <v>Heron Bay Commercial Cleaning Inc</v>
      </c>
      <c r="C1571" s="11" cm="1">
        <f t="array" ref="C1571">INDEX('Enriched Data'!G:G,A1571+1)</f>
        <v>3448.55</v>
      </c>
      <c r="D1571" s="11">
        <f t="shared" si="73"/>
        <v>934669881.9599998</v>
      </c>
      <c r="E1571" s="10">
        <f t="shared" si="74"/>
        <v>0.99904738204014987</v>
      </c>
    </row>
    <row r="1572" spans="1:5">
      <c r="A1572">
        <f t="shared" si="72"/>
        <v>1571</v>
      </c>
      <c r="B1572" t="str" cm="1">
        <f t="array" ref="B1572">INDEX('Enriched Data'!C:C,A1572+1)</f>
        <v>Southland Industries</v>
      </c>
      <c r="C1572" s="11" cm="1">
        <f t="array" ref="C1572">INDEX('Enriched Data'!G:G,A1572+1)</f>
        <v>3429.6</v>
      </c>
      <c r="D1572" s="11">
        <f t="shared" si="73"/>
        <v>934673311.55999982</v>
      </c>
      <c r="E1572" s="10">
        <f t="shared" si="74"/>
        <v>0.99905104786159937</v>
      </c>
    </row>
    <row r="1573" spans="1:5">
      <c r="A1573">
        <f t="shared" si="72"/>
        <v>1572</v>
      </c>
      <c r="B1573" t="str" cm="1">
        <f t="array" ref="B1573">INDEX('Enriched Data'!C:C,A1573+1)</f>
        <v>Welborn Electric Company, Inc.</v>
      </c>
      <c r="C1573" s="11" cm="1">
        <f t="array" ref="C1573">INDEX('Enriched Data'!G:G,A1573+1)</f>
        <v>3424.54</v>
      </c>
      <c r="D1573" s="11">
        <f t="shared" si="73"/>
        <v>934676736.09999979</v>
      </c>
      <c r="E1573" s="10">
        <f t="shared" si="74"/>
        <v>0.9990547082745298</v>
      </c>
    </row>
    <row r="1574" spans="1:5">
      <c r="A1574">
        <f t="shared" si="72"/>
        <v>1573</v>
      </c>
      <c r="B1574" t="str" cm="1">
        <f t="array" ref="B1574">INDEX('Enriched Data'!C:C,A1574+1)</f>
        <v>Emmett L Martin Jr</v>
      </c>
      <c r="C1574" s="11" cm="1">
        <f t="array" ref="C1574">INDEX('Enriched Data'!G:G,A1574+1)</f>
        <v>3400</v>
      </c>
      <c r="D1574" s="11">
        <f t="shared" si="73"/>
        <v>934680136.09999979</v>
      </c>
      <c r="E1574" s="10">
        <f t="shared" si="74"/>
        <v>0.99905834245721237</v>
      </c>
    </row>
    <row r="1575" spans="1:5">
      <c r="A1575">
        <f t="shared" si="72"/>
        <v>1574</v>
      </c>
      <c r="B1575" t="str" cm="1">
        <f t="array" ref="B1575">INDEX('Enriched Data'!C:C,A1575+1)</f>
        <v>Broadfence, Inc</v>
      </c>
      <c r="C1575" s="11" cm="1">
        <f t="array" ref="C1575">INDEX('Enriched Data'!G:G,A1575+1)</f>
        <v>3383</v>
      </c>
      <c r="D1575" s="11">
        <f t="shared" si="73"/>
        <v>934683519.09999979</v>
      </c>
      <c r="E1575" s="10">
        <f t="shared" si="74"/>
        <v>0.99906195846898149</v>
      </c>
    </row>
    <row r="1576" spans="1:5">
      <c r="A1576">
        <f t="shared" si="72"/>
        <v>1575</v>
      </c>
      <c r="B1576" t="str" cm="1">
        <f t="array" ref="B1576">INDEX('Enriched Data'!C:C,A1576+1)</f>
        <v>Blue Flame, LLC</v>
      </c>
      <c r="C1576" s="11" cm="1">
        <f t="array" ref="C1576">INDEX('Enriched Data'!G:G,A1576+1)</f>
        <v>3378</v>
      </c>
      <c r="D1576" s="11">
        <f t="shared" si="73"/>
        <v>934686897.09999979</v>
      </c>
      <c r="E1576" s="10">
        <f t="shared" si="74"/>
        <v>0.99906556913636435</v>
      </c>
    </row>
    <row r="1577" spans="1:5">
      <c r="A1577">
        <f t="shared" si="72"/>
        <v>1576</v>
      </c>
      <c r="B1577" t="str" cm="1">
        <f t="array" ref="B1577">INDEX('Enriched Data'!C:C,A1577+1)</f>
        <v>D &amp; D Garage Doors of Tampa, Inc</v>
      </c>
      <c r="C1577" s="11" cm="1">
        <f t="array" ref="C1577">INDEX('Enriched Data'!G:G,A1577+1)</f>
        <v>3377</v>
      </c>
      <c r="D1577" s="11">
        <f t="shared" si="73"/>
        <v>934690274.09999979</v>
      </c>
      <c r="E1577" s="10">
        <f t="shared" si="74"/>
        <v>0.99906917873487</v>
      </c>
    </row>
    <row r="1578" spans="1:5">
      <c r="A1578">
        <f t="shared" si="72"/>
        <v>1577</v>
      </c>
      <c r="B1578" t="str" cm="1">
        <f t="array" ref="B1578">INDEX('Enriched Data'!C:C,A1578+1)</f>
        <v>W.B. Mason Co., Inc.</v>
      </c>
      <c r="C1578" s="11" cm="1">
        <f t="array" ref="C1578">INDEX('Enriched Data'!G:G,A1578+1)</f>
        <v>3365.71</v>
      </c>
      <c r="D1578" s="11">
        <f t="shared" si="73"/>
        <v>934693639.80999982</v>
      </c>
      <c r="E1578" s="10">
        <f t="shared" si="74"/>
        <v>0.99907277626575142</v>
      </c>
    </row>
    <row r="1579" spans="1:5">
      <c r="A1579">
        <f t="shared" si="72"/>
        <v>1578</v>
      </c>
      <c r="B1579" t="str" cm="1">
        <f t="array" ref="B1579">INDEX('Enriched Data'!C:C,A1579+1)</f>
        <v>Memphis Fence Company, LLC</v>
      </c>
      <c r="C1579" s="11" cm="1">
        <f t="array" ref="C1579">INDEX('Enriched Data'!G:G,A1579+1)</f>
        <v>3362</v>
      </c>
      <c r="D1579" s="11">
        <f t="shared" si="73"/>
        <v>934697001.80999982</v>
      </c>
      <c r="E1579" s="10">
        <f t="shared" si="74"/>
        <v>0.99907636983109804</v>
      </c>
    </row>
    <row r="1580" spans="1:5">
      <c r="A1580">
        <f t="shared" si="72"/>
        <v>1579</v>
      </c>
      <c r="B1580" t="str" cm="1">
        <f t="array" ref="B1580">INDEX('Enriched Data'!C:C,A1580+1)</f>
        <v>United Education Institute dba sage</v>
      </c>
      <c r="C1580" s="11" cm="1">
        <f t="array" ref="C1580">INDEX('Enriched Data'!G:G,A1580+1)</f>
        <v>3354</v>
      </c>
      <c r="D1580" s="11">
        <f t="shared" si="73"/>
        <v>934700355.80999982</v>
      </c>
      <c r="E1580" s="10">
        <f t="shared" si="74"/>
        <v>0.99907995484542667</v>
      </c>
    </row>
    <row r="1581" spans="1:5">
      <c r="A1581">
        <f t="shared" si="72"/>
        <v>1580</v>
      </c>
      <c r="B1581" t="str" cm="1">
        <f t="array" ref="B1581">INDEX('Enriched Data'!C:C,A1581+1)</f>
        <v>Greenville Compressor</v>
      </c>
      <c r="C1581" s="11" cm="1">
        <f t="array" ref="C1581">INDEX('Enriched Data'!G:G,A1581+1)</f>
        <v>3347.63</v>
      </c>
      <c r="D1581" s="11">
        <f t="shared" si="73"/>
        <v>934703703.43999982</v>
      </c>
      <c r="E1581" s="10">
        <f t="shared" si="74"/>
        <v>0.99908353305100717</v>
      </c>
    </row>
    <row r="1582" spans="1:5">
      <c r="A1582">
        <f t="shared" si="72"/>
        <v>1581</v>
      </c>
      <c r="B1582" t="str" cm="1">
        <f t="array" ref="B1582">INDEX('Enriched Data'!C:C,A1582+1)</f>
        <v>PRECISION Servs of Jacksonville,</v>
      </c>
      <c r="C1582" s="11" cm="1">
        <f t="array" ref="C1582">INDEX('Enriched Data'!G:G,A1582+1)</f>
        <v>3340.26</v>
      </c>
      <c r="D1582" s="11">
        <f t="shared" si="73"/>
        <v>934707043.69999981</v>
      </c>
      <c r="E1582" s="10">
        <f t="shared" si="74"/>
        <v>0.99908710337896223</v>
      </c>
    </row>
    <row r="1583" spans="1:5">
      <c r="A1583">
        <f t="shared" si="72"/>
        <v>1582</v>
      </c>
      <c r="B1583" t="str" cm="1">
        <f t="array" ref="B1583">INDEX('Enriched Data'!C:C,A1583+1)</f>
        <v>CRW Parts t/a Fleet Parts</v>
      </c>
      <c r="C1583" s="11" cm="1">
        <f t="array" ref="C1583">INDEX('Enriched Data'!G:G,A1583+1)</f>
        <v>3330.25</v>
      </c>
      <c r="D1583" s="11">
        <f t="shared" si="73"/>
        <v>934710373.94999981</v>
      </c>
      <c r="E1583" s="10">
        <f t="shared" si="74"/>
        <v>0.99909066300745597</v>
      </c>
    </row>
    <row r="1584" spans="1:5">
      <c r="A1584">
        <f t="shared" si="72"/>
        <v>1583</v>
      </c>
      <c r="B1584" t="str" cm="1">
        <f t="array" ref="B1584">INDEX('Enriched Data'!C:C,A1584+1)</f>
        <v>Kenneth A Goldey dba FSP Painting</v>
      </c>
      <c r="C1584" s="11" cm="1">
        <f t="array" ref="C1584">INDEX('Enriched Data'!G:G,A1584+1)</f>
        <v>3325</v>
      </c>
      <c r="D1584" s="11">
        <f t="shared" si="73"/>
        <v>934713698.94999981</v>
      </c>
      <c r="E1584" s="10">
        <f t="shared" si="74"/>
        <v>0.99909421702434409</v>
      </c>
    </row>
    <row r="1585" spans="1:5">
      <c r="A1585">
        <f t="shared" si="72"/>
        <v>1584</v>
      </c>
      <c r="B1585" t="str" cm="1">
        <f t="array" ref="B1585">INDEX('Enriched Data'!C:C,A1585+1)</f>
        <v>BLD Door Service, LLC DBA</v>
      </c>
      <c r="C1585" s="11" cm="1">
        <f t="array" ref="C1585">INDEX('Enriched Data'!G:G,A1585+1)</f>
        <v>3315</v>
      </c>
      <c r="D1585" s="11">
        <f t="shared" si="73"/>
        <v>934717013.94999981</v>
      </c>
      <c r="E1585" s="10">
        <f t="shared" si="74"/>
        <v>0.99909776035245956</v>
      </c>
    </row>
    <row r="1586" spans="1:5">
      <c r="A1586">
        <f t="shared" si="72"/>
        <v>1585</v>
      </c>
      <c r="B1586" t="str" cm="1">
        <f t="array" ref="B1586">INDEX('Enriched Data'!C:C,A1586+1)</f>
        <v>Mitchell Bros Truck Line Inc.</v>
      </c>
      <c r="C1586" s="11" cm="1">
        <f t="array" ref="C1586">INDEX('Enriched Data'!G:G,A1586+1)</f>
        <v>3312.5</v>
      </c>
      <c r="D1586" s="11">
        <f t="shared" si="73"/>
        <v>934720326.44999981</v>
      </c>
      <c r="E1586" s="10">
        <f t="shared" si="74"/>
        <v>0.9991013010083819</v>
      </c>
    </row>
    <row r="1587" spans="1:5">
      <c r="A1587">
        <f t="shared" si="72"/>
        <v>1586</v>
      </c>
      <c r="B1587" t="str" cm="1">
        <f t="array" ref="B1587">INDEX('Enriched Data'!C:C,A1587+1)</f>
        <v>Gold Label Specialities LLC</v>
      </c>
      <c r="C1587" s="11" cm="1">
        <f t="array" ref="C1587">INDEX('Enriched Data'!G:G,A1587+1)</f>
        <v>3310.35</v>
      </c>
      <c r="D1587" s="11">
        <f t="shared" si="73"/>
        <v>934723636.79999983</v>
      </c>
      <c r="E1587" s="10">
        <f t="shared" si="74"/>
        <v>0.99910483936621819</v>
      </c>
    </row>
    <row r="1588" spans="1:5">
      <c r="A1588">
        <f t="shared" si="72"/>
        <v>1587</v>
      </c>
      <c r="B1588" t="str" cm="1">
        <f t="array" ref="B1588">INDEX('Enriched Data'!C:C,A1588+1)</f>
        <v>Ryan LLC</v>
      </c>
      <c r="C1588" s="11" cm="1">
        <f t="array" ref="C1588">INDEX('Enriched Data'!G:G,A1588+1)</f>
        <v>3308.46</v>
      </c>
      <c r="D1588" s="11">
        <f t="shared" si="73"/>
        <v>934726945.25999987</v>
      </c>
      <c r="E1588" s="10">
        <f t="shared" si="74"/>
        <v>0.99910837570387645</v>
      </c>
    </row>
    <row r="1589" spans="1:5">
      <c r="A1589">
        <f t="shared" si="72"/>
        <v>1588</v>
      </c>
      <c r="B1589" t="str" cm="1">
        <f t="array" ref="B1589">INDEX('Enriched Data'!C:C,A1589+1)</f>
        <v>Priority 1 Maintenance &amp; Janitorial</v>
      </c>
      <c r="C1589" s="11" cm="1">
        <f t="array" ref="C1589">INDEX('Enriched Data'!G:G,A1589+1)</f>
        <v>3302.19</v>
      </c>
      <c r="D1589" s="11">
        <f t="shared" si="73"/>
        <v>934730247.44999993</v>
      </c>
      <c r="E1589" s="10">
        <f t="shared" si="74"/>
        <v>0.99911190533967431</v>
      </c>
    </row>
    <row r="1590" spans="1:5">
      <c r="A1590">
        <f t="shared" si="72"/>
        <v>1589</v>
      </c>
      <c r="B1590" t="str" cm="1">
        <f t="array" ref="B1590">INDEX('Enriched Data'!C:C,A1590+1)</f>
        <v>Grindstone Holding LLC</v>
      </c>
      <c r="C1590" s="11" cm="1">
        <f t="array" ref="C1590">INDEX('Enriched Data'!G:G,A1590+1)</f>
        <v>3300</v>
      </c>
      <c r="D1590" s="11">
        <f t="shared" si="73"/>
        <v>934733547.44999993</v>
      </c>
      <c r="E1590" s="10">
        <f t="shared" si="74"/>
        <v>0.99911543263463098</v>
      </c>
    </row>
    <row r="1591" spans="1:5">
      <c r="A1591">
        <f t="shared" si="72"/>
        <v>1590</v>
      </c>
      <c r="B1591" t="str" cm="1">
        <f t="array" ref="B1591">INDEX('Enriched Data'!C:C,A1591+1)</f>
        <v>Data Print Technologies, Inc.</v>
      </c>
      <c r="C1591" s="11" cm="1">
        <f t="array" ref="C1591">INDEX('Enriched Data'!G:G,A1591+1)</f>
        <v>3282.79</v>
      </c>
      <c r="D1591" s="11">
        <f t="shared" si="73"/>
        <v>934736830.23999989</v>
      </c>
      <c r="E1591" s="10">
        <f t="shared" si="74"/>
        <v>0.99911894153420988</v>
      </c>
    </row>
    <row r="1592" spans="1:5">
      <c r="A1592">
        <f t="shared" si="72"/>
        <v>1591</v>
      </c>
      <c r="B1592" t="str" cm="1">
        <f t="array" ref="B1592">INDEX('Enriched Data'!C:C,A1592+1)</f>
        <v>Cooper Parry LLP</v>
      </c>
      <c r="C1592" s="11" cm="1">
        <f t="array" ref="C1592">INDEX('Enriched Data'!G:G,A1592+1)</f>
        <v>3270</v>
      </c>
      <c r="D1592" s="11">
        <f t="shared" si="73"/>
        <v>934740100.23999989</v>
      </c>
      <c r="E1592" s="10">
        <f t="shared" si="74"/>
        <v>0.99912243676284873</v>
      </c>
    </row>
    <row r="1593" spans="1:5">
      <c r="A1593">
        <f t="shared" si="72"/>
        <v>1592</v>
      </c>
      <c r="B1593" t="str" cm="1">
        <f t="array" ref="B1593">INDEX('Enriched Data'!C:C,A1593+1)</f>
        <v>Pacific Jobbers Warehouse, Inc.</v>
      </c>
      <c r="C1593" s="11" cm="1">
        <f t="array" ref="C1593">INDEX('Enriched Data'!G:G,A1593+1)</f>
        <v>3269.03</v>
      </c>
      <c r="D1593" s="11">
        <f t="shared" si="73"/>
        <v>934743369.26999986</v>
      </c>
      <c r="E1593" s="10">
        <f t="shared" si="74"/>
        <v>0.9991259309546765</v>
      </c>
    </row>
    <row r="1594" spans="1:5">
      <c r="A1594">
        <f t="shared" si="72"/>
        <v>1593</v>
      </c>
      <c r="B1594" t="str" cm="1">
        <f t="array" ref="B1594">INDEX('Enriched Data'!C:C,A1594+1)</f>
        <v>Syntrio, Inc</v>
      </c>
      <c r="C1594" s="11" cm="1">
        <f t="array" ref="C1594">INDEX('Enriched Data'!G:G,A1594+1)</f>
        <v>3243</v>
      </c>
      <c r="D1594" s="11">
        <f t="shared" si="73"/>
        <v>934746612.26999986</v>
      </c>
      <c r="E1594" s="10">
        <f t="shared" si="74"/>
        <v>0.99912939732362938</v>
      </c>
    </row>
    <row r="1595" spans="1:5">
      <c r="A1595">
        <f t="shared" si="72"/>
        <v>1594</v>
      </c>
      <c r="B1595" t="str" cm="1">
        <f t="array" ref="B1595">INDEX('Enriched Data'!C:C,A1595+1)</f>
        <v>McGriff Tire Service Inc.</v>
      </c>
      <c r="C1595" s="11" cm="1">
        <f t="array" ref="C1595">INDEX('Enriched Data'!G:G,A1595+1)</f>
        <v>3224.04</v>
      </c>
      <c r="D1595" s="11">
        <f t="shared" si="73"/>
        <v>934749836.30999982</v>
      </c>
      <c r="E1595" s="10">
        <f t="shared" si="74"/>
        <v>0.9991328434266693</v>
      </c>
    </row>
    <row r="1596" spans="1:5">
      <c r="A1596">
        <f t="shared" si="72"/>
        <v>1595</v>
      </c>
      <c r="B1596" t="str" cm="1">
        <f t="array" ref="B1596">INDEX('Enriched Data'!C:C,A1596+1)</f>
        <v>We Wrap, LLC</v>
      </c>
      <c r="C1596" s="11" cm="1">
        <f t="array" ref="C1596">INDEX('Enriched Data'!G:G,A1596+1)</f>
        <v>3215.5</v>
      </c>
      <c r="D1596" s="11">
        <f t="shared" si="73"/>
        <v>934753051.80999982</v>
      </c>
      <c r="E1596" s="10">
        <f t="shared" si="74"/>
        <v>0.99913628040149749</v>
      </c>
    </row>
    <row r="1597" spans="1:5">
      <c r="A1597">
        <f t="shared" si="72"/>
        <v>1596</v>
      </c>
      <c r="B1597" t="str" cm="1">
        <f t="array" ref="B1597">INDEX('Enriched Data'!C:C,A1597+1)</f>
        <v>Amanda Meade</v>
      </c>
      <c r="C1597" s="11" cm="1">
        <f t="array" ref="C1597">INDEX('Enriched Data'!G:G,A1597+1)</f>
        <v>3210</v>
      </c>
      <c r="D1597" s="11">
        <f t="shared" si="73"/>
        <v>934756261.80999982</v>
      </c>
      <c r="E1597" s="10">
        <f t="shared" si="74"/>
        <v>0.99913971149750069</v>
      </c>
    </row>
    <row r="1598" spans="1:5">
      <c r="A1598">
        <f t="shared" si="72"/>
        <v>1597</v>
      </c>
      <c r="B1598" t="str" cm="1">
        <f t="array" ref="B1598">INDEX('Enriched Data'!C:C,A1598+1)</f>
        <v>Calhoun Community College</v>
      </c>
      <c r="C1598" s="11" cm="1">
        <f t="array" ref="C1598">INDEX('Enriched Data'!G:G,A1598+1)</f>
        <v>3200</v>
      </c>
      <c r="D1598" s="11">
        <f t="shared" si="73"/>
        <v>934759461.80999982</v>
      </c>
      <c r="E1598" s="10">
        <f t="shared" si="74"/>
        <v>0.99914313190473136</v>
      </c>
    </row>
    <row r="1599" spans="1:5">
      <c r="A1599">
        <f t="shared" si="72"/>
        <v>1598</v>
      </c>
      <c r="B1599" t="str" cm="1">
        <f t="array" ref="B1599">INDEX('Enriched Data'!C:C,A1599+1)</f>
        <v>Hinckley Springs</v>
      </c>
      <c r="C1599" s="11" cm="1">
        <f t="array" ref="C1599">INDEX('Enriched Data'!G:G,A1599+1)</f>
        <v>3191.37</v>
      </c>
      <c r="D1599" s="11">
        <f t="shared" si="73"/>
        <v>934762653.17999983</v>
      </c>
      <c r="E1599" s="10">
        <f t="shared" si="74"/>
        <v>0.99914654308755124</v>
      </c>
    </row>
    <row r="1600" spans="1:5">
      <c r="A1600">
        <f t="shared" si="72"/>
        <v>1599</v>
      </c>
      <c r="B1600" t="str" cm="1">
        <f t="array" ref="B1600">INDEX('Enriched Data'!C:C,A1600+1)</f>
        <v>Sanphil Quality Cleaning, LLC</v>
      </c>
      <c r="C1600" s="11" cm="1">
        <f t="array" ref="C1600">INDEX('Enriched Data'!G:G,A1600+1)</f>
        <v>3168</v>
      </c>
      <c r="D1600" s="11">
        <f t="shared" si="73"/>
        <v>934765821.17999983</v>
      </c>
      <c r="E1600" s="10">
        <f t="shared" si="74"/>
        <v>0.99914992929070967</v>
      </c>
    </row>
    <row r="1601" spans="1:5">
      <c r="A1601">
        <f t="shared" si="72"/>
        <v>1600</v>
      </c>
      <c r="B1601" t="str" cm="1">
        <f t="array" ref="B1601">INDEX('Enriched Data'!C:C,A1601+1)</f>
        <v>Modern Mechanical Services</v>
      </c>
      <c r="C1601" s="11" cm="1">
        <f t="array" ref="C1601">INDEX('Enriched Data'!G:G,A1601+1)</f>
        <v>3159.31</v>
      </c>
      <c r="D1601" s="11">
        <f t="shared" si="73"/>
        <v>934768980.48999977</v>
      </c>
      <c r="E1601" s="10">
        <f t="shared" si="74"/>
        <v>0.9991533062053245</v>
      </c>
    </row>
    <row r="1602" spans="1:5">
      <c r="A1602">
        <f t="shared" si="72"/>
        <v>1601</v>
      </c>
      <c r="B1602" t="str" cm="1">
        <f t="array" ref="B1602">INDEX('Enriched Data'!C:C,A1602+1)</f>
        <v>Sylvia Del Rosario Molina</v>
      </c>
      <c r="C1602" s="11" cm="1">
        <f t="array" ref="C1602">INDEX('Enriched Data'!G:G,A1602+1)</f>
        <v>3156.85</v>
      </c>
      <c r="D1602" s="11">
        <f t="shared" si="73"/>
        <v>934772137.33999979</v>
      </c>
      <c r="E1602" s="10">
        <f t="shared" si="74"/>
        <v>0.99915668049050144</v>
      </c>
    </row>
    <row r="1603" spans="1:5">
      <c r="A1603">
        <f t="shared" si="72"/>
        <v>1602</v>
      </c>
      <c r="B1603" t="str" cm="1">
        <f t="array" ref="B1603">INDEX('Enriched Data'!C:C,A1603+1)</f>
        <v>McAngus Goudelock &amp; Courie, LLC</v>
      </c>
      <c r="C1603" s="11" cm="1">
        <f t="array" ref="C1603">INDEX('Enriched Data'!G:G,A1603+1)</f>
        <v>3139.5</v>
      </c>
      <c r="D1603" s="11">
        <f t="shared" si="73"/>
        <v>934775276.83999979</v>
      </c>
      <c r="E1603" s="10">
        <f t="shared" si="74"/>
        <v>0.99916003623065786</v>
      </c>
    </row>
    <row r="1604" spans="1:5">
      <c r="A1604">
        <f t="shared" ref="A1604:A1667" si="75">A1603+1</f>
        <v>1603</v>
      </c>
      <c r="B1604" t="str" cm="1">
        <f t="array" ref="B1604">INDEX('Enriched Data'!C:C,A1604+1)</f>
        <v>Xpress Towing and Recovery</v>
      </c>
      <c r="C1604" s="11" cm="1">
        <f t="array" ref="C1604">INDEX('Enriched Data'!G:G,A1604+1)</f>
        <v>3115</v>
      </c>
      <c r="D1604" s="11">
        <f t="shared" ref="D1604:D1667" si="76">D1603+C1604</f>
        <v>934778391.83999979</v>
      </c>
      <c r="E1604" s="10">
        <f t="shared" ref="E1604:E1667" si="77">D1604/$F$2</f>
        <v>0.99916336578332143</v>
      </c>
    </row>
    <row r="1605" spans="1:5">
      <c r="A1605">
        <f t="shared" si="75"/>
        <v>1604</v>
      </c>
      <c r="B1605" t="str" cm="1">
        <f t="array" ref="B1605">INDEX('Enriched Data'!C:C,A1605+1)</f>
        <v>CCs High Q Electric LLC</v>
      </c>
      <c r="C1605" s="11" cm="1">
        <f t="array" ref="C1605">INDEX('Enriched Data'!G:G,A1605+1)</f>
        <v>3110</v>
      </c>
      <c r="D1605" s="11">
        <f t="shared" si="76"/>
        <v>934781501.83999979</v>
      </c>
      <c r="E1605" s="10">
        <f t="shared" si="77"/>
        <v>0.99916668999159874</v>
      </c>
    </row>
    <row r="1606" spans="1:5">
      <c r="A1606">
        <f t="shared" si="75"/>
        <v>1605</v>
      </c>
      <c r="B1606" t="str" cm="1">
        <f t="array" ref="B1606">INDEX('Enriched Data'!C:C,A1606+1)</f>
        <v>Rotstein &amp; Shiffman, LLP</v>
      </c>
      <c r="C1606" s="11" cm="1">
        <f t="array" ref="C1606">INDEX('Enriched Data'!G:G,A1606+1)</f>
        <v>3100</v>
      </c>
      <c r="D1606" s="11">
        <f t="shared" si="76"/>
        <v>934784601.83999979</v>
      </c>
      <c r="E1606" s="10">
        <f t="shared" si="77"/>
        <v>0.99917000351110341</v>
      </c>
    </row>
    <row r="1607" spans="1:5">
      <c r="A1607">
        <f t="shared" si="75"/>
        <v>1606</v>
      </c>
      <c r="B1607" t="str" cm="1">
        <f t="array" ref="B1607">INDEX('Enriched Data'!C:C,A1607+1)</f>
        <v>Truck Country of Wisconsin</v>
      </c>
      <c r="C1607" s="11" cm="1">
        <f t="array" ref="C1607">INDEX('Enriched Data'!G:G,A1607+1)</f>
        <v>3081.54</v>
      </c>
      <c r="D1607" s="11">
        <f t="shared" si="76"/>
        <v>934787683.37999976</v>
      </c>
      <c r="E1607" s="10">
        <f t="shared" si="77"/>
        <v>0.99917329729913396</v>
      </c>
    </row>
    <row r="1608" spans="1:5">
      <c r="A1608">
        <f t="shared" si="75"/>
        <v>1607</v>
      </c>
      <c r="B1608" t="str" cm="1">
        <f t="array" ref="B1608">INDEX('Enriched Data'!C:C,A1608+1)</f>
        <v>McKinneys Towing &amp; Road Service LLC</v>
      </c>
      <c r="C1608" s="11" cm="1">
        <f t="array" ref="C1608">INDEX('Enriched Data'!G:G,A1608+1)</f>
        <v>3075</v>
      </c>
      <c r="D1608" s="11">
        <f t="shared" si="76"/>
        <v>934790758.37999976</v>
      </c>
      <c r="E1608" s="10">
        <f t="shared" si="77"/>
        <v>0.99917658409670707</v>
      </c>
    </row>
    <row r="1609" spans="1:5">
      <c r="A1609">
        <f t="shared" si="75"/>
        <v>1608</v>
      </c>
      <c r="B1609" t="str" cm="1">
        <f t="array" ref="B1609">INDEX('Enriched Data'!C:C,A1609+1)</f>
        <v>Ashland Propane Inc.</v>
      </c>
      <c r="C1609" s="11" cm="1">
        <f t="array" ref="C1609">INDEX('Enriched Data'!G:G,A1609+1)</f>
        <v>3072.45</v>
      </c>
      <c r="D1609" s="11">
        <f t="shared" si="76"/>
        <v>934793830.8299998</v>
      </c>
      <c r="E1609" s="10">
        <f t="shared" si="77"/>
        <v>0.99917986816864335</v>
      </c>
    </row>
    <row r="1610" spans="1:5">
      <c r="A1610">
        <f t="shared" si="75"/>
        <v>1609</v>
      </c>
      <c r="B1610" t="str" cm="1">
        <f t="array" ref="B1610">INDEX('Enriched Data'!C:C,A1610+1)</f>
        <v>Koorsen Fire &amp; Security</v>
      </c>
      <c r="C1610" s="11" cm="1">
        <f t="array" ref="C1610">INDEX('Enriched Data'!G:G,A1610+1)</f>
        <v>3069.25</v>
      </c>
      <c r="D1610" s="11">
        <f t="shared" si="76"/>
        <v>934796900.0799998</v>
      </c>
      <c r="E1610" s="10">
        <f t="shared" si="77"/>
        <v>0.99918314882017234</v>
      </c>
    </row>
    <row r="1611" spans="1:5">
      <c r="A1611">
        <f t="shared" si="75"/>
        <v>1610</v>
      </c>
      <c r="B1611" t="str" cm="1">
        <f t="array" ref="B1611">INDEX('Enriched Data'!C:C,A1611+1)</f>
        <v>Quality Towing NJ</v>
      </c>
      <c r="C1611" s="11" cm="1">
        <f t="array" ref="C1611">INDEX('Enriched Data'!G:G,A1611+1)</f>
        <v>3065.75</v>
      </c>
      <c r="D1611" s="11">
        <f t="shared" si="76"/>
        <v>934799965.8299998</v>
      </c>
      <c r="E1611" s="10">
        <f t="shared" si="77"/>
        <v>0.99918642573063088</v>
      </c>
    </row>
    <row r="1612" spans="1:5">
      <c r="A1612">
        <f t="shared" si="75"/>
        <v>1611</v>
      </c>
      <c r="B1612" t="str" cm="1">
        <f t="array" ref="B1612">INDEX('Enriched Data'!C:C,A1612+1)</f>
        <v>Lewis Brisbois Bisgaard &amp; Smith</v>
      </c>
      <c r="C1612" s="11" cm="1">
        <f t="array" ref="C1612">INDEX('Enriched Data'!G:G,A1612+1)</f>
        <v>3055</v>
      </c>
      <c r="D1612" s="11">
        <f t="shared" si="76"/>
        <v>934803020.8299998</v>
      </c>
      <c r="E1612" s="10">
        <f t="shared" si="77"/>
        <v>0.99918969115065892</v>
      </c>
    </row>
    <row r="1613" spans="1:5">
      <c r="A1613">
        <f t="shared" si="75"/>
        <v>1612</v>
      </c>
      <c r="B1613" t="str" cm="1">
        <f t="array" ref="B1613">INDEX('Enriched Data'!C:C,A1613+1)</f>
        <v>Hiller LLC</v>
      </c>
      <c r="C1613" s="11" cm="1">
        <f t="array" ref="C1613">INDEX('Enriched Data'!G:G,A1613+1)</f>
        <v>3050.06</v>
      </c>
      <c r="D1613" s="11">
        <f t="shared" si="76"/>
        <v>934806070.88999975</v>
      </c>
      <c r="E1613" s="10">
        <f t="shared" si="77"/>
        <v>0.99919295129043317</v>
      </c>
    </row>
    <row r="1614" spans="1:5">
      <c r="A1614">
        <f t="shared" si="75"/>
        <v>1613</v>
      </c>
      <c r="B1614" t="str" cm="1">
        <f t="array" ref="B1614">INDEX('Enriched Data'!C:C,A1614+1)</f>
        <v>Apartment Fire Extinguisher Servs</v>
      </c>
      <c r="C1614" s="11" cm="1">
        <f t="array" ref="C1614">INDEX('Enriched Data'!G:G,A1614+1)</f>
        <v>3049.8</v>
      </c>
      <c r="D1614" s="11">
        <f t="shared" si="76"/>
        <v>934809120.6899997</v>
      </c>
      <c r="E1614" s="10">
        <f t="shared" si="77"/>
        <v>0.9991962111522994</v>
      </c>
    </row>
    <row r="1615" spans="1:5">
      <c r="A1615">
        <f t="shared" si="75"/>
        <v>1614</v>
      </c>
      <c r="B1615" t="str" cm="1">
        <f t="array" ref="B1615">INDEX('Enriched Data'!C:C,A1615+1)</f>
        <v>Cass Information Systems, Inc</v>
      </c>
      <c r="C1615" s="11" cm="1">
        <f t="array" ref="C1615">INDEX('Enriched Data'!G:G,A1615+1)</f>
        <v>3039.82</v>
      </c>
      <c r="D1615" s="11">
        <f t="shared" si="76"/>
        <v>934812160.50999975</v>
      </c>
      <c r="E1615" s="10">
        <f t="shared" si="77"/>
        <v>0.99919946034677065</v>
      </c>
    </row>
    <row r="1616" spans="1:5">
      <c r="A1616">
        <f t="shared" si="75"/>
        <v>1615</v>
      </c>
      <c r="B1616" t="str" cm="1">
        <f t="array" ref="B1616">INDEX('Enriched Data'!C:C,A1616+1)</f>
        <v>McNelly Services, Inc.</v>
      </c>
      <c r="C1616" s="11" cm="1">
        <f t="array" ref="C1616">INDEX('Enriched Data'!G:G,A1616+1)</f>
        <v>3036</v>
      </c>
      <c r="D1616" s="11">
        <f t="shared" si="76"/>
        <v>934815196.50999975</v>
      </c>
      <c r="E1616" s="10">
        <f t="shared" si="77"/>
        <v>0.99920270545813072</v>
      </c>
    </row>
    <row r="1617" spans="1:5">
      <c r="A1617">
        <f t="shared" si="75"/>
        <v>1616</v>
      </c>
      <c r="B1617" t="str" cm="1">
        <f t="array" ref="B1617">INDEX('Enriched Data'!C:C,A1617+1)</f>
        <v>Tradewinds Brokerage Inc</v>
      </c>
      <c r="C1617" s="11" cm="1">
        <f t="array" ref="C1617">INDEX('Enriched Data'!G:G,A1617+1)</f>
        <v>3025</v>
      </c>
      <c r="D1617" s="11">
        <f t="shared" si="76"/>
        <v>934818221.50999975</v>
      </c>
      <c r="E1617" s="10">
        <f t="shared" si="77"/>
        <v>0.99920593881184094</v>
      </c>
    </row>
    <row r="1618" spans="1:5">
      <c r="A1618">
        <f t="shared" si="75"/>
        <v>1617</v>
      </c>
      <c r="B1618" t="str" cm="1">
        <f t="array" ref="B1618">INDEX('Enriched Data'!C:C,A1618+1)</f>
        <v>Rodolfo A. Contreras</v>
      </c>
      <c r="C1618" s="11" cm="1">
        <f t="array" ref="C1618">INDEX('Enriched Data'!G:G,A1618+1)</f>
        <v>3025</v>
      </c>
      <c r="D1618" s="11">
        <f t="shared" si="76"/>
        <v>934821246.50999975</v>
      </c>
      <c r="E1618" s="10">
        <f t="shared" si="77"/>
        <v>0.99920917216555116</v>
      </c>
    </row>
    <row r="1619" spans="1:5">
      <c r="A1619">
        <f t="shared" si="75"/>
        <v>1618</v>
      </c>
      <c r="B1619" t="str" cm="1">
        <f t="array" ref="B1619">INDEX('Enriched Data'!C:C,A1619+1)</f>
        <v>Brads Yard Service</v>
      </c>
      <c r="C1619" s="11" cm="1">
        <f t="array" ref="C1619">INDEX('Enriched Data'!G:G,A1619+1)</f>
        <v>3020</v>
      </c>
      <c r="D1619" s="11">
        <f t="shared" si="76"/>
        <v>934824266.50999975</v>
      </c>
      <c r="E1619" s="10">
        <f t="shared" si="77"/>
        <v>0.99921240017487511</v>
      </c>
    </row>
    <row r="1620" spans="1:5">
      <c r="A1620">
        <f t="shared" si="75"/>
        <v>1619</v>
      </c>
      <c r="B1620" t="str" cm="1">
        <f t="array" ref="B1620">INDEX('Enriched Data'!C:C,A1620+1)</f>
        <v>The M.F.R. Group, LLC</v>
      </c>
      <c r="C1620" s="11" cm="1">
        <f t="array" ref="C1620">INDEX('Enriched Data'!G:G,A1620+1)</f>
        <v>3004.53</v>
      </c>
      <c r="D1620" s="11">
        <f t="shared" si="76"/>
        <v>934827271.03999972</v>
      </c>
      <c r="E1620" s="10">
        <f t="shared" si="77"/>
        <v>0.99921561164866779</v>
      </c>
    </row>
    <row r="1621" spans="1:5">
      <c r="A1621">
        <f t="shared" si="75"/>
        <v>1620</v>
      </c>
      <c r="B1621" t="str" cm="1">
        <f t="array" ref="B1621">INDEX('Enriched Data'!C:C,A1621+1)</f>
        <v>Overhead Door Co of Grand Rapids</v>
      </c>
      <c r="C1621" s="11" cm="1">
        <f t="array" ref="C1621">INDEX('Enriched Data'!G:G,A1621+1)</f>
        <v>3002.25</v>
      </c>
      <c r="D1621" s="11">
        <f t="shared" si="76"/>
        <v>934830273.28999972</v>
      </c>
      <c r="E1621" s="10">
        <f t="shared" si="77"/>
        <v>0.99921882068542034</v>
      </c>
    </row>
    <row r="1622" spans="1:5">
      <c r="A1622">
        <f t="shared" si="75"/>
        <v>1621</v>
      </c>
      <c r="B1622" t="str" cm="1">
        <f t="array" ref="B1622">INDEX('Enriched Data'!C:C,A1622+1)</f>
        <v>Texas SHRM</v>
      </c>
      <c r="C1622" s="11" cm="1">
        <f t="array" ref="C1622">INDEX('Enriched Data'!G:G,A1622+1)</f>
        <v>3000</v>
      </c>
      <c r="D1622" s="11">
        <f t="shared" si="76"/>
        <v>934833273.28999972</v>
      </c>
      <c r="E1622" s="10">
        <f t="shared" si="77"/>
        <v>0.99922202731719911</v>
      </c>
    </row>
    <row r="1623" spans="1:5">
      <c r="A1623">
        <f t="shared" si="75"/>
        <v>1622</v>
      </c>
      <c r="B1623" t="str" cm="1">
        <f t="array" ref="B1623">INDEX('Enriched Data'!C:C,A1623+1)</f>
        <v>Edwards &amp; Patterson Law Firm</v>
      </c>
      <c r="C1623" s="11" cm="1">
        <f t="array" ref="C1623">INDEX('Enriched Data'!G:G,A1623+1)</f>
        <v>3000</v>
      </c>
      <c r="D1623" s="11">
        <f t="shared" si="76"/>
        <v>934836273.28999972</v>
      </c>
      <c r="E1623" s="10">
        <f t="shared" si="77"/>
        <v>0.99922523394897789</v>
      </c>
    </row>
    <row r="1624" spans="1:5">
      <c r="A1624">
        <f t="shared" si="75"/>
        <v>1623</v>
      </c>
      <c r="B1624" t="str" cm="1">
        <f t="array" ref="B1624">INDEX('Enriched Data'!C:C,A1624+1)</f>
        <v>Fluid Dynamics LLC</v>
      </c>
      <c r="C1624" s="11" cm="1">
        <f t="array" ref="C1624">INDEX('Enriched Data'!G:G,A1624+1)</f>
        <v>2983.6</v>
      </c>
      <c r="D1624" s="11">
        <f t="shared" si="76"/>
        <v>934839256.88999975</v>
      </c>
      <c r="E1624" s="10">
        <f t="shared" si="77"/>
        <v>0.99922842305116955</v>
      </c>
    </row>
    <row r="1625" spans="1:5">
      <c r="A1625">
        <f t="shared" si="75"/>
        <v>1624</v>
      </c>
      <c r="B1625" t="str" cm="1">
        <f t="array" ref="B1625">INDEX('Enriched Data'!C:C,A1625+1)</f>
        <v>Sapps Wrecker Service</v>
      </c>
      <c r="C1625" s="11" cm="1">
        <f t="array" ref="C1625">INDEX('Enriched Data'!G:G,A1625+1)</f>
        <v>2975</v>
      </c>
      <c r="D1625" s="11">
        <f t="shared" si="76"/>
        <v>934842231.88999975</v>
      </c>
      <c r="E1625" s="10">
        <f t="shared" si="77"/>
        <v>0.99923160296101676</v>
      </c>
    </row>
    <row r="1626" spans="1:5">
      <c r="A1626">
        <f t="shared" si="75"/>
        <v>1625</v>
      </c>
      <c r="B1626" t="str" cm="1">
        <f t="array" ref="B1626">INDEX('Enriched Data'!C:C,A1626+1)</f>
        <v>Jan-Pro of the Triad</v>
      </c>
      <c r="C1626" s="11" cm="1">
        <f t="array" ref="C1626">INDEX('Enriched Data'!G:G,A1626+1)</f>
        <v>2956.25</v>
      </c>
      <c r="D1626" s="11">
        <f t="shared" si="76"/>
        <v>934845188.13999975</v>
      </c>
      <c r="E1626" s="10">
        <f t="shared" si="77"/>
        <v>0.99923476282941537</v>
      </c>
    </row>
    <row r="1627" spans="1:5">
      <c r="A1627">
        <f t="shared" si="75"/>
        <v>1626</v>
      </c>
      <c r="B1627" t="str" cm="1">
        <f t="array" ref="B1627">INDEX('Enriched Data'!C:C,A1627+1)</f>
        <v>Hawthorne Investments LLC</v>
      </c>
      <c r="C1627" s="11" cm="1">
        <f t="array" ref="C1627">INDEX('Enriched Data'!G:G,A1627+1)</f>
        <v>2940</v>
      </c>
      <c r="D1627" s="11">
        <f t="shared" si="76"/>
        <v>934848128.13999975</v>
      </c>
      <c r="E1627" s="10">
        <f t="shared" si="77"/>
        <v>0.99923790532855861</v>
      </c>
    </row>
    <row r="1628" spans="1:5">
      <c r="A1628">
        <f t="shared" si="75"/>
        <v>1627</v>
      </c>
      <c r="B1628" t="str" cm="1">
        <f t="array" ref="B1628">INDEX('Enriched Data'!C:C,A1628+1)</f>
        <v>Certified Laboratories</v>
      </c>
      <c r="C1628" s="11" cm="1">
        <f t="array" ref="C1628">INDEX('Enriched Data'!G:G,A1628+1)</f>
        <v>2933.33</v>
      </c>
      <c r="D1628" s="11">
        <f t="shared" si="76"/>
        <v>934851061.46999979</v>
      </c>
      <c r="E1628" s="10">
        <f t="shared" si="77"/>
        <v>0.99924104069829045</v>
      </c>
    </row>
    <row r="1629" spans="1:5">
      <c r="A1629">
        <f t="shared" si="75"/>
        <v>1628</v>
      </c>
      <c r="B1629" t="str" cm="1">
        <f t="array" ref="B1629">INDEX('Enriched Data'!C:C,A1629+1)</f>
        <v>Realty Executives International</v>
      </c>
      <c r="C1629" s="11" cm="1">
        <f t="array" ref="C1629">INDEX('Enriched Data'!G:G,A1629+1)</f>
        <v>2928.23</v>
      </c>
      <c r="D1629" s="11">
        <f t="shared" si="76"/>
        <v>934853989.69999981</v>
      </c>
      <c r="E1629" s="10">
        <f t="shared" si="77"/>
        <v>0.99924417061674831</v>
      </c>
    </row>
    <row r="1630" spans="1:5">
      <c r="A1630">
        <f t="shared" si="75"/>
        <v>1629</v>
      </c>
      <c r="B1630" t="str" cm="1">
        <f t="array" ref="B1630">INDEX('Enriched Data'!C:C,A1630+1)</f>
        <v>North Ferry Co Inc</v>
      </c>
      <c r="C1630" s="11" cm="1">
        <f t="array" ref="C1630">INDEX('Enriched Data'!G:G,A1630+1)</f>
        <v>2923.1</v>
      </c>
      <c r="D1630" s="11">
        <f t="shared" si="76"/>
        <v>934856912.79999983</v>
      </c>
      <c r="E1630" s="10">
        <f t="shared" si="77"/>
        <v>0.99924729505186582</v>
      </c>
    </row>
    <row r="1631" spans="1:5">
      <c r="A1631">
        <f t="shared" si="75"/>
        <v>1630</v>
      </c>
      <c r="B1631" t="str" cm="1">
        <f t="array" ref="B1631">INDEX('Enriched Data'!C:C,A1631+1)</f>
        <v>Hydra Clean</v>
      </c>
      <c r="C1631" s="11" cm="1">
        <f t="array" ref="C1631">INDEX('Enriched Data'!G:G,A1631+1)</f>
        <v>2909</v>
      </c>
      <c r="D1631" s="11">
        <f t="shared" si="76"/>
        <v>934859821.79999983</v>
      </c>
      <c r="E1631" s="10">
        <f t="shared" si="77"/>
        <v>0.99925040441581392</v>
      </c>
    </row>
    <row r="1632" spans="1:5">
      <c r="A1632">
        <f t="shared" si="75"/>
        <v>1631</v>
      </c>
      <c r="B1632" t="str" cm="1">
        <f t="array" ref="B1632">INDEX('Enriched Data'!C:C,A1632+1)</f>
        <v>Sciens Orlando LLc</v>
      </c>
      <c r="C1632" s="11" cm="1">
        <f t="array" ref="C1632">INDEX('Enriched Data'!G:G,A1632+1)</f>
        <v>2895.4</v>
      </c>
      <c r="D1632" s="11">
        <f t="shared" si="76"/>
        <v>934862717.19999981</v>
      </c>
      <c r="E1632" s="10">
        <f t="shared" si="77"/>
        <v>0.99925349924303131</v>
      </c>
    </row>
    <row r="1633" spans="1:5">
      <c r="A1633">
        <f t="shared" si="75"/>
        <v>1632</v>
      </c>
      <c r="B1633" t="str" cm="1">
        <f t="array" ref="B1633">INDEX('Enriched Data'!C:C,A1633+1)</f>
        <v>AirTight FaciliTech, LLC</v>
      </c>
      <c r="C1633" s="11" cm="1">
        <f t="array" ref="C1633">INDEX('Enriched Data'!G:G,A1633+1)</f>
        <v>2881.51</v>
      </c>
      <c r="D1633" s="11">
        <f t="shared" si="76"/>
        <v>934865598.7099998</v>
      </c>
      <c r="E1633" s="10">
        <f t="shared" si="77"/>
        <v>0.9992565792235435</v>
      </c>
    </row>
    <row r="1634" spans="1:5">
      <c r="A1634">
        <f t="shared" si="75"/>
        <v>1633</v>
      </c>
      <c r="B1634" t="str" cm="1">
        <f t="array" ref="B1634">INDEX('Enriched Data'!C:C,A1634+1)</f>
        <v>Office Pride - Do not use</v>
      </c>
      <c r="C1634" s="11" cm="1">
        <f t="array" ref="C1634">INDEX('Enriched Data'!G:G,A1634+1)</f>
        <v>2881.5</v>
      </c>
      <c r="D1634" s="11">
        <f t="shared" si="76"/>
        <v>934868480.2099998</v>
      </c>
      <c r="E1634" s="10">
        <f t="shared" si="77"/>
        <v>0.99925965919336701</v>
      </c>
    </row>
    <row r="1635" spans="1:5">
      <c r="A1635">
        <f t="shared" si="75"/>
        <v>1634</v>
      </c>
      <c r="B1635" t="str" cm="1">
        <f t="array" ref="B1635">INDEX('Enriched Data'!C:C,A1635+1)</f>
        <v>Coharbor Electric, LLC</v>
      </c>
      <c r="C1635" s="11" cm="1">
        <f t="array" ref="C1635">INDEX('Enriched Data'!G:G,A1635+1)</f>
        <v>2870</v>
      </c>
      <c r="D1635" s="11">
        <f t="shared" si="76"/>
        <v>934871350.2099998</v>
      </c>
      <c r="E1635" s="10">
        <f t="shared" si="77"/>
        <v>0.99926272687110196</v>
      </c>
    </row>
    <row r="1636" spans="1:5">
      <c r="A1636">
        <f t="shared" si="75"/>
        <v>1635</v>
      </c>
      <c r="B1636" t="str" cm="1">
        <f t="array" ref="B1636">INDEX('Enriched Data'!C:C,A1636+1)</f>
        <v>Association of the US Army</v>
      </c>
      <c r="C1636" s="11" cm="1">
        <f t="array" ref="C1636">INDEX('Enriched Data'!G:G,A1636+1)</f>
        <v>2850</v>
      </c>
      <c r="D1636" s="11">
        <f t="shared" si="76"/>
        <v>934874200.2099998</v>
      </c>
      <c r="E1636" s="10">
        <f t="shared" si="77"/>
        <v>0.99926577317129184</v>
      </c>
    </row>
    <row r="1637" spans="1:5">
      <c r="A1637">
        <f t="shared" si="75"/>
        <v>1636</v>
      </c>
      <c r="B1637" t="str" cm="1">
        <f t="array" ref="B1637">INDEX('Enriched Data'!C:C,A1637+1)</f>
        <v>Molly Maid Columbus</v>
      </c>
      <c r="C1637" s="11" cm="1">
        <f t="array" ref="C1637">INDEX('Enriched Data'!G:G,A1637+1)</f>
        <v>2835</v>
      </c>
      <c r="D1637" s="11">
        <f t="shared" si="76"/>
        <v>934877035.2099998</v>
      </c>
      <c r="E1637" s="10">
        <f t="shared" si="77"/>
        <v>0.99926880343832269</v>
      </c>
    </row>
    <row r="1638" spans="1:5">
      <c r="A1638">
        <f t="shared" si="75"/>
        <v>1637</v>
      </c>
      <c r="B1638" t="str" cm="1">
        <f t="array" ref="B1638">INDEX('Enriched Data'!C:C,A1638+1)</f>
        <v>Pace, Inc.</v>
      </c>
      <c r="C1638" s="11" cm="1">
        <f t="array" ref="C1638">INDEX('Enriched Data'!G:G,A1638+1)</f>
        <v>2833.86</v>
      </c>
      <c r="D1638" s="11">
        <f t="shared" si="76"/>
        <v>934879869.06999981</v>
      </c>
      <c r="E1638" s="10">
        <f t="shared" si="77"/>
        <v>0.99927183248683349</v>
      </c>
    </row>
    <row r="1639" spans="1:5">
      <c r="A1639">
        <f t="shared" si="75"/>
        <v>1638</v>
      </c>
      <c r="B1639" t="str" cm="1">
        <f t="array" ref="B1639">INDEX('Enriched Data'!C:C,A1639+1)</f>
        <v>All Auto Towing Inc.</v>
      </c>
      <c r="C1639" s="11" cm="1">
        <f t="array" ref="C1639">INDEX('Enriched Data'!G:G,A1639+1)</f>
        <v>2822.25</v>
      </c>
      <c r="D1639" s="11">
        <f t="shared" si="76"/>
        <v>934882691.31999981</v>
      </c>
      <c r="E1639" s="10">
        <f t="shared" si="77"/>
        <v>0.99927484912567943</v>
      </c>
    </row>
    <row r="1640" spans="1:5">
      <c r="A1640">
        <f t="shared" si="75"/>
        <v>1639</v>
      </c>
      <c r="B1640" t="str" cm="1">
        <f t="array" ref="B1640">INDEX('Enriched Data'!C:C,A1640+1)</f>
        <v>Mar-Nic General Contractor, LLP</v>
      </c>
      <c r="C1640" s="11" cm="1">
        <f t="array" ref="C1640">INDEX('Enriched Data'!G:G,A1640+1)</f>
        <v>2814.9</v>
      </c>
      <c r="D1640" s="11">
        <f t="shared" si="76"/>
        <v>934885506.21999979</v>
      </c>
      <c r="E1640" s="10">
        <f t="shared" si="77"/>
        <v>0.99927785790827739</v>
      </c>
    </row>
    <row r="1641" spans="1:5">
      <c r="A1641">
        <f t="shared" si="75"/>
        <v>1640</v>
      </c>
      <c r="B1641" t="str" cm="1">
        <f t="array" ref="B1641">INDEX('Enriched Data'!C:C,A1641+1)</f>
        <v>B&amp;F Design Studio and Arch Svcs,LLC</v>
      </c>
      <c r="C1641" s="11" cm="1">
        <f t="array" ref="C1641">INDEX('Enriched Data'!G:G,A1641+1)</f>
        <v>2800</v>
      </c>
      <c r="D1641" s="11">
        <f t="shared" si="76"/>
        <v>934888306.21999979</v>
      </c>
      <c r="E1641" s="10">
        <f t="shared" si="77"/>
        <v>0.99928085076460416</v>
      </c>
    </row>
    <row r="1642" spans="1:5">
      <c r="A1642">
        <f t="shared" si="75"/>
        <v>1641</v>
      </c>
      <c r="B1642" t="str" cm="1">
        <f t="array" ref="B1642">INDEX('Enriched Data'!C:C,A1642+1)</f>
        <v>Big South Metals, Inc.</v>
      </c>
      <c r="C1642" s="11" cm="1">
        <f t="array" ref="C1642">INDEX('Enriched Data'!G:G,A1642+1)</f>
        <v>2800</v>
      </c>
      <c r="D1642" s="11">
        <f t="shared" si="76"/>
        <v>934891106.21999979</v>
      </c>
      <c r="E1642" s="10">
        <f t="shared" si="77"/>
        <v>0.99928384362093103</v>
      </c>
    </row>
    <row r="1643" spans="1:5">
      <c r="A1643">
        <f t="shared" si="75"/>
        <v>1642</v>
      </c>
      <c r="B1643" t="str" cm="1">
        <f t="array" ref="B1643">INDEX('Enriched Data'!C:C,A1643+1)</f>
        <v>D&amp;M Hydraulic Sales &amp; Service, Inc.</v>
      </c>
      <c r="C1643" s="11" cm="1">
        <f t="array" ref="C1643">INDEX('Enriched Data'!G:G,A1643+1)</f>
        <v>2792.25</v>
      </c>
      <c r="D1643" s="11">
        <f t="shared" si="76"/>
        <v>934893898.46999979</v>
      </c>
      <c r="E1643" s="10">
        <f t="shared" si="77"/>
        <v>0.99928682819345904</v>
      </c>
    </row>
    <row r="1644" spans="1:5">
      <c r="A1644">
        <f t="shared" si="75"/>
        <v>1643</v>
      </c>
      <c r="B1644" t="str" cm="1">
        <f t="array" ref="B1644">INDEX('Enriched Data'!C:C,A1644+1)</f>
        <v>Ecotech Pest Control Services</v>
      </c>
      <c r="C1644" s="11" cm="1">
        <f t="array" ref="C1644">INDEX('Enriched Data'!G:G,A1644+1)</f>
        <v>2773.35</v>
      </c>
      <c r="D1644" s="11">
        <f t="shared" si="76"/>
        <v>934896671.81999981</v>
      </c>
      <c r="E1644" s="10">
        <f t="shared" si="77"/>
        <v>0.99928979256420691</v>
      </c>
    </row>
    <row r="1645" spans="1:5">
      <c r="A1645">
        <f t="shared" si="75"/>
        <v>1644</v>
      </c>
      <c r="B1645" t="str" cm="1">
        <f t="array" ref="B1645">INDEX('Enriched Data'!C:C,A1645+1)</f>
        <v>WyEast Products Inc</v>
      </c>
      <c r="C1645" s="11" cm="1">
        <f t="array" ref="C1645">INDEX('Enriched Data'!G:G,A1645+1)</f>
        <v>2771.94</v>
      </c>
      <c r="D1645" s="11">
        <f t="shared" si="76"/>
        <v>934899443.75999987</v>
      </c>
      <c r="E1645" s="10">
        <f t="shared" si="77"/>
        <v>0.99929275542783791</v>
      </c>
    </row>
    <row r="1646" spans="1:5">
      <c r="A1646">
        <f t="shared" si="75"/>
        <v>1645</v>
      </c>
      <c r="B1646" t="str" cm="1">
        <f t="array" ref="B1646">INDEX('Enriched Data'!C:C,A1646+1)</f>
        <v>Dyson dba Iron Horse</v>
      </c>
      <c r="C1646" s="11" cm="1">
        <f t="array" ref="C1646">INDEX('Enriched Data'!G:G,A1646+1)</f>
        <v>2761.62</v>
      </c>
      <c r="D1646" s="11">
        <f t="shared" si="76"/>
        <v>934902205.37999988</v>
      </c>
      <c r="E1646" s="10">
        <f t="shared" si="77"/>
        <v>0.99929570726065553</v>
      </c>
    </row>
    <row r="1647" spans="1:5">
      <c r="A1647">
        <f t="shared" si="75"/>
        <v>1646</v>
      </c>
      <c r="B1647" t="str" cm="1">
        <f t="array" ref="B1647">INDEX('Enriched Data'!C:C,A1647+1)</f>
        <v>JAS Property Maintenance</v>
      </c>
      <c r="C1647" s="11" cm="1">
        <f t="array" ref="C1647">INDEX('Enriched Data'!G:G,A1647+1)</f>
        <v>2760</v>
      </c>
      <c r="D1647" s="11">
        <f t="shared" si="76"/>
        <v>934904965.37999988</v>
      </c>
      <c r="E1647" s="10">
        <f t="shared" si="77"/>
        <v>0.99929865736189194</v>
      </c>
    </row>
    <row r="1648" spans="1:5">
      <c r="A1648">
        <f t="shared" si="75"/>
        <v>1647</v>
      </c>
      <c r="B1648" t="str" cm="1">
        <f t="array" ref="B1648">INDEX('Enriched Data'!C:C,A1648+1)</f>
        <v>Sherwin Williams-CANA</v>
      </c>
      <c r="C1648" s="11" cm="1">
        <f t="array" ref="C1648">INDEX('Enriched Data'!G:G,A1648+1)</f>
        <v>2756.15</v>
      </c>
      <c r="D1648" s="11">
        <f t="shared" si="76"/>
        <v>934907721.52999985</v>
      </c>
      <c r="E1648" s="10">
        <f t="shared" si="77"/>
        <v>0.99930160334795093</v>
      </c>
    </row>
    <row r="1649" spans="1:5">
      <c r="A1649">
        <f t="shared" si="75"/>
        <v>1648</v>
      </c>
      <c r="B1649" t="str" cm="1">
        <f t="array" ref="B1649">INDEX('Enriched Data'!C:C,A1649+1)</f>
        <v>CU Cleaning 100199319</v>
      </c>
      <c r="C1649" s="11" cm="1">
        <f t="array" ref="C1649">INDEX('Enriched Data'!G:G,A1649+1)</f>
        <v>2755</v>
      </c>
      <c r="D1649" s="11">
        <f t="shared" si="76"/>
        <v>934910476.52999985</v>
      </c>
      <c r="E1649" s="10">
        <f t="shared" si="77"/>
        <v>0.99930454810480107</v>
      </c>
    </row>
    <row r="1650" spans="1:5">
      <c r="A1650">
        <f t="shared" si="75"/>
        <v>1649</v>
      </c>
      <c r="B1650" t="str" cm="1">
        <f t="array" ref="B1650">INDEX('Enriched Data'!C:C,A1650+1)</f>
        <v>Greater Tampa Bay Chamber of Comm</v>
      </c>
      <c r="C1650" s="11" cm="1">
        <f t="array" ref="C1650">INDEX('Enriched Data'!G:G,A1650+1)</f>
        <v>2750</v>
      </c>
      <c r="D1650" s="11">
        <f t="shared" si="76"/>
        <v>934913226.52999985</v>
      </c>
      <c r="E1650" s="10">
        <f t="shared" si="77"/>
        <v>0.99930748751726484</v>
      </c>
    </row>
    <row r="1651" spans="1:5">
      <c r="A1651">
        <f t="shared" si="75"/>
        <v>1650</v>
      </c>
      <c r="B1651" t="str" cm="1">
        <f t="array" ref="B1651">INDEX('Enriched Data'!C:C,A1651+1)</f>
        <v>New Orleans Portable Storage LLC</v>
      </c>
      <c r="C1651" s="11" cm="1">
        <f t="array" ref="C1651">INDEX('Enriched Data'!G:G,A1651+1)</f>
        <v>2744.46</v>
      </c>
      <c r="D1651" s="11">
        <f t="shared" si="76"/>
        <v>934915970.98999989</v>
      </c>
      <c r="E1651" s="10">
        <f t="shared" si="77"/>
        <v>0.99931042100814871</v>
      </c>
    </row>
    <row r="1652" spans="1:5">
      <c r="A1652">
        <f t="shared" si="75"/>
        <v>1651</v>
      </c>
      <c r="B1652" t="str" cm="1">
        <f t="array" ref="B1652">INDEX('Enriched Data'!C:C,A1652+1)</f>
        <v>Connecticut Portable Storage</v>
      </c>
      <c r="C1652" s="11" cm="1">
        <f t="array" ref="C1652">INDEX('Enriched Data'!G:G,A1652+1)</f>
        <v>2734.98</v>
      </c>
      <c r="D1652" s="11">
        <f t="shared" si="76"/>
        <v>934918705.96999991</v>
      </c>
      <c r="E1652" s="10">
        <f t="shared" si="77"/>
        <v>0.99931334436607622</v>
      </c>
    </row>
    <row r="1653" spans="1:5">
      <c r="A1653">
        <f t="shared" si="75"/>
        <v>1652</v>
      </c>
      <c r="B1653" t="str" cm="1">
        <f t="array" ref="B1653">INDEX('Enriched Data'!C:C,A1653+1)</f>
        <v>Great Lakes Distributing</v>
      </c>
      <c r="C1653" s="11" cm="1">
        <f t="array" ref="C1653">INDEX('Enriched Data'!G:G,A1653+1)</f>
        <v>2730.02</v>
      </c>
      <c r="D1653" s="11">
        <f t="shared" si="76"/>
        <v>934921435.98999989</v>
      </c>
      <c r="E1653" s="10">
        <f t="shared" si="77"/>
        <v>0.99931626242237237</v>
      </c>
    </row>
    <row r="1654" spans="1:5">
      <c r="A1654">
        <f t="shared" si="75"/>
        <v>1653</v>
      </c>
      <c r="B1654" t="str" cm="1">
        <f t="array" ref="B1654">INDEX('Enriched Data'!C:C,A1654+1)</f>
        <v>OKeefes Landscaping LLC</v>
      </c>
      <c r="C1654" s="11" cm="1">
        <f t="array" ref="C1654">INDEX('Enriched Data'!G:G,A1654+1)</f>
        <v>2725</v>
      </c>
      <c r="D1654" s="11">
        <f t="shared" si="76"/>
        <v>934924160.98999989</v>
      </c>
      <c r="E1654" s="10">
        <f t="shared" si="77"/>
        <v>0.99931917511290469</v>
      </c>
    </row>
    <row r="1655" spans="1:5">
      <c r="A1655">
        <f t="shared" si="75"/>
        <v>1654</v>
      </c>
      <c r="B1655" t="str" cm="1">
        <f t="array" ref="B1655">INDEX('Enriched Data'!C:C,A1655+1)</f>
        <v>TRSB, Inc.</v>
      </c>
      <c r="C1655" s="11" cm="1">
        <f t="array" ref="C1655">INDEX('Enriched Data'!G:G,A1655+1)</f>
        <v>2724.28</v>
      </c>
      <c r="D1655" s="11">
        <f t="shared" si="76"/>
        <v>934926885.26999986</v>
      </c>
      <c r="E1655" s="10">
        <f t="shared" si="77"/>
        <v>0.9993220870338454</v>
      </c>
    </row>
    <row r="1656" spans="1:5">
      <c r="A1656">
        <f t="shared" si="75"/>
        <v>1655</v>
      </c>
      <c r="B1656" t="str" cm="1">
        <f t="array" ref="B1656">INDEX('Enriched Data'!C:C,A1656+1)</f>
        <v>Vital Records Control</v>
      </c>
      <c r="C1656" s="11" cm="1">
        <f t="array" ref="C1656">INDEX('Enriched Data'!G:G,A1656+1)</f>
        <v>2718.63</v>
      </c>
      <c r="D1656" s="11">
        <f t="shared" si="76"/>
        <v>934929603.89999986</v>
      </c>
      <c r="E1656" s="10">
        <f t="shared" si="77"/>
        <v>0.9993249929156296</v>
      </c>
    </row>
    <row r="1657" spans="1:5">
      <c r="A1657">
        <f t="shared" si="75"/>
        <v>1656</v>
      </c>
      <c r="B1657" t="str" cm="1">
        <f t="array" ref="B1657">INDEX('Enriched Data'!C:C,A1657+1)</f>
        <v>Wyatts Tire Co.</v>
      </c>
      <c r="C1657" s="11" cm="1">
        <f t="array" ref="C1657">INDEX('Enriched Data'!G:G,A1657+1)</f>
        <v>2716.62</v>
      </c>
      <c r="D1657" s="11">
        <f t="shared" si="76"/>
        <v>934932320.51999986</v>
      </c>
      <c r="E1657" s="10">
        <f t="shared" si="77"/>
        <v>0.99932789664897048</v>
      </c>
    </row>
    <row r="1658" spans="1:5">
      <c r="A1658">
        <f t="shared" si="75"/>
        <v>1657</v>
      </c>
      <c r="B1658" t="str" cm="1">
        <f t="array" ref="B1658">INDEX('Enriched Data'!C:C,A1658+1)</f>
        <v>Overhead Door Corporation</v>
      </c>
      <c r="C1658" s="11" cm="1">
        <f t="array" ref="C1658">INDEX('Enriched Data'!G:G,A1658+1)</f>
        <v>2712.5</v>
      </c>
      <c r="D1658" s="11">
        <f t="shared" si="76"/>
        <v>934935033.01999986</v>
      </c>
      <c r="E1658" s="10">
        <f t="shared" si="77"/>
        <v>0.99933079597853713</v>
      </c>
    </row>
    <row r="1659" spans="1:5">
      <c r="A1659">
        <f t="shared" si="75"/>
        <v>1658</v>
      </c>
      <c r="B1659" t="str" cm="1">
        <f t="array" ref="B1659">INDEX('Enriched Data'!C:C,A1659+1)</f>
        <v>Broadway Refrigeration &amp; Air Conditioning Co. LTD</v>
      </c>
      <c r="C1659" s="11" cm="1">
        <f t="array" ref="C1659">INDEX('Enriched Data'!G:G,A1659+1)</f>
        <v>2704.77</v>
      </c>
      <c r="D1659" s="11">
        <f t="shared" si="76"/>
        <v>934937737.78999984</v>
      </c>
      <c r="E1659" s="10">
        <f t="shared" si="77"/>
        <v>0.99933368704568248</v>
      </c>
    </row>
    <row r="1660" spans="1:5">
      <c r="A1660">
        <f t="shared" si="75"/>
        <v>1659</v>
      </c>
      <c r="B1660" t="str" cm="1">
        <f t="array" ref="B1660">INDEX('Enriched Data'!C:C,A1660+1)</f>
        <v>Caine &amp; Weiner</v>
      </c>
      <c r="C1660" s="11" cm="1">
        <f t="array" ref="C1660">INDEX('Enriched Data'!G:G,A1660+1)</f>
        <v>2703</v>
      </c>
      <c r="D1660" s="11">
        <f t="shared" si="76"/>
        <v>934940440.78999984</v>
      </c>
      <c r="E1660" s="10">
        <f t="shared" si="77"/>
        <v>0.9993365762209151</v>
      </c>
    </row>
    <row r="1661" spans="1:5">
      <c r="A1661">
        <f t="shared" si="75"/>
        <v>1660</v>
      </c>
      <c r="B1661" t="str" cm="1">
        <f t="array" ref="B1661">INDEX('Enriched Data'!C:C,A1661+1)</f>
        <v>Jan-Pro Cleaning Servs of SC/GA Coa</v>
      </c>
      <c r="C1661" s="11" cm="1">
        <f t="array" ref="C1661">INDEX('Enriched Data'!G:G,A1661+1)</f>
        <v>2700</v>
      </c>
      <c r="D1661" s="11">
        <f t="shared" si="76"/>
        <v>934943140.78999984</v>
      </c>
      <c r="E1661" s="10">
        <f t="shared" si="77"/>
        <v>0.99933946218951597</v>
      </c>
    </row>
    <row r="1662" spans="1:5">
      <c r="A1662">
        <f t="shared" si="75"/>
        <v>1661</v>
      </c>
      <c r="B1662" t="str" cm="1">
        <f t="array" ref="B1662">INDEX('Enriched Data'!C:C,A1662+1)</f>
        <v>Adirondack Group, LLC dba The Fence</v>
      </c>
      <c r="C1662" s="11" cm="1">
        <f t="array" ref="C1662">INDEX('Enriched Data'!G:G,A1662+1)</f>
        <v>2696.38</v>
      </c>
      <c r="D1662" s="11">
        <f t="shared" si="76"/>
        <v>934945837.16999984</v>
      </c>
      <c r="E1662" s="10">
        <f t="shared" si="77"/>
        <v>0.99934234428878121</v>
      </c>
    </row>
    <row r="1663" spans="1:5">
      <c r="A1663">
        <f t="shared" si="75"/>
        <v>1662</v>
      </c>
      <c r="B1663" t="str" cm="1">
        <f t="array" ref="B1663">INDEX('Enriched Data'!C:C,A1663+1)</f>
        <v>ASSA ABLOY Entrance Systems Canada Inc</v>
      </c>
      <c r="C1663" s="11" cm="1">
        <f t="array" ref="C1663">INDEX('Enriched Data'!G:G,A1663+1)</f>
        <v>2694.25</v>
      </c>
      <c r="D1663" s="11">
        <f t="shared" si="76"/>
        <v>934948531.41999984</v>
      </c>
      <c r="E1663" s="10">
        <f t="shared" si="77"/>
        <v>0.99934522411133775</v>
      </c>
    </row>
    <row r="1664" spans="1:5">
      <c r="A1664">
        <f t="shared" si="75"/>
        <v>1663</v>
      </c>
      <c r="B1664" t="str" cm="1">
        <f t="array" ref="B1664">INDEX('Enriched Data'!C:C,A1664+1)</f>
        <v>Delta T LLC dba Big Ass Fans</v>
      </c>
      <c r="C1664" s="11" cm="1">
        <f t="array" ref="C1664">INDEX('Enriched Data'!G:G,A1664+1)</f>
        <v>2678</v>
      </c>
      <c r="D1664" s="11">
        <f t="shared" si="76"/>
        <v>934951209.41999984</v>
      </c>
      <c r="E1664" s="10">
        <f t="shared" si="77"/>
        <v>0.99934808656463892</v>
      </c>
    </row>
    <row r="1665" spans="1:5">
      <c r="A1665">
        <f t="shared" si="75"/>
        <v>1664</v>
      </c>
      <c r="B1665" t="str" cm="1">
        <f t="array" ref="B1665">INDEX('Enriched Data'!C:C,A1665+1)</f>
        <v>Timothy R Vroom</v>
      </c>
      <c r="C1665" s="11" cm="1">
        <f t="array" ref="C1665">INDEX('Enriched Data'!G:G,A1665+1)</f>
        <v>2675</v>
      </c>
      <c r="D1665" s="11">
        <f t="shared" si="76"/>
        <v>934953884.41999984</v>
      </c>
      <c r="E1665" s="10">
        <f t="shared" si="77"/>
        <v>0.99935094581130834</v>
      </c>
    </row>
    <row r="1666" spans="1:5">
      <c r="A1666">
        <f t="shared" si="75"/>
        <v>1665</v>
      </c>
      <c r="B1666" t="str" cm="1">
        <f t="array" ref="B1666">INDEX('Enriched Data'!C:C,A1666+1)</f>
        <v>ASAP Garage Door Service Inc.</v>
      </c>
      <c r="C1666" s="11" cm="1">
        <f t="array" ref="C1666">INDEX('Enriched Data'!G:G,A1666+1)</f>
        <v>2654.82</v>
      </c>
      <c r="D1666" s="11">
        <f t="shared" si="76"/>
        <v>934956539.23999989</v>
      </c>
      <c r="E1666" s="10">
        <f t="shared" si="77"/>
        <v>0.99935378348803461</v>
      </c>
    </row>
    <row r="1667" spans="1:5">
      <c r="A1667">
        <f t="shared" si="75"/>
        <v>1666</v>
      </c>
      <c r="B1667" t="str" cm="1">
        <f t="array" ref="B1667">INDEX('Enriched Data'!C:C,A1667+1)</f>
        <v>High Cotton Landscaping &amp; P M, LLC</v>
      </c>
      <c r="C1667" s="11" cm="1">
        <f t="array" ref="C1667">INDEX('Enriched Data'!G:G,A1667+1)</f>
        <v>2650</v>
      </c>
      <c r="D1667" s="11">
        <f t="shared" si="76"/>
        <v>934959189.23999989</v>
      </c>
      <c r="E1667" s="10">
        <f t="shared" si="77"/>
        <v>0.99935661601277248</v>
      </c>
    </row>
    <row r="1668" spans="1:5">
      <c r="A1668">
        <f t="shared" ref="A1668:A1731" si="78">A1667+1</f>
        <v>1667</v>
      </c>
      <c r="B1668" t="str" cm="1">
        <f t="array" ref="B1668">INDEX('Enriched Data'!C:C,A1668+1)</f>
        <v>Overhead Door Of Sarasota</v>
      </c>
      <c r="C1668" s="11" cm="1">
        <f t="array" ref="C1668">INDEX('Enriched Data'!G:G,A1668+1)</f>
        <v>2630</v>
      </c>
      <c r="D1668" s="11">
        <f t="shared" ref="D1668:D1731" si="79">D1667+C1668</f>
        <v>934961819.23999989</v>
      </c>
      <c r="E1668" s="10">
        <f t="shared" ref="E1668:E1731" si="80">D1668/$F$2</f>
        <v>0.99935942715996517</v>
      </c>
    </row>
    <row r="1669" spans="1:5">
      <c r="A1669">
        <f t="shared" si="78"/>
        <v>1668</v>
      </c>
      <c r="B1669" t="str" cm="1">
        <f t="array" ref="B1669">INDEX('Enriched Data'!C:C,A1669+1)</f>
        <v>Idella B Becks</v>
      </c>
      <c r="C1669" s="11" cm="1">
        <f t="array" ref="C1669">INDEX('Enriched Data'!G:G,A1669+1)</f>
        <v>2625</v>
      </c>
      <c r="D1669" s="11">
        <f t="shared" si="79"/>
        <v>934964444.23999989</v>
      </c>
      <c r="E1669" s="10">
        <f t="shared" si="80"/>
        <v>0.9993622329627716</v>
      </c>
    </row>
    <row r="1670" spans="1:5">
      <c r="A1670">
        <f t="shared" si="78"/>
        <v>1669</v>
      </c>
      <c r="B1670" t="str" cm="1">
        <f t="array" ref="B1670">INDEX('Enriched Data'!C:C,A1670+1)</f>
        <v>Christenson Electric, Inc.</v>
      </c>
      <c r="C1670" s="11" cm="1">
        <f t="array" ref="C1670">INDEX('Enriched Data'!G:G,A1670+1)</f>
        <v>2617</v>
      </c>
      <c r="D1670" s="11">
        <f t="shared" si="79"/>
        <v>934967061.23999989</v>
      </c>
      <c r="E1670" s="10">
        <f t="shared" si="80"/>
        <v>0.99936503021455991</v>
      </c>
    </row>
    <row r="1671" spans="1:5">
      <c r="A1671">
        <f t="shared" si="78"/>
        <v>1670</v>
      </c>
      <c r="B1671" t="str" cm="1">
        <f t="array" ref="B1671">INDEX('Enriched Data'!C:C,A1671+1)</f>
        <v>Marty Massey Towing &amp; Recovery Inc</v>
      </c>
      <c r="C1671" s="11" cm="1">
        <f t="array" ref="C1671">INDEX('Enriched Data'!G:G,A1671+1)</f>
        <v>2575</v>
      </c>
      <c r="D1671" s="11">
        <f t="shared" si="79"/>
        <v>934969636.23999989</v>
      </c>
      <c r="E1671" s="10">
        <f t="shared" si="80"/>
        <v>0.99936778257350334</v>
      </c>
    </row>
    <row r="1672" spans="1:5">
      <c r="A1672">
        <f t="shared" si="78"/>
        <v>1671</v>
      </c>
      <c r="B1672" t="str" cm="1">
        <f t="array" ref="B1672">INDEX('Enriched Data'!C:C,A1672+1)</f>
        <v>Maryland Truck Tire Services Inc.</v>
      </c>
      <c r="C1672" s="11" cm="1">
        <f t="array" ref="C1672">INDEX('Enriched Data'!G:G,A1672+1)</f>
        <v>2564.04</v>
      </c>
      <c r="D1672" s="11">
        <f t="shared" si="79"/>
        <v>934972200.27999985</v>
      </c>
      <c r="E1672" s="10">
        <f t="shared" si="80"/>
        <v>0.99937052321755193</v>
      </c>
    </row>
    <row r="1673" spans="1:5">
      <c r="A1673">
        <f t="shared" si="78"/>
        <v>1672</v>
      </c>
      <c r="B1673" t="str" cm="1">
        <f t="array" ref="B1673">INDEX('Enriched Data'!C:C,A1673+1)</f>
        <v>McKernan, Inc</v>
      </c>
      <c r="C1673" s="11" cm="1">
        <f t="array" ref="C1673">INDEX('Enriched Data'!G:G,A1673+1)</f>
        <v>2550</v>
      </c>
      <c r="D1673" s="11">
        <f t="shared" si="79"/>
        <v>934974750.27999985</v>
      </c>
      <c r="E1673" s="10">
        <f t="shared" si="80"/>
        <v>0.99937324885456391</v>
      </c>
    </row>
    <row r="1674" spans="1:5">
      <c r="A1674">
        <f t="shared" si="78"/>
        <v>1673</v>
      </c>
      <c r="B1674" t="str" cm="1">
        <f t="array" ref="B1674">INDEX('Enriched Data'!C:C,A1674+1)</f>
        <v>Texas Enterprises dba Hotsy Carlson</v>
      </c>
      <c r="C1674" s="11" cm="1">
        <f t="array" ref="C1674">INDEX('Enriched Data'!G:G,A1674+1)</f>
        <v>2533.73</v>
      </c>
      <c r="D1674" s="11">
        <f t="shared" si="79"/>
        <v>934977284.00999987</v>
      </c>
      <c r="E1674" s="10">
        <f t="shared" si="80"/>
        <v>0.99937595710094285</v>
      </c>
    </row>
    <row r="1675" spans="1:5">
      <c r="A1675">
        <f t="shared" si="78"/>
        <v>1674</v>
      </c>
      <c r="B1675" t="str" cm="1">
        <f t="array" ref="B1675">INDEX('Enriched Data'!C:C,A1675+1)</f>
        <v>Forklifts of Michigan, Inc.</v>
      </c>
      <c r="C1675" s="11" cm="1">
        <f t="array" ref="C1675">INDEX('Enriched Data'!G:G,A1675+1)</f>
        <v>2529.88</v>
      </c>
      <c r="D1675" s="11">
        <f t="shared" si="79"/>
        <v>934979813.88999987</v>
      </c>
      <c r="E1675" s="10">
        <f t="shared" si="80"/>
        <v>0.99937866123214425</v>
      </c>
    </row>
    <row r="1676" spans="1:5">
      <c r="A1676">
        <f t="shared" si="78"/>
        <v>1675</v>
      </c>
      <c r="B1676" t="str" cm="1">
        <f t="array" ref="B1676">INDEX('Enriched Data'!C:C,A1676+1)</f>
        <v>Quality Petroleum, Inc</v>
      </c>
      <c r="C1676" s="11" cm="1">
        <f t="array" ref="C1676">INDEX('Enriched Data'!G:G,A1676+1)</f>
        <v>2527.75</v>
      </c>
      <c r="D1676" s="11">
        <f t="shared" si="79"/>
        <v>934982341.63999987</v>
      </c>
      <c r="E1676" s="10">
        <f t="shared" si="80"/>
        <v>0.99938136308663716</v>
      </c>
    </row>
    <row r="1677" spans="1:5">
      <c r="A1677">
        <f t="shared" si="78"/>
        <v>1676</v>
      </c>
      <c r="B1677" t="str" cm="1">
        <f t="array" ref="B1677">INDEX('Enriched Data'!C:C,A1677+1)</f>
        <v>Hamilton Casters &amp; Mfg Co.</v>
      </c>
      <c r="C1677" s="11" cm="1">
        <f t="array" ref="C1677">INDEX('Enriched Data'!G:G,A1677+1)</f>
        <v>2511.96</v>
      </c>
      <c r="D1677" s="11">
        <f t="shared" si="79"/>
        <v>934984853.5999999</v>
      </c>
      <c r="E1677" s="10">
        <f t="shared" si="80"/>
        <v>0.99938404806355818</v>
      </c>
    </row>
    <row r="1678" spans="1:5">
      <c r="A1678">
        <f t="shared" si="78"/>
        <v>1677</v>
      </c>
      <c r="B1678" t="str" cm="1">
        <f t="array" ref="B1678">INDEX('Enriched Data'!C:C,A1678+1)</f>
        <v>The Truck Master School</v>
      </c>
      <c r="C1678" s="11" cm="1">
        <f t="array" ref="C1678">INDEX('Enriched Data'!G:G,A1678+1)</f>
        <v>2500</v>
      </c>
      <c r="D1678" s="11">
        <f t="shared" si="79"/>
        <v>934987353.5999999</v>
      </c>
      <c r="E1678" s="10">
        <f t="shared" si="80"/>
        <v>0.99938672025670716</v>
      </c>
    </row>
    <row r="1679" spans="1:5">
      <c r="A1679">
        <f t="shared" si="78"/>
        <v>1678</v>
      </c>
      <c r="B1679" t="str" cm="1">
        <f t="array" ref="B1679">INDEX('Enriched Data'!C:C,A1679+1)</f>
        <v>Ricketts Transportation LLC</v>
      </c>
      <c r="C1679" s="11" cm="1">
        <f t="array" ref="C1679">INDEX('Enriched Data'!G:G,A1679+1)</f>
        <v>2500</v>
      </c>
      <c r="D1679" s="11">
        <f t="shared" si="79"/>
        <v>934989853.5999999</v>
      </c>
      <c r="E1679" s="10">
        <f t="shared" si="80"/>
        <v>0.99938939244985603</v>
      </c>
    </row>
    <row r="1680" spans="1:5">
      <c r="A1680">
        <f t="shared" si="78"/>
        <v>1679</v>
      </c>
      <c r="B1680" t="str" cm="1">
        <f t="array" ref="B1680">INDEX('Enriched Data'!C:C,A1680+1)</f>
        <v>Stiles Contracting Inc.</v>
      </c>
      <c r="C1680" s="11" cm="1">
        <f t="array" ref="C1680">INDEX('Enriched Data'!G:G,A1680+1)</f>
        <v>2500</v>
      </c>
      <c r="D1680" s="11">
        <f t="shared" si="79"/>
        <v>934992353.5999999</v>
      </c>
      <c r="E1680" s="10">
        <f t="shared" si="80"/>
        <v>0.99939206464300501</v>
      </c>
    </row>
    <row r="1681" spans="1:5">
      <c r="A1681">
        <f t="shared" si="78"/>
        <v>1680</v>
      </c>
      <c r="B1681" t="str" cm="1">
        <f t="array" ref="B1681">INDEX('Enriched Data'!C:C,A1681+1)</f>
        <v>Rowan Landscape &amp; Design</v>
      </c>
      <c r="C1681" s="11" cm="1">
        <f t="array" ref="C1681">INDEX('Enriched Data'!G:G,A1681+1)</f>
        <v>2500</v>
      </c>
      <c r="D1681" s="11">
        <f t="shared" si="79"/>
        <v>934994853.5999999</v>
      </c>
      <c r="E1681" s="10">
        <f t="shared" si="80"/>
        <v>0.99939473683615399</v>
      </c>
    </row>
    <row r="1682" spans="1:5">
      <c r="A1682">
        <f t="shared" si="78"/>
        <v>1681</v>
      </c>
      <c r="B1682" t="str" cm="1">
        <f t="array" ref="B1682">INDEX('Enriched Data'!C:C,A1682+1)</f>
        <v>National Military Community Foundat</v>
      </c>
      <c r="C1682" s="11" cm="1">
        <f t="array" ref="C1682">INDEX('Enriched Data'!G:G,A1682+1)</f>
        <v>2500</v>
      </c>
      <c r="D1682" s="11">
        <f t="shared" si="79"/>
        <v>934997353.5999999</v>
      </c>
      <c r="E1682" s="10">
        <f t="shared" si="80"/>
        <v>0.99939740902930296</v>
      </c>
    </row>
    <row r="1683" spans="1:5">
      <c r="A1683">
        <f t="shared" si="78"/>
        <v>1682</v>
      </c>
      <c r="B1683" t="str" cm="1">
        <f t="array" ref="B1683">INDEX('Enriched Data'!C:C,A1683+1)</f>
        <v>CA Assets, dba Pro Overhead Door</v>
      </c>
      <c r="C1683" s="11" cm="1">
        <f t="array" ref="C1683">INDEX('Enriched Data'!G:G,A1683+1)</f>
        <v>2481.69</v>
      </c>
      <c r="D1683" s="11">
        <f t="shared" si="79"/>
        <v>934999835.28999996</v>
      </c>
      <c r="E1683" s="10">
        <f t="shared" si="80"/>
        <v>0.99940006165130935</v>
      </c>
    </row>
    <row r="1684" spans="1:5">
      <c r="A1684">
        <f t="shared" si="78"/>
        <v>1683</v>
      </c>
      <c r="B1684" t="str" cm="1">
        <f t="array" ref="B1684">INDEX('Enriched Data'!C:C,A1684+1)</f>
        <v>A. Fire &amp; Safety Co.</v>
      </c>
      <c r="C1684" s="11" cm="1">
        <f t="array" ref="C1684">INDEX('Enriched Data'!G:G,A1684+1)</f>
        <v>2475.7800000000002</v>
      </c>
      <c r="D1684" s="11">
        <f t="shared" si="79"/>
        <v>935002311.06999993</v>
      </c>
      <c r="E1684" s="10">
        <f t="shared" si="80"/>
        <v>0.99940270795625097</v>
      </c>
    </row>
    <row r="1685" spans="1:5">
      <c r="A1685">
        <f t="shared" si="78"/>
        <v>1684</v>
      </c>
      <c r="B1685" t="str" cm="1">
        <f t="array" ref="B1685">INDEX('Enriched Data'!C:C,A1685+1)</f>
        <v>Coyote Portable Storage</v>
      </c>
      <c r="C1685" s="11" cm="1">
        <f t="array" ref="C1685">INDEX('Enriched Data'!G:G,A1685+1)</f>
        <v>2462.48</v>
      </c>
      <c r="D1685" s="11">
        <f t="shared" si="79"/>
        <v>935004773.54999995</v>
      </c>
      <c r="E1685" s="10">
        <f t="shared" si="80"/>
        <v>0.99940534004512516</v>
      </c>
    </row>
    <row r="1686" spans="1:5">
      <c r="A1686">
        <f t="shared" si="78"/>
        <v>1685</v>
      </c>
      <c r="B1686" t="str" cm="1">
        <f t="array" ref="B1686">INDEX('Enriched Data'!C:C,A1686+1)</f>
        <v>AirTemp, Inc.</v>
      </c>
      <c r="C1686" s="11" cm="1">
        <f t="array" ref="C1686">INDEX('Enriched Data'!G:G,A1686+1)</f>
        <v>2455</v>
      </c>
      <c r="D1686" s="11">
        <f t="shared" si="79"/>
        <v>935007228.54999995</v>
      </c>
      <c r="E1686" s="10">
        <f t="shared" si="80"/>
        <v>0.9994079641387974</v>
      </c>
    </row>
    <row r="1687" spans="1:5">
      <c r="A1687">
        <f t="shared" si="78"/>
        <v>1686</v>
      </c>
      <c r="B1687" t="str" cm="1">
        <f t="array" ref="B1687">INDEX('Enriched Data'!C:C,A1687+1)</f>
        <v>CTS Cargo Tie-Down Specialty</v>
      </c>
      <c r="C1687" s="11" cm="1">
        <f t="array" ref="C1687">INDEX('Enriched Data'!G:G,A1687+1)</f>
        <v>2452.1</v>
      </c>
      <c r="D1687" s="11">
        <f t="shared" si="79"/>
        <v>935009680.64999998</v>
      </c>
      <c r="E1687" s="10">
        <f t="shared" si="80"/>
        <v>0.99941058513272574</v>
      </c>
    </row>
    <row r="1688" spans="1:5">
      <c r="A1688">
        <f t="shared" si="78"/>
        <v>1687</v>
      </c>
      <c r="B1688" t="str" cm="1">
        <f t="array" ref="B1688">INDEX('Enriched Data'!C:C,A1688+1)</f>
        <v>The Lincoln Life National Insurance Company</v>
      </c>
      <c r="C1688" s="11" cm="1">
        <f t="array" ref="C1688">INDEX('Enriched Data'!G:G,A1688+1)</f>
        <v>2441.9</v>
      </c>
      <c r="D1688" s="11">
        <f t="shared" si="79"/>
        <v>935012122.54999995</v>
      </c>
      <c r="E1688" s="10">
        <f t="shared" si="80"/>
        <v>0.99941319522410588</v>
      </c>
    </row>
    <row r="1689" spans="1:5">
      <c r="A1689">
        <f t="shared" si="78"/>
        <v>1688</v>
      </c>
      <c r="B1689" t="str" cm="1">
        <f t="array" ref="B1689">INDEX('Enriched Data'!C:C,A1689+1)</f>
        <v>Nu-Way Hydraulics</v>
      </c>
      <c r="C1689" s="11" cm="1">
        <f t="array" ref="C1689">INDEX('Enriched Data'!G:G,A1689+1)</f>
        <v>2425.87</v>
      </c>
      <c r="D1689" s="11">
        <f t="shared" si="79"/>
        <v>935014548.41999996</v>
      </c>
      <c r="E1689" s="10">
        <f t="shared" si="80"/>
        <v>0.99941578818138355</v>
      </c>
    </row>
    <row r="1690" spans="1:5">
      <c r="A1690">
        <f t="shared" si="78"/>
        <v>1689</v>
      </c>
      <c r="B1690" t="str" cm="1">
        <f t="array" ref="B1690">INDEX('Enriched Data'!C:C,A1690+1)</f>
        <v>Competitive Hauling</v>
      </c>
      <c r="C1690" s="11" cm="1">
        <f t="array" ref="C1690">INDEX('Enriched Data'!G:G,A1690+1)</f>
        <v>2425</v>
      </c>
      <c r="D1690" s="11">
        <f t="shared" si="79"/>
        <v>935016973.41999996</v>
      </c>
      <c r="E1690" s="10">
        <f t="shared" si="80"/>
        <v>0.99941838020873797</v>
      </c>
    </row>
    <row r="1691" spans="1:5">
      <c r="A1691">
        <f t="shared" si="78"/>
        <v>1690</v>
      </c>
      <c r="B1691" t="str" cm="1">
        <f t="array" ref="B1691">INDEX('Enriched Data'!C:C,A1691+1)</f>
        <v>Crystal Welding Inc.</v>
      </c>
      <c r="C1691" s="11" cm="1">
        <f t="array" ref="C1691">INDEX('Enriched Data'!G:G,A1691+1)</f>
        <v>2423.4</v>
      </c>
      <c r="D1691" s="11">
        <f t="shared" si="79"/>
        <v>935019396.81999993</v>
      </c>
      <c r="E1691" s="10">
        <f t="shared" si="80"/>
        <v>0.99942097052588885</v>
      </c>
    </row>
    <row r="1692" spans="1:5">
      <c r="A1692">
        <f t="shared" si="78"/>
        <v>1691</v>
      </c>
      <c r="B1692" t="str" cm="1">
        <f t="array" ref="B1692">INDEX('Enriched Data'!C:C,A1692+1)</f>
        <v>Still Water Security Company, LLC</v>
      </c>
      <c r="C1692" s="11" cm="1">
        <f t="array" ref="C1692">INDEX('Enriched Data'!G:G,A1692+1)</f>
        <v>2412.8200000000002</v>
      </c>
      <c r="D1692" s="11">
        <f t="shared" si="79"/>
        <v>935021809.63999999</v>
      </c>
      <c r="E1692" s="10">
        <f t="shared" si="80"/>
        <v>0.99942354953431833</v>
      </c>
    </row>
    <row r="1693" spans="1:5">
      <c r="A1693">
        <f t="shared" si="78"/>
        <v>1692</v>
      </c>
      <c r="B1693" t="str" cm="1">
        <f t="array" ref="B1693">INDEX('Enriched Data'!C:C,A1693+1)</f>
        <v>Carden Jennings Publishing Co.,LTD.</v>
      </c>
      <c r="C1693" s="11" cm="1">
        <f t="array" ref="C1693">INDEX('Enriched Data'!G:G,A1693+1)</f>
        <v>2401</v>
      </c>
      <c r="D1693" s="11">
        <f t="shared" si="79"/>
        <v>935024210.63999999</v>
      </c>
      <c r="E1693" s="10">
        <f t="shared" si="80"/>
        <v>0.99942611590861863</v>
      </c>
    </row>
    <row r="1694" spans="1:5">
      <c r="A1694">
        <f t="shared" si="78"/>
        <v>1693</v>
      </c>
      <c r="B1694" t="str" cm="1">
        <f t="array" ref="B1694">INDEX('Enriched Data'!C:C,A1694+1)</f>
        <v>Box, Inc.</v>
      </c>
      <c r="C1694" s="11" cm="1">
        <f t="array" ref="C1694">INDEX('Enriched Data'!G:G,A1694+1)</f>
        <v>2400</v>
      </c>
      <c r="D1694" s="11">
        <f t="shared" si="79"/>
        <v>935026610.63999999</v>
      </c>
      <c r="E1694" s="10">
        <f t="shared" si="80"/>
        <v>0.9994286812140416</v>
      </c>
    </row>
    <row r="1695" spans="1:5">
      <c r="A1695">
        <f t="shared" si="78"/>
        <v>1694</v>
      </c>
      <c r="B1695" t="str" cm="1">
        <f t="array" ref="B1695">INDEX('Enriched Data'!C:C,A1695+1)</f>
        <v>Albert Villarreal</v>
      </c>
      <c r="C1695" s="11" cm="1">
        <f t="array" ref="C1695">INDEX('Enriched Data'!G:G,A1695+1)</f>
        <v>2400</v>
      </c>
      <c r="D1695" s="11">
        <f t="shared" si="79"/>
        <v>935029010.63999999</v>
      </c>
      <c r="E1695" s="10">
        <f t="shared" si="80"/>
        <v>0.99943124651946458</v>
      </c>
    </row>
    <row r="1696" spans="1:5">
      <c r="A1696">
        <f t="shared" si="78"/>
        <v>1695</v>
      </c>
      <c r="B1696" t="str" cm="1">
        <f t="array" ref="B1696">INDEX('Enriched Data'!C:C,A1696+1)</f>
        <v>Glenn W Yetter</v>
      </c>
      <c r="C1696" s="11" cm="1">
        <f t="array" ref="C1696">INDEX('Enriched Data'!G:G,A1696+1)</f>
        <v>2400</v>
      </c>
      <c r="D1696" s="11">
        <f t="shared" si="79"/>
        <v>935031410.63999999</v>
      </c>
      <c r="E1696" s="10">
        <f t="shared" si="80"/>
        <v>0.99943381182488755</v>
      </c>
    </row>
    <row r="1697" spans="1:5">
      <c r="A1697">
        <f t="shared" si="78"/>
        <v>1696</v>
      </c>
      <c r="B1697" t="str" cm="1">
        <f t="array" ref="B1697">INDEX('Enriched Data'!C:C,A1697+1)</f>
        <v>H&amp;I Fitness, Ltd.</v>
      </c>
      <c r="C1697" s="11" cm="1">
        <f t="array" ref="C1697">INDEX('Enriched Data'!G:G,A1697+1)</f>
        <v>2400</v>
      </c>
      <c r="D1697" s="11">
        <f t="shared" si="79"/>
        <v>935033810.63999999</v>
      </c>
      <c r="E1697" s="10">
        <f t="shared" si="80"/>
        <v>0.99943637713031053</v>
      </c>
    </row>
    <row r="1698" spans="1:5">
      <c r="A1698">
        <f t="shared" si="78"/>
        <v>1697</v>
      </c>
      <c r="B1698" t="str" cm="1">
        <f t="array" ref="B1698">INDEX('Enriched Data'!C:C,A1698+1)</f>
        <v>Ferpes Brothers Inc.</v>
      </c>
      <c r="C1698" s="11" cm="1">
        <f t="array" ref="C1698">INDEX('Enriched Data'!G:G,A1698+1)</f>
        <v>2400</v>
      </c>
      <c r="D1698" s="11">
        <f t="shared" si="79"/>
        <v>935036210.63999999</v>
      </c>
      <c r="E1698" s="10">
        <f t="shared" si="80"/>
        <v>0.9994389424357335</v>
      </c>
    </row>
    <row r="1699" spans="1:5">
      <c r="A1699">
        <f t="shared" si="78"/>
        <v>1698</v>
      </c>
      <c r="B1699" t="str" cm="1">
        <f t="array" ref="B1699">INDEX('Enriched Data'!C:C,A1699+1)</f>
        <v>Prompt Towing &amp; Transport Company In</v>
      </c>
      <c r="C1699" s="11" cm="1">
        <f t="array" ref="C1699">INDEX('Enriched Data'!G:G,A1699+1)</f>
        <v>2400</v>
      </c>
      <c r="D1699" s="11">
        <f t="shared" si="79"/>
        <v>935038610.63999999</v>
      </c>
      <c r="E1699" s="10">
        <f t="shared" si="80"/>
        <v>0.99944150774115659</v>
      </c>
    </row>
    <row r="1700" spans="1:5">
      <c r="A1700">
        <f t="shared" si="78"/>
        <v>1699</v>
      </c>
      <c r="B1700" t="str" cm="1">
        <f t="array" ref="B1700">INDEX('Enriched Data'!C:C,A1700+1)</f>
        <v>JDR Cleaning</v>
      </c>
      <c r="C1700" s="11" cm="1">
        <f t="array" ref="C1700">INDEX('Enriched Data'!G:G,A1700+1)</f>
        <v>2395</v>
      </c>
      <c r="D1700" s="11">
        <f t="shared" si="79"/>
        <v>935041005.63999999</v>
      </c>
      <c r="E1700" s="10">
        <f t="shared" si="80"/>
        <v>0.99944406770219318</v>
      </c>
    </row>
    <row r="1701" spans="1:5">
      <c r="A1701">
        <f t="shared" si="78"/>
        <v>1700</v>
      </c>
      <c r="B1701" t="str" cm="1">
        <f t="array" ref="B1701">INDEX('Enriched Data'!C:C,A1701+1)</f>
        <v>Vehiclean</v>
      </c>
      <c r="C1701" s="11" cm="1">
        <f t="array" ref="C1701">INDEX('Enriched Data'!G:G,A1701+1)</f>
        <v>2387.5</v>
      </c>
      <c r="D1701" s="11">
        <f t="shared" si="79"/>
        <v>935043393.13999999</v>
      </c>
      <c r="E1701" s="10">
        <f t="shared" si="80"/>
        <v>0.99944661964665049</v>
      </c>
    </row>
    <row r="1702" spans="1:5">
      <c r="A1702">
        <f t="shared" si="78"/>
        <v>1701</v>
      </c>
      <c r="B1702" t="str" cm="1">
        <f t="array" ref="B1702">INDEX('Enriched Data'!C:C,A1702+1)</f>
        <v>Daron Jaco</v>
      </c>
      <c r="C1702" s="11" cm="1">
        <f t="array" ref="C1702">INDEX('Enriched Data'!G:G,A1702+1)</f>
        <v>2383</v>
      </c>
      <c r="D1702" s="11">
        <f t="shared" si="79"/>
        <v>935045776.13999999</v>
      </c>
      <c r="E1702" s="10">
        <f t="shared" si="80"/>
        <v>0.99944916678116003</v>
      </c>
    </row>
    <row r="1703" spans="1:5">
      <c r="A1703">
        <f t="shared" si="78"/>
        <v>1702</v>
      </c>
      <c r="B1703" t="str" cm="1">
        <f t="array" ref="B1703">INDEX('Enriched Data'!C:C,A1703+1)</f>
        <v>McCarthy Tetrault LLP</v>
      </c>
      <c r="C1703" s="11" cm="1">
        <f t="array" ref="C1703">INDEX('Enriched Data'!G:G,A1703+1)</f>
        <v>2380</v>
      </c>
      <c r="D1703" s="11">
        <f t="shared" si="79"/>
        <v>935048156.13999999</v>
      </c>
      <c r="E1703" s="10">
        <f t="shared" si="80"/>
        <v>0.99945171070903782</v>
      </c>
    </row>
    <row r="1704" spans="1:5">
      <c r="A1704">
        <f t="shared" si="78"/>
        <v>1703</v>
      </c>
      <c r="B1704" t="str" cm="1">
        <f t="array" ref="B1704">INDEX('Enriched Data'!C:C,A1704+1)</f>
        <v>Nicks Lawncare LLC</v>
      </c>
      <c r="C1704" s="11" cm="1">
        <f t="array" ref="C1704">INDEX('Enriched Data'!G:G,A1704+1)</f>
        <v>2355</v>
      </c>
      <c r="D1704" s="11">
        <f t="shared" si="79"/>
        <v>935050511.13999999</v>
      </c>
      <c r="E1704" s="10">
        <f t="shared" si="80"/>
        <v>0.99945422791498417</v>
      </c>
    </row>
    <row r="1705" spans="1:5">
      <c r="A1705">
        <f t="shared" si="78"/>
        <v>1704</v>
      </c>
      <c r="B1705" t="str" cm="1">
        <f t="array" ref="B1705">INDEX('Enriched Data'!C:C,A1705+1)</f>
        <v>Equipment Depot Winsonsin</v>
      </c>
      <c r="C1705" s="11" cm="1">
        <f t="array" ref="C1705">INDEX('Enriched Data'!G:G,A1705+1)</f>
        <v>2352.08</v>
      </c>
      <c r="D1705" s="11">
        <f t="shared" si="79"/>
        <v>935052863.22000003</v>
      </c>
      <c r="E1705" s="10">
        <f t="shared" si="80"/>
        <v>0.99945674199980894</v>
      </c>
    </row>
    <row r="1706" spans="1:5">
      <c r="A1706">
        <f t="shared" si="78"/>
        <v>1705</v>
      </c>
      <c r="B1706" t="str" cm="1">
        <f t="array" ref="B1706">INDEX('Enriched Data'!C:C,A1706+1)</f>
        <v>Jennifer Hudson</v>
      </c>
      <c r="C1706" s="11" cm="1">
        <f t="array" ref="C1706">INDEX('Enriched Data'!G:G,A1706+1)</f>
        <v>2350</v>
      </c>
      <c r="D1706" s="11">
        <f t="shared" si="79"/>
        <v>935055213.22000003</v>
      </c>
      <c r="E1706" s="10">
        <f t="shared" si="80"/>
        <v>0.99945925386136891</v>
      </c>
    </row>
    <row r="1707" spans="1:5">
      <c r="A1707">
        <f t="shared" si="78"/>
        <v>1706</v>
      </c>
      <c r="B1707" t="str" cm="1">
        <f t="array" ref="B1707">INDEX('Enriched Data'!C:C,A1707+1)</f>
        <v>Touch of Pride Landscaping</v>
      </c>
      <c r="C1707" s="11" cm="1">
        <f t="array" ref="C1707">INDEX('Enriched Data'!G:G,A1707+1)</f>
        <v>2339.6999999999998</v>
      </c>
      <c r="D1707" s="11">
        <f t="shared" si="79"/>
        <v>935057552.92000008</v>
      </c>
      <c r="E1707" s="10">
        <f t="shared" si="80"/>
        <v>0.99946175471349319</v>
      </c>
    </row>
    <row r="1708" spans="1:5">
      <c r="A1708">
        <f t="shared" si="78"/>
        <v>1707</v>
      </c>
      <c r="B1708" t="str" cm="1">
        <f t="array" ref="B1708">INDEX('Enriched Data'!C:C,A1708+1)</f>
        <v>John H Gold III</v>
      </c>
      <c r="C1708" s="11" cm="1">
        <f t="array" ref="C1708">INDEX('Enriched Data'!G:G,A1708+1)</f>
        <v>2338.1999999999998</v>
      </c>
      <c r="D1708" s="11">
        <f t="shared" si="79"/>
        <v>935059891.12000012</v>
      </c>
      <c r="E1708" s="10">
        <f t="shared" si="80"/>
        <v>0.99946425396230165</v>
      </c>
    </row>
    <row r="1709" spans="1:5">
      <c r="A1709">
        <f t="shared" si="78"/>
        <v>1708</v>
      </c>
      <c r="B1709" t="str" cm="1">
        <f t="array" ref="B1709">INDEX('Enriched Data'!C:C,A1709+1)</f>
        <v>Central Credit Control LTD</v>
      </c>
      <c r="C1709" s="11" cm="1">
        <f t="array" ref="C1709">INDEX('Enriched Data'!G:G,A1709+1)</f>
        <v>2331.31</v>
      </c>
      <c r="D1709" s="11">
        <f t="shared" si="79"/>
        <v>935062222.43000007</v>
      </c>
      <c r="E1709" s="10">
        <f t="shared" si="80"/>
        <v>0.9994667458465456</v>
      </c>
    </row>
    <row r="1710" spans="1:5">
      <c r="A1710">
        <f t="shared" si="78"/>
        <v>1709</v>
      </c>
      <c r="B1710" t="str" cm="1">
        <f t="array" ref="B1710">INDEX('Enriched Data'!C:C,A1710+1)</f>
        <v>TruckPro-Atlanta</v>
      </c>
      <c r="C1710" s="11" cm="1">
        <f t="array" ref="C1710">INDEX('Enriched Data'!G:G,A1710+1)</f>
        <v>2327.7800000000002</v>
      </c>
      <c r="D1710" s="11">
        <f t="shared" si="79"/>
        <v>935064550.21000004</v>
      </c>
      <c r="E1710" s="10">
        <f t="shared" si="80"/>
        <v>0.99946923395765286</v>
      </c>
    </row>
    <row r="1711" spans="1:5">
      <c r="A1711">
        <f t="shared" si="78"/>
        <v>1710</v>
      </c>
      <c r="B1711" t="str" cm="1">
        <f t="array" ref="B1711">INDEX('Enriched Data'!C:C,A1711+1)</f>
        <v>Snyder Enterprise Group, LLC</v>
      </c>
      <c r="C1711" s="11" cm="1">
        <f t="array" ref="C1711">INDEX('Enriched Data'!G:G,A1711+1)</f>
        <v>2326.86</v>
      </c>
      <c r="D1711" s="11">
        <f t="shared" si="79"/>
        <v>935066877.07000005</v>
      </c>
      <c r="E1711" s="10">
        <f t="shared" si="80"/>
        <v>0.99947172108539306</v>
      </c>
    </row>
    <row r="1712" spans="1:5">
      <c r="A1712">
        <f t="shared" si="78"/>
        <v>1711</v>
      </c>
      <c r="B1712" t="str" cm="1">
        <f t="array" ref="B1712">INDEX('Enriched Data'!C:C,A1712+1)</f>
        <v>Overhead Door Co of Raleigh</v>
      </c>
      <c r="C1712" s="11" cm="1">
        <f t="array" ref="C1712">INDEX('Enriched Data'!G:G,A1712+1)</f>
        <v>2314.46</v>
      </c>
      <c r="D1712" s="11">
        <f t="shared" si="79"/>
        <v>935069191.53000009</v>
      </c>
      <c r="E1712" s="10">
        <f t="shared" si="80"/>
        <v>0.99947419495905532</v>
      </c>
    </row>
    <row r="1713" spans="1:5">
      <c r="A1713">
        <f t="shared" si="78"/>
        <v>1712</v>
      </c>
      <c r="B1713" t="str" cm="1">
        <f t="array" ref="B1713">INDEX('Enriched Data'!C:C,A1713+1)</f>
        <v>Dirt Busters Inc.</v>
      </c>
      <c r="C1713" s="11" cm="1">
        <f t="array" ref="C1713">INDEX('Enriched Data'!G:G,A1713+1)</f>
        <v>2310</v>
      </c>
      <c r="D1713" s="11">
        <f t="shared" si="79"/>
        <v>935071501.53000009</v>
      </c>
      <c r="E1713" s="10">
        <f t="shared" si="80"/>
        <v>0.99947666406552493</v>
      </c>
    </row>
    <row r="1714" spans="1:5">
      <c r="A1714">
        <f t="shared" si="78"/>
        <v>1713</v>
      </c>
      <c r="B1714" t="str" cm="1">
        <f t="array" ref="B1714">INDEX('Enriched Data'!C:C,A1714+1)</f>
        <v>Eastern Lift Truck co</v>
      </c>
      <c r="C1714" s="11" cm="1">
        <f t="array" ref="C1714">INDEX('Enriched Data'!G:G,A1714+1)</f>
        <v>2309.2800000000002</v>
      </c>
      <c r="D1714" s="11">
        <f t="shared" si="79"/>
        <v>935073810.81000006</v>
      </c>
      <c r="E1714" s="10">
        <f t="shared" si="80"/>
        <v>0.99947913240240294</v>
      </c>
    </row>
    <row r="1715" spans="1:5">
      <c r="A1715">
        <f t="shared" si="78"/>
        <v>1714</v>
      </c>
      <c r="B1715" t="str" cm="1">
        <f t="array" ref="B1715">INDEX('Enriched Data'!C:C,A1715+1)</f>
        <v>Utah Engineering</v>
      </c>
      <c r="C1715" s="11" cm="1">
        <f t="array" ref="C1715">INDEX('Enriched Data'!G:G,A1715+1)</f>
        <v>2308.2199999999998</v>
      </c>
      <c r="D1715" s="11">
        <f t="shared" si="79"/>
        <v>935076119.03000009</v>
      </c>
      <c r="E1715" s="10">
        <f t="shared" si="80"/>
        <v>0.99948159960627103</v>
      </c>
    </row>
    <row r="1716" spans="1:5">
      <c r="A1716">
        <f t="shared" si="78"/>
        <v>1715</v>
      </c>
      <c r="B1716" t="str" cm="1">
        <f t="array" ref="B1716">INDEX('Enriched Data'!C:C,A1716+1)</f>
        <v>Service Tire Truck Center</v>
      </c>
      <c r="C1716" s="11" cm="1">
        <f t="array" ref="C1716">INDEX('Enriched Data'!G:G,A1716+1)</f>
        <v>2306.87</v>
      </c>
      <c r="D1716" s="11">
        <f t="shared" si="79"/>
        <v>935078425.9000001</v>
      </c>
      <c r="E1716" s="10">
        <f t="shared" si="80"/>
        <v>0.99948406536715484</v>
      </c>
    </row>
    <row r="1717" spans="1:5">
      <c r="A1717">
        <f t="shared" si="78"/>
        <v>1716</v>
      </c>
      <c r="B1717" t="str" cm="1">
        <f t="array" ref="B1717">INDEX('Enriched Data'!C:C,A1717+1)</f>
        <v>Yoder Overhead Door Co</v>
      </c>
      <c r="C1717" s="11" cm="1">
        <f t="array" ref="C1717">INDEX('Enriched Data'!G:G,A1717+1)</f>
        <v>2295</v>
      </c>
      <c r="D1717" s="11">
        <f t="shared" si="79"/>
        <v>935080720.9000001</v>
      </c>
      <c r="E1717" s="10">
        <f t="shared" si="80"/>
        <v>0.99948651844046565</v>
      </c>
    </row>
    <row r="1718" spans="1:5">
      <c r="A1718">
        <f t="shared" si="78"/>
        <v>1717</v>
      </c>
      <c r="B1718" t="str" cm="1">
        <f t="array" ref="B1718">INDEX('Enriched Data'!C:C,A1718+1)</f>
        <v>Pro-Copy</v>
      </c>
      <c r="C1718" s="11" cm="1">
        <f t="array" ref="C1718">INDEX('Enriched Data'!G:G,A1718+1)</f>
        <v>2267.61</v>
      </c>
      <c r="D1718" s="11">
        <f t="shared" si="79"/>
        <v>935082988.51000011</v>
      </c>
      <c r="E1718" s="10">
        <f t="shared" si="80"/>
        <v>0.99948894223722817</v>
      </c>
    </row>
    <row r="1719" spans="1:5">
      <c r="A1719">
        <f t="shared" si="78"/>
        <v>1718</v>
      </c>
      <c r="B1719" t="str" cm="1">
        <f t="array" ref="B1719">INDEX('Enriched Data'!C:C,A1719+1)</f>
        <v>Bay Area Pressure Pros, LLC.</v>
      </c>
      <c r="C1719" s="11" cm="1">
        <f t="array" ref="C1719">INDEX('Enriched Data'!G:G,A1719+1)</f>
        <v>2264.29</v>
      </c>
      <c r="D1719" s="11">
        <f t="shared" si="79"/>
        <v>935085252.80000007</v>
      </c>
      <c r="E1719" s="10">
        <f t="shared" si="80"/>
        <v>0.99949136248531822</v>
      </c>
    </row>
    <row r="1720" spans="1:5">
      <c r="A1720">
        <f t="shared" si="78"/>
        <v>1719</v>
      </c>
      <c r="B1720" t="str" cm="1">
        <f t="array" ref="B1720">INDEX('Enriched Data'!C:C,A1720+1)</f>
        <v>Vistra Trust Company Ltd.</v>
      </c>
      <c r="C1720" s="11" cm="1">
        <f t="array" ref="C1720">INDEX('Enriched Data'!G:G,A1720+1)</f>
        <v>2254</v>
      </c>
      <c r="D1720" s="11">
        <f t="shared" si="79"/>
        <v>935087506.80000007</v>
      </c>
      <c r="E1720" s="10">
        <f t="shared" si="80"/>
        <v>0.99949377173466136</v>
      </c>
    </row>
    <row r="1721" spans="1:5">
      <c r="A1721">
        <f t="shared" si="78"/>
        <v>1720</v>
      </c>
      <c r="B1721" t="str" cm="1">
        <f t="array" ref="B1721">INDEX('Enriched Data'!C:C,A1721+1)</f>
        <v>Sarah Jelsema dba Revival Cleaning</v>
      </c>
      <c r="C1721" s="11" cm="1">
        <f t="array" ref="C1721">INDEX('Enriched Data'!G:G,A1721+1)</f>
        <v>2250</v>
      </c>
      <c r="D1721" s="11">
        <f t="shared" si="79"/>
        <v>935089756.80000007</v>
      </c>
      <c r="E1721" s="10">
        <f t="shared" si="80"/>
        <v>0.99949617670849544</v>
      </c>
    </row>
    <row r="1722" spans="1:5">
      <c r="A1722">
        <f t="shared" si="78"/>
        <v>1721</v>
      </c>
      <c r="B1722" t="str" cm="1">
        <f t="array" ref="B1722">INDEX('Enriched Data'!C:C,A1722+1)</f>
        <v>Diaz RE Holdings, LLC</v>
      </c>
      <c r="C1722" s="11" cm="1">
        <f t="array" ref="C1722">INDEX('Enriched Data'!G:G,A1722+1)</f>
        <v>2250</v>
      </c>
      <c r="D1722" s="11">
        <f t="shared" si="79"/>
        <v>935092006.80000007</v>
      </c>
      <c r="E1722" s="10">
        <f t="shared" si="80"/>
        <v>0.99949858168232941</v>
      </c>
    </row>
    <row r="1723" spans="1:5">
      <c r="A1723">
        <f t="shared" si="78"/>
        <v>1722</v>
      </c>
      <c r="B1723" t="str" cm="1">
        <f t="array" ref="B1723">INDEX('Enriched Data'!C:C,A1723+1)</f>
        <v>Titanium American Logistics Inc.</v>
      </c>
      <c r="C1723" s="11" cm="1">
        <f t="array" ref="C1723">INDEX('Enriched Data'!G:G,A1723+1)</f>
        <v>2243</v>
      </c>
      <c r="D1723" s="11">
        <f t="shared" si="79"/>
        <v>935094249.80000007</v>
      </c>
      <c r="E1723" s="10">
        <f t="shared" si="80"/>
        <v>0.9995009791740227</v>
      </c>
    </row>
    <row r="1724" spans="1:5">
      <c r="A1724">
        <f t="shared" si="78"/>
        <v>1723</v>
      </c>
      <c r="B1724" t="str" cm="1">
        <f t="array" ref="B1724">INDEX('Enriched Data'!C:C,A1724+1)</f>
        <v>Elite Towing</v>
      </c>
      <c r="C1724" s="11" cm="1">
        <f t="array" ref="C1724">INDEX('Enriched Data'!G:G,A1724+1)</f>
        <v>2222.5</v>
      </c>
      <c r="D1724" s="11">
        <f t="shared" si="79"/>
        <v>935096472.30000007</v>
      </c>
      <c r="E1724" s="10">
        <f t="shared" si="80"/>
        <v>0.99950335475373209</v>
      </c>
    </row>
    <row r="1725" spans="1:5">
      <c r="A1725">
        <f t="shared" si="78"/>
        <v>1724</v>
      </c>
      <c r="B1725" t="str" cm="1">
        <f t="array" ref="B1725">INDEX('Enriched Data'!C:C,A1725+1)</f>
        <v>Sun Shades &amp; Graphics, Inc.</v>
      </c>
      <c r="C1725" s="11" cm="1">
        <f t="array" ref="C1725">INDEX('Enriched Data'!G:G,A1725+1)</f>
        <v>2219</v>
      </c>
      <c r="D1725" s="11">
        <f t="shared" si="79"/>
        <v>935098691.30000007</v>
      </c>
      <c r="E1725" s="10">
        <f t="shared" si="80"/>
        <v>0.99950572659237114</v>
      </c>
    </row>
    <row r="1726" spans="1:5">
      <c r="A1726">
        <f t="shared" si="78"/>
        <v>1725</v>
      </c>
      <c r="B1726" t="str" cm="1">
        <f t="array" ref="B1726">INDEX('Enriched Data'!C:C,A1726+1)</f>
        <v>All Industries Inc</v>
      </c>
      <c r="C1726" s="11" cm="1">
        <f t="array" ref="C1726">INDEX('Enriched Data'!G:G,A1726+1)</f>
        <v>2216.85</v>
      </c>
      <c r="D1726" s="11">
        <f t="shared" si="79"/>
        <v>935100908.1500001</v>
      </c>
      <c r="E1726" s="10">
        <f t="shared" si="80"/>
        <v>0.99950809613292402</v>
      </c>
    </row>
    <row r="1727" spans="1:5">
      <c r="A1727">
        <f t="shared" si="78"/>
        <v>1726</v>
      </c>
      <c r="B1727" t="str" cm="1">
        <f t="array" ref="B1727">INDEX('Enriched Data'!C:C,A1727+1)</f>
        <v>Portable Storage Of North (sc)</v>
      </c>
      <c r="C1727" s="11" cm="1">
        <f t="array" ref="C1727">INDEX('Enriched Data'!G:G,A1727+1)</f>
        <v>2177.7399999999998</v>
      </c>
      <c r="D1727" s="11">
        <f t="shared" si="79"/>
        <v>935103085.8900001</v>
      </c>
      <c r="E1727" s="10">
        <f t="shared" si="80"/>
        <v>0.99951042386968736</v>
      </c>
    </row>
    <row r="1728" spans="1:5">
      <c r="A1728">
        <f t="shared" si="78"/>
        <v>1727</v>
      </c>
      <c r="B1728" t="str" cm="1">
        <f t="array" ref="B1728">INDEX('Enriched Data'!C:C,A1728+1)</f>
        <v>Fenichey LLC</v>
      </c>
      <c r="C1728" s="11" cm="1">
        <f t="array" ref="C1728">INDEX('Enriched Data'!G:G,A1728+1)</f>
        <v>2176</v>
      </c>
      <c r="D1728" s="11">
        <f t="shared" si="79"/>
        <v>935105261.8900001</v>
      </c>
      <c r="E1728" s="10">
        <f t="shared" si="80"/>
        <v>0.9995127497466042</v>
      </c>
    </row>
    <row r="1729" spans="1:5">
      <c r="A1729">
        <f t="shared" si="78"/>
        <v>1728</v>
      </c>
      <c r="B1729" t="str" cm="1">
        <f t="array" ref="B1729">INDEX('Enriched Data'!C:C,A1729+1)</f>
        <v>Site Design, Inc</v>
      </c>
      <c r="C1729" s="11" cm="1">
        <f t="array" ref="C1729">INDEX('Enriched Data'!G:G,A1729+1)</f>
        <v>2175</v>
      </c>
      <c r="D1729" s="11">
        <f t="shared" si="79"/>
        <v>935107436.8900001</v>
      </c>
      <c r="E1729" s="10">
        <f t="shared" si="80"/>
        <v>0.99951507455464372</v>
      </c>
    </row>
    <row r="1730" spans="1:5">
      <c r="A1730">
        <f t="shared" si="78"/>
        <v>1729</v>
      </c>
      <c r="B1730" t="str" cm="1">
        <f t="array" ref="B1730">INDEX('Enriched Data'!C:C,A1730+1)</f>
        <v>GFL Environmental-#001884451</v>
      </c>
      <c r="C1730" s="11" cm="1">
        <f t="array" ref="C1730">INDEX('Enriched Data'!G:G,A1730+1)</f>
        <v>2167.92</v>
      </c>
      <c r="D1730" s="11">
        <f t="shared" si="79"/>
        <v>935109604.81000006</v>
      </c>
      <c r="E1730" s="10">
        <f t="shared" si="80"/>
        <v>0.9995173917950323</v>
      </c>
    </row>
    <row r="1731" spans="1:5">
      <c r="A1731">
        <f t="shared" si="78"/>
        <v>1730</v>
      </c>
      <c r="B1731" t="str" cm="1">
        <f t="array" ref="B1731">INDEX('Enriched Data'!C:C,A1731+1)</f>
        <v>Pro Equipment Repair</v>
      </c>
      <c r="C1731" s="11" cm="1">
        <f t="array" ref="C1731">INDEX('Enriched Data'!G:G,A1731+1)</f>
        <v>2156.89</v>
      </c>
      <c r="D1731" s="11">
        <f t="shared" si="79"/>
        <v>935111761.70000005</v>
      </c>
      <c r="E1731" s="10">
        <f t="shared" si="80"/>
        <v>0.99951969724570466</v>
      </c>
    </row>
    <row r="1732" spans="1:5">
      <c r="A1732">
        <f t="shared" ref="A1732:A1795" si="81">A1731+1</f>
        <v>1731</v>
      </c>
      <c r="B1732" t="str" cm="1">
        <f t="array" ref="B1732">INDEX('Enriched Data'!C:C,A1732+1)</f>
        <v>Bailey Fence Company, Inc.</v>
      </c>
      <c r="C1732" s="11" cm="1">
        <f t="array" ref="C1732">INDEX('Enriched Data'!G:G,A1732+1)</f>
        <v>2151</v>
      </c>
      <c r="D1732" s="11">
        <f t="shared" ref="D1732:D1795" si="82">D1731+C1732</f>
        <v>935113912.70000005</v>
      </c>
      <c r="E1732" s="10">
        <f t="shared" ref="E1732:E1795" si="83">D1732/$F$2</f>
        <v>0.99952199640069006</v>
      </c>
    </row>
    <row r="1733" spans="1:5">
      <c r="A1733">
        <f t="shared" si="81"/>
        <v>1732</v>
      </c>
      <c r="B1733" t="str" cm="1">
        <f t="array" ref="B1733">INDEX('Enriched Data'!C:C,A1733+1)</f>
        <v>Brandon Clark dba BC Equipment Srvc</v>
      </c>
      <c r="C1733" s="11" cm="1">
        <f t="array" ref="C1733">INDEX('Enriched Data'!G:G,A1733+1)</f>
        <v>2124.4</v>
      </c>
      <c r="D1733" s="11">
        <f t="shared" si="82"/>
        <v>935116037.10000002</v>
      </c>
      <c r="E1733" s="10">
        <f t="shared" si="83"/>
        <v>0.99952426712354026</v>
      </c>
    </row>
    <row r="1734" spans="1:5">
      <c r="A1734">
        <f t="shared" si="81"/>
        <v>1733</v>
      </c>
      <c r="B1734" t="str" cm="1">
        <f t="array" ref="B1734">INDEX('Enriched Data'!C:C,A1734+1)</f>
        <v>Cream Enterprise, LLC</v>
      </c>
      <c r="C1734" s="11" cm="1">
        <f t="array" ref="C1734">INDEX('Enriched Data'!G:G,A1734+1)</f>
        <v>2100</v>
      </c>
      <c r="D1734" s="11">
        <f t="shared" si="82"/>
        <v>935118137.10000002</v>
      </c>
      <c r="E1734" s="10">
        <f t="shared" si="83"/>
        <v>0.99952651176578533</v>
      </c>
    </row>
    <row r="1735" spans="1:5">
      <c r="A1735">
        <f t="shared" si="81"/>
        <v>1734</v>
      </c>
      <c r="B1735" t="str" cm="1">
        <f t="array" ref="B1735">INDEX('Enriched Data'!C:C,A1735+1)</f>
        <v>J3 Mechanical Services</v>
      </c>
      <c r="C1735" s="11" cm="1">
        <f t="array" ref="C1735">INDEX('Enriched Data'!G:G,A1735+1)</f>
        <v>2083.0300000000002</v>
      </c>
      <c r="D1735" s="11">
        <f t="shared" si="82"/>
        <v>935120220.13</v>
      </c>
      <c r="E1735" s="10">
        <f t="shared" si="83"/>
        <v>0.99952873826918331</v>
      </c>
    </row>
    <row r="1736" spans="1:5">
      <c r="A1736">
        <f t="shared" si="81"/>
        <v>1735</v>
      </c>
      <c r="B1736" t="str" cm="1">
        <f t="array" ref="B1736">INDEX('Enriched Data'!C:C,A1736+1)</f>
        <v>Jacks Overhead Door Inc</v>
      </c>
      <c r="C1736" s="11" cm="1">
        <f t="array" ref="C1736">INDEX('Enriched Data'!G:G,A1736+1)</f>
        <v>2075.5</v>
      </c>
      <c r="D1736" s="11">
        <f t="shared" si="82"/>
        <v>935122295.63</v>
      </c>
      <c r="E1736" s="10">
        <f t="shared" si="83"/>
        <v>0.99953095672393566</v>
      </c>
    </row>
    <row r="1737" spans="1:5">
      <c r="A1737">
        <f t="shared" si="81"/>
        <v>1736</v>
      </c>
      <c r="B1737" t="str" cm="1">
        <f t="array" ref="B1737">INDEX('Enriched Data'!C:C,A1737+1)</f>
        <v>A25 LE Lien Intelligent</v>
      </c>
      <c r="C1737" s="11" cm="1">
        <f t="array" ref="C1737">INDEX('Enriched Data'!G:G,A1737+1)</f>
        <v>2064.1799999999998</v>
      </c>
      <c r="D1737" s="11">
        <f t="shared" si="82"/>
        <v>935124359.80999994</v>
      </c>
      <c r="E1737" s="10">
        <f t="shared" si="83"/>
        <v>0.9995331630789972</v>
      </c>
    </row>
    <row r="1738" spans="1:5">
      <c r="A1738">
        <f t="shared" si="81"/>
        <v>1737</v>
      </c>
      <c r="B1738" t="str" cm="1">
        <f t="array" ref="B1738">INDEX('Enriched Data'!C:C,A1738+1)</f>
        <v>Waypoint Property Management, LLC</v>
      </c>
      <c r="C1738" s="11" cm="1">
        <f t="array" ref="C1738">INDEX('Enriched Data'!G:G,A1738+1)</f>
        <v>2050</v>
      </c>
      <c r="D1738" s="11">
        <f t="shared" si="82"/>
        <v>935126409.80999994</v>
      </c>
      <c r="E1738" s="10">
        <f t="shared" si="83"/>
        <v>0.99953535427737938</v>
      </c>
    </row>
    <row r="1739" spans="1:5">
      <c r="A1739">
        <f t="shared" si="81"/>
        <v>1738</v>
      </c>
      <c r="B1739" t="str" cm="1">
        <f t="array" ref="B1739">INDEX('Enriched Data'!C:C,A1739+1)</f>
        <v>Jim Williams Fence Company</v>
      </c>
      <c r="C1739" s="11" cm="1">
        <f t="array" ref="C1739">INDEX('Enriched Data'!G:G,A1739+1)</f>
        <v>2044</v>
      </c>
      <c r="D1739" s="11">
        <f t="shared" si="82"/>
        <v>935128453.80999994</v>
      </c>
      <c r="E1739" s="10">
        <f t="shared" si="83"/>
        <v>0.99953753906249798</v>
      </c>
    </row>
    <row r="1740" spans="1:5">
      <c r="A1740">
        <f t="shared" si="81"/>
        <v>1739</v>
      </c>
      <c r="B1740" t="str" cm="1">
        <f t="array" ref="B1740">INDEX('Enriched Data'!C:C,A1740+1)</f>
        <v>Capurro Trucking</v>
      </c>
      <c r="C1740" s="11" cm="1">
        <f t="array" ref="C1740">INDEX('Enriched Data'!G:G,A1740+1)</f>
        <v>2041</v>
      </c>
      <c r="D1740" s="11">
        <f t="shared" si="82"/>
        <v>935130494.80999994</v>
      </c>
      <c r="E1740" s="10">
        <f t="shared" si="83"/>
        <v>0.99953972064098473</v>
      </c>
    </row>
    <row r="1741" spans="1:5">
      <c r="A1741">
        <f t="shared" si="81"/>
        <v>1740</v>
      </c>
      <c r="B1741" t="str" cm="1">
        <f t="array" ref="B1741">INDEX('Enriched Data'!C:C,A1741+1)</f>
        <v>ALG Worldwide Logistics, LLC</v>
      </c>
      <c r="C1741" s="11" cm="1">
        <f t="array" ref="C1741">INDEX('Enriched Data'!G:G,A1741+1)</f>
        <v>2041</v>
      </c>
      <c r="D1741" s="11">
        <f t="shared" si="82"/>
        <v>935132535.80999994</v>
      </c>
      <c r="E1741" s="10">
        <f t="shared" si="83"/>
        <v>0.99954190221947159</v>
      </c>
    </row>
    <row r="1742" spans="1:5">
      <c r="A1742">
        <f t="shared" si="81"/>
        <v>1741</v>
      </c>
      <c r="B1742" t="str" cm="1">
        <f t="array" ref="B1742">INDEX('Enriched Data'!C:C,A1742+1)</f>
        <v>Goodyear Logistics LLC</v>
      </c>
      <c r="C1742" s="11" cm="1">
        <f t="array" ref="C1742">INDEX('Enriched Data'!G:G,A1742+1)</f>
        <v>2041</v>
      </c>
      <c r="D1742" s="11">
        <f t="shared" si="82"/>
        <v>935134576.80999994</v>
      </c>
      <c r="E1742" s="10">
        <f t="shared" si="83"/>
        <v>0.99954408379795834</v>
      </c>
    </row>
    <row r="1743" spans="1:5">
      <c r="A1743">
        <f t="shared" si="81"/>
        <v>1742</v>
      </c>
      <c r="B1743" t="str" cm="1">
        <f t="array" ref="B1743">INDEX('Enriched Data'!C:C,A1743+1)</f>
        <v>Penske Transportation Mgmnt LLC</v>
      </c>
      <c r="C1743" s="11" cm="1">
        <f t="array" ref="C1743">INDEX('Enriched Data'!G:G,A1743+1)</f>
        <v>2041</v>
      </c>
      <c r="D1743" s="11">
        <f t="shared" si="82"/>
        <v>935136617.80999994</v>
      </c>
      <c r="E1743" s="10">
        <f t="shared" si="83"/>
        <v>0.9995462653764452</v>
      </c>
    </row>
    <row r="1744" spans="1:5">
      <c r="A1744">
        <f t="shared" si="81"/>
        <v>1743</v>
      </c>
      <c r="B1744" t="str" cm="1">
        <f t="array" ref="B1744">INDEX('Enriched Data'!C:C,A1744+1)</f>
        <v>Western Motor Tariff Bureau, Inc.</v>
      </c>
      <c r="C1744" s="11" cm="1">
        <f t="array" ref="C1744">INDEX('Enriched Data'!G:G,A1744+1)</f>
        <v>2040</v>
      </c>
      <c r="D1744" s="11">
        <f t="shared" si="82"/>
        <v>935138657.80999994</v>
      </c>
      <c r="E1744" s="10">
        <f t="shared" si="83"/>
        <v>0.99954844588605474</v>
      </c>
    </row>
    <row r="1745" spans="1:5">
      <c r="A1745">
        <f t="shared" si="81"/>
        <v>1744</v>
      </c>
      <c r="B1745" t="str" cm="1">
        <f t="array" ref="B1745">INDEX('Enriched Data'!C:C,A1745+1)</f>
        <v>Fairborn Equipment Co of Illinois</v>
      </c>
      <c r="C1745" s="11" cm="1">
        <f t="array" ref="C1745">INDEX('Enriched Data'!G:G,A1745+1)</f>
        <v>2036.68</v>
      </c>
      <c r="D1745" s="11">
        <f t="shared" si="82"/>
        <v>935140694.48999989</v>
      </c>
      <c r="E1745" s="10">
        <f t="shared" si="83"/>
        <v>0.9995506228469917</v>
      </c>
    </row>
    <row r="1746" spans="1:5">
      <c r="A1746">
        <f t="shared" si="81"/>
        <v>1745</v>
      </c>
      <c r="B1746" t="str" cm="1">
        <f t="array" ref="B1746">INDEX('Enriched Data'!C:C,A1746+1)</f>
        <v>Overhead Door Company of Providence</v>
      </c>
      <c r="C1746" s="11" cm="1">
        <f t="array" ref="C1746">INDEX('Enriched Data'!G:G,A1746+1)</f>
        <v>2034.5</v>
      </c>
      <c r="D1746" s="11">
        <f t="shared" si="82"/>
        <v>935142728.98999989</v>
      </c>
      <c r="E1746" s="10">
        <f t="shared" si="83"/>
        <v>0.99955279747777626</v>
      </c>
    </row>
    <row r="1747" spans="1:5">
      <c r="A1747">
        <f t="shared" si="81"/>
        <v>1746</v>
      </c>
      <c r="B1747" t="str" cm="1">
        <f t="array" ref="B1747">INDEX('Enriched Data'!C:C,A1747+1)</f>
        <v>Envirotrol</v>
      </c>
      <c r="C1747" s="11" cm="1">
        <f t="array" ref="C1747">INDEX('Enriched Data'!G:G,A1747+1)</f>
        <v>2023.6</v>
      </c>
      <c r="D1747" s="11">
        <f t="shared" si="82"/>
        <v>935144752.58999991</v>
      </c>
      <c r="E1747" s="10">
        <f t="shared" si="83"/>
        <v>0.99955496045779879</v>
      </c>
    </row>
    <row r="1748" spans="1:5">
      <c r="A1748">
        <f t="shared" si="81"/>
        <v>1747</v>
      </c>
      <c r="B1748" t="str" cm="1">
        <f t="array" ref="B1748">INDEX('Enriched Data'!C:C,A1748+1)</f>
        <v>Goch &amp; Sons Towing</v>
      </c>
      <c r="C1748" s="11" cm="1">
        <f t="array" ref="C1748">INDEX('Enriched Data'!G:G,A1748+1)</f>
        <v>2005</v>
      </c>
      <c r="D1748" s="11">
        <f t="shared" si="82"/>
        <v>935146757.58999991</v>
      </c>
      <c r="E1748" s="10">
        <f t="shared" si="83"/>
        <v>0.99955710355670424</v>
      </c>
    </row>
    <row r="1749" spans="1:5">
      <c r="A1749">
        <f t="shared" si="81"/>
        <v>1748</v>
      </c>
      <c r="B1749" t="str" cm="1">
        <f t="array" ref="B1749">INDEX('Enriched Data'!C:C,A1749+1)</f>
        <v>Fraser Valley Equipment LTD</v>
      </c>
      <c r="C1749" s="11" cm="1">
        <f t="array" ref="C1749">INDEX('Enriched Data'!G:G,A1749+1)</f>
        <v>2000.1</v>
      </c>
      <c r="D1749" s="11">
        <f t="shared" si="82"/>
        <v>935148757.68999994</v>
      </c>
      <c r="E1749" s="10">
        <f t="shared" si="83"/>
        <v>0.99955924141811114</v>
      </c>
    </row>
    <row r="1750" spans="1:5">
      <c r="A1750">
        <f t="shared" si="81"/>
        <v>1749</v>
      </c>
      <c r="B1750" t="str" cm="1">
        <f t="array" ref="B1750">INDEX('Enriched Data'!C:C,A1750+1)</f>
        <v>Door Dash, Inc</v>
      </c>
      <c r="C1750" s="11" cm="1">
        <f t="array" ref="C1750">INDEX('Enriched Data'!G:G,A1750+1)</f>
        <v>2000</v>
      </c>
      <c r="D1750" s="11">
        <f t="shared" si="82"/>
        <v>935150757.68999994</v>
      </c>
      <c r="E1750" s="10">
        <f t="shared" si="83"/>
        <v>0.99956137917263033</v>
      </c>
    </row>
    <row r="1751" spans="1:5">
      <c r="A1751">
        <f t="shared" si="81"/>
        <v>1750</v>
      </c>
      <c r="B1751" t="str" cm="1">
        <f t="array" ref="B1751">INDEX('Enriched Data'!C:C,A1751+1)</f>
        <v>U Win Towing, LLC</v>
      </c>
      <c r="C1751" s="11" cm="1">
        <f t="array" ref="C1751">INDEX('Enriched Data'!G:G,A1751+1)</f>
        <v>2000</v>
      </c>
      <c r="D1751" s="11">
        <f t="shared" si="82"/>
        <v>935152757.68999994</v>
      </c>
      <c r="E1751" s="10">
        <f t="shared" si="83"/>
        <v>0.99956351692714951</v>
      </c>
    </row>
    <row r="1752" spans="1:5">
      <c r="A1752">
        <f t="shared" si="81"/>
        <v>1751</v>
      </c>
      <c r="B1752" t="str" cm="1">
        <f t="array" ref="B1752">INDEX('Enriched Data'!C:C,A1752+1)</f>
        <v>Colliflower Inc</v>
      </c>
      <c r="C1752" s="11" cm="1">
        <f t="array" ref="C1752">INDEX('Enriched Data'!G:G,A1752+1)</f>
        <v>1975.03</v>
      </c>
      <c r="D1752" s="11">
        <f t="shared" si="82"/>
        <v>935154732.71999991</v>
      </c>
      <c r="E1752" s="10">
        <f t="shared" si="83"/>
        <v>0.99956562799180348</v>
      </c>
    </row>
    <row r="1753" spans="1:5">
      <c r="A1753">
        <f t="shared" si="81"/>
        <v>1752</v>
      </c>
      <c r="B1753" t="str" cm="1">
        <f t="array" ref="B1753">INDEX('Enriched Data'!C:C,A1753+1)</f>
        <v>Hunter Security, Inc.</v>
      </c>
      <c r="C1753" s="11" cm="1">
        <f t="array" ref="C1753">INDEX('Enriched Data'!G:G,A1753+1)</f>
        <v>1975</v>
      </c>
      <c r="D1753" s="11">
        <f t="shared" si="82"/>
        <v>935156707.71999991</v>
      </c>
      <c r="E1753" s="10">
        <f t="shared" si="83"/>
        <v>0.99956773902439111</v>
      </c>
    </row>
    <row r="1754" spans="1:5">
      <c r="A1754">
        <f t="shared" si="81"/>
        <v>1753</v>
      </c>
      <c r="B1754" t="str" cm="1">
        <f t="array" ref="B1754">INDEX('Enriched Data'!C:C,A1754+1)</f>
        <v>The Salvation Army Central Terr. Hq</v>
      </c>
      <c r="C1754" s="11" cm="1">
        <f t="array" ref="C1754">INDEX('Enriched Data'!G:G,A1754+1)</f>
        <v>1959.94</v>
      </c>
      <c r="D1754" s="11">
        <f t="shared" si="82"/>
        <v>935158667.65999997</v>
      </c>
      <c r="E1754" s="10">
        <f t="shared" si="83"/>
        <v>0.99956983395968735</v>
      </c>
    </row>
    <row r="1755" spans="1:5">
      <c r="A1755">
        <f t="shared" si="81"/>
        <v>1754</v>
      </c>
      <c r="B1755" t="str" cm="1">
        <f t="array" ref="B1755">INDEX('Enriched Data'!C:C,A1755+1)</f>
        <v>Tennant Sales &amp; Service Co.</v>
      </c>
      <c r="C1755" s="11" cm="1">
        <f t="array" ref="C1755">INDEX('Enriched Data'!G:G,A1755+1)</f>
        <v>1939.69</v>
      </c>
      <c r="D1755" s="11">
        <f t="shared" si="82"/>
        <v>935160607.35000002</v>
      </c>
      <c r="E1755" s="10">
        <f t="shared" si="83"/>
        <v>0.99957190725021905</v>
      </c>
    </row>
    <row r="1756" spans="1:5">
      <c r="A1756">
        <f t="shared" si="81"/>
        <v>1755</v>
      </c>
      <c r="B1756" t="str" cm="1">
        <f t="array" ref="B1756">INDEX('Enriched Data'!C:C,A1756+1)</f>
        <v>Baygas Propane</v>
      </c>
      <c r="C1756" s="11" cm="1">
        <f t="array" ref="C1756">INDEX('Enriched Data'!G:G,A1756+1)</f>
        <v>1939.37</v>
      </c>
      <c r="D1756" s="11">
        <f t="shared" si="82"/>
        <v>935162546.72000003</v>
      </c>
      <c r="E1756" s="10">
        <f t="shared" si="83"/>
        <v>0.99957398019870991</v>
      </c>
    </row>
    <row r="1757" spans="1:5">
      <c r="A1757">
        <f t="shared" si="81"/>
        <v>1756</v>
      </c>
      <c r="B1757" t="str" cm="1">
        <f t="array" ref="B1757">INDEX('Enriched Data'!C:C,A1757+1)</f>
        <v>Southern Wrecker &amp; Recovery, LLC</v>
      </c>
      <c r="C1757" s="11" cm="1">
        <f t="array" ref="C1757">INDEX('Enriched Data'!G:G,A1757+1)</f>
        <v>1938</v>
      </c>
      <c r="D1757" s="11">
        <f t="shared" si="82"/>
        <v>935164484.72000003</v>
      </c>
      <c r="E1757" s="10">
        <f t="shared" si="83"/>
        <v>0.99957605168283903</v>
      </c>
    </row>
    <row r="1758" spans="1:5">
      <c r="A1758">
        <f t="shared" si="81"/>
        <v>1757</v>
      </c>
      <c r="B1758" t="str" cm="1">
        <f t="array" ref="B1758">INDEX('Enriched Data'!C:C,A1758+1)</f>
        <v>Buds Wrecker Service Inc.</v>
      </c>
      <c r="C1758" s="11" cm="1">
        <f t="array" ref="C1758">INDEX('Enriched Data'!G:G,A1758+1)</f>
        <v>1936</v>
      </c>
      <c r="D1758" s="11">
        <f t="shared" si="82"/>
        <v>935166420.72000003</v>
      </c>
      <c r="E1758" s="10">
        <f t="shared" si="83"/>
        <v>0.99957812102921351</v>
      </c>
    </row>
    <row r="1759" spans="1:5">
      <c r="A1759">
        <f t="shared" si="81"/>
        <v>1758</v>
      </c>
      <c r="B1759" t="str" cm="1">
        <f t="array" ref="B1759">INDEX('Enriched Data'!C:C,A1759+1)</f>
        <v>Smith Mechanical</v>
      </c>
      <c r="C1759" s="11" cm="1">
        <f t="array" ref="C1759">INDEX('Enriched Data'!G:G,A1759+1)</f>
        <v>1933</v>
      </c>
      <c r="D1759" s="11">
        <f t="shared" si="82"/>
        <v>935168353.72000003</v>
      </c>
      <c r="E1759" s="10">
        <f t="shared" si="83"/>
        <v>0.99958018716895625</v>
      </c>
    </row>
    <row r="1760" spans="1:5">
      <c r="A1760">
        <f t="shared" si="81"/>
        <v>1759</v>
      </c>
      <c r="B1760" t="str" cm="1">
        <f t="array" ref="B1760">INDEX('Enriched Data'!C:C,A1760+1)</f>
        <v>Great Little Box Company</v>
      </c>
      <c r="C1760" s="11" cm="1">
        <f t="array" ref="C1760">INDEX('Enriched Data'!G:G,A1760+1)</f>
        <v>1920.25</v>
      </c>
      <c r="D1760" s="11">
        <f t="shared" si="82"/>
        <v>935170273.97000003</v>
      </c>
      <c r="E1760" s="10">
        <f t="shared" si="83"/>
        <v>0.99958223968051396</v>
      </c>
    </row>
    <row r="1761" spans="1:5">
      <c r="A1761">
        <f t="shared" si="81"/>
        <v>1760</v>
      </c>
      <c r="B1761" t="str" cm="1">
        <f t="array" ref="B1761">INDEX('Enriched Data'!C:C,A1761+1)</f>
        <v>R &amp; S Erection of Vallejo Inc.</v>
      </c>
      <c r="C1761" s="11" cm="1">
        <f t="array" ref="C1761">INDEX('Enriched Data'!G:G,A1761+1)</f>
        <v>1913</v>
      </c>
      <c r="D1761" s="11">
        <f t="shared" si="82"/>
        <v>935172186.97000003</v>
      </c>
      <c r="E1761" s="10">
        <f t="shared" si="83"/>
        <v>0.99958428444271152</v>
      </c>
    </row>
    <row r="1762" spans="1:5">
      <c r="A1762">
        <f t="shared" si="81"/>
        <v>1761</v>
      </c>
      <c r="B1762" t="str" cm="1">
        <f t="array" ref="B1762">INDEX('Enriched Data'!C:C,A1762+1)</f>
        <v>Lewis Thomason, P.C.</v>
      </c>
      <c r="C1762" s="11" cm="1">
        <f t="array" ref="C1762">INDEX('Enriched Data'!G:G,A1762+1)</f>
        <v>1908.42</v>
      </c>
      <c r="D1762" s="11">
        <f t="shared" si="82"/>
        <v>935174095.38999999</v>
      </c>
      <c r="E1762" s="10">
        <f t="shared" si="83"/>
        <v>0.99958632430945127</v>
      </c>
    </row>
    <row r="1763" spans="1:5">
      <c r="A1763">
        <f t="shared" si="81"/>
        <v>1762</v>
      </c>
      <c r="B1763" t="str" cm="1">
        <f t="array" ref="B1763">INDEX('Enriched Data'!C:C,A1763+1)</f>
        <v>All American Auto Glass Inc</v>
      </c>
      <c r="C1763" s="11" cm="1">
        <f t="array" ref="C1763">INDEX('Enriched Data'!G:G,A1763+1)</f>
        <v>1902.49</v>
      </c>
      <c r="D1763" s="11">
        <f t="shared" si="82"/>
        <v>935175997.88</v>
      </c>
      <c r="E1763" s="10">
        <f t="shared" si="83"/>
        <v>0.9995883578377488</v>
      </c>
    </row>
    <row r="1764" spans="1:5">
      <c r="A1764">
        <f t="shared" si="81"/>
        <v>1763</v>
      </c>
      <c r="B1764" t="str" cm="1">
        <f t="array" ref="B1764">INDEX('Enriched Data'!C:C,A1764+1)</f>
        <v>Blue Beacon, Inc.</v>
      </c>
      <c r="C1764" s="11" cm="1">
        <f t="array" ref="C1764">INDEX('Enriched Data'!G:G,A1764+1)</f>
        <v>1883.6</v>
      </c>
      <c r="D1764" s="11">
        <f t="shared" si="82"/>
        <v>935177881.48000002</v>
      </c>
      <c r="E1764" s="10">
        <f t="shared" si="83"/>
        <v>0.99959037117495497</v>
      </c>
    </row>
    <row r="1765" spans="1:5">
      <c r="A1765">
        <f t="shared" si="81"/>
        <v>1764</v>
      </c>
      <c r="B1765" t="str" cm="1">
        <f t="array" ref="B1765">INDEX('Enriched Data'!C:C,A1765+1)</f>
        <v>Alante Security Group Inc.</v>
      </c>
      <c r="C1765" s="11" cm="1">
        <f t="array" ref="C1765">INDEX('Enriched Data'!G:G,A1765+1)</f>
        <v>1881.36</v>
      </c>
      <c r="D1765" s="11">
        <f t="shared" si="82"/>
        <v>935179762.84000003</v>
      </c>
      <c r="E1765" s="10">
        <f t="shared" si="83"/>
        <v>0.99959238211787604</v>
      </c>
    </row>
    <row r="1766" spans="1:5">
      <c r="A1766">
        <f t="shared" si="81"/>
        <v>1765</v>
      </c>
      <c r="B1766" t="str" cm="1">
        <f t="array" ref="B1766">INDEX('Enriched Data'!C:C,A1766+1)</f>
        <v>The Law Office of Lana Manitta,PLLC</v>
      </c>
      <c r="C1766" s="11" cm="1">
        <f t="array" ref="C1766">INDEX('Enriched Data'!G:G,A1766+1)</f>
        <v>1870</v>
      </c>
      <c r="D1766" s="11">
        <f t="shared" si="82"/>
        <v>935181632.84000003</v>
      </c>
      <c r="E1766" s="10">
        <f t="shared" si="83"/>
        <v>0.99959438091835151</v>
      </c>
    </row>
    <row r="1767" spans="1:5">
      <c r="A1767">
        <f t="shared" si="81"/>
        <v>1766</v>
      </c>
      <c r="B1767" t="str" cm="1">
        <f t="array" ref="B1767">INDEX('Enriched Data'!C:C,A1767+1)</f>
        <v>RJP Hotsy</v>
      </c>
      <c r="C1767" s="11" cm="1">
        <f t="array" ref="C1767">INDEX('Enriched Data'!G:G,A1767+1)</f>
        <v>1868.49</v>
      </c>
      <c r="D1767" s="11">
        <f t="shared" si="82"/>
        <v>935183501.33000004</v>
      </c>
      <c r="E1767" s="10">
        <f t="shared" si="83"/>
        <v>0.99959637810482227</v>
      </c>
    </row>
    <row r="1768" spans="1:5">
      <c r="A1768">
        <f t="shared" si="81"/>
        <v>1767</v>
      </c>
      <c r="B1768" t="str" cm="1">
        <f t="array" ref="B1768">INDEX('Enriched Data'!C:C,A1768+1)</f>
        <v>Renna Sarnie</v>
      </c>
      <c r="C1768" s="11" cm="1">
        <f t="array" ref="C1768">INDEX('Enriched Data'!G:G,A1768+1)</f>
        <v>1848.29</v>
      </c>
      <c r="D1768" s="11">
        <f t="shared" si="82"/>
        <v>935185349.62</v>
      </c>
      <c r="E1768" s="10">
        <f t="shared" si="83"/>
        <v>0.9995983536999723</v>
      </c>
    </row>
    <row r="1769" spans="1:5">
      <c r="A1769">
        <f t="shared" si="81"/>
        <v>1768</v>
      </c>
      <c r="B1769" t="str" cm="1">
        <f t="array" ref="B1769">INDEX('Enriched Data'!C:C,A1769+1)</f>
        <v>Dominion Wrecker Service LLC</v>
      </c>
      <c r="C1769" s="11" cm="1">
        <f t="array" ref="C1769">INDEX('Enriched Data'!G:G,A1769+1)</f>
        <v>1845</v>
      </c>
      <c r="D1769" s="11">
        <f t="shared" si="82"/>
        <v>935187194.62</v>
      </c>
      <c r="E1769" s="10">
        <f t="shared" si="83"/>
        <v>0.99960032577851621</v>
      </c>
    </row>
    <row r="1770" spans="1:5">
      <c r="A1770">
        <f t="shared" si="81"/>
        <v>1769</v>
      </c>
      <c r="B1770" t="str" cm="1">
        <f t="array" ref="B1770">INDEX('Enriched Data'!C:C,A1770+1)</f>
        <v>Pirtek Beltway/Conroe/Gulfgate/Sta</v>
      </c>
      <c r="C1770" s="11" cm="1">
        <f t="array" ref="C1770">INDEX('Enriched Data'!G:G,A1770+1)</f>
        <v>1843.69</v>
      </c>
      <c r="D1770" s="11">
        <f t="shared" si="82"/>
        <v>935189038.31000006</v>
      </c>
      <c r="E1770" s="10">
        <f t="shared" si="83"/>
        <v>0.99960229645683107</v>
      </c>
    </row>
    <row r="1771" spans="1:5">
      <c r="A1771">
        <f t="shared" si="81"/>
        <v>1770</v>
      </c>
      <c r="B1771" t="str" cm="1">
        <f t="array" ref="B1771">INDEX('Enriched Data'!C:C,A1771+1)</f>
        <v>GEM Plumbing &amp; Heating Services LLC</v>
      </c>
      <c r="C1771" s="11" cm="1">
        <f t="array" ref="C1771">INDEX('Enriched Data'!G:G,A1771+1)</f>
        <v>1839.96</v>
      </c>
      <c r="D1771" s="11">
        <f t="shared" si="82"/>
        <v>935190878.2700001</v>
      </c>
      <c r="E1771" s="10">
        <f t="shared" si="83"/>
        <v>0.99960426314823358</v>
      </c>
    </row>
    <row r="1772" spans="1:5">
      <c r="A1772">
        <f t="shared" si="81"/>
        <v>1771</v>
      </c>
      <c r="B1772" t="str" cm="1">
        <f t="array" ref="B1772">INDEX('Enriched Data'!C:C,A1772+1)</f>
        <v>Birch Fumigators</v>
      </c>
      <c r="C1772" s="11" cm="1">
        <f t="array" ref="C1772">INDEX('Enriched Data'!G:G,A1772+1)</f>
        <v>1837.5</v>
      </c>
      <c r="D1772" s="11">
        <f t="shared" si="82"/>
        <v>935192715.7700001</v>
      </c>
      <c r="E1772" s="10">
        <f t="shared" si="83"/>
        <v>0.9996062272101981</v>
      </c>
    </row>
    <row r="1773" spans="1:5">
      <c r="A1773">
        <f t="shared" si="81"/>
        <v>1772</v>
      </c>
      <c r="B1773" t="str" cm="1">
        <f t="array" ref="B1773">INDEX('Enriched Data'!C:C,A1773+1)</f>
        <v>Justin Michael</v>
      </c>
      <c r="C1773" s="11" cm="1">
        <f t="array" ref="C1773">INDEX('Enriched Data'!G:G,A1773+1)</f>
        <v>1830</v>
      </c>
      <c r="D1773" s="11">
        <f t="shared" si="82"/>
        <v>935194545.7700001</v>
      </c>
      <c r="E1773" s="10">
        <f t="shared" si="83"/>
        <v>0.99960818325558309</v>
      </c>
    </row>
    <row r="1774" spans="1:5">
      <c r="A1774">
        <f t="shared" si="81"/>
        <v>1773</v>
      </c>
      <c r="B1774" t="str" cm="1">
        <f t="array" ref="B1774">INDEX('Enriched Data'!C:C,A1774+1)</f>
        <v>Wilson Fuel Co. Limited</v>
      </c>
      <c r="C1774" s="11" cm="1">
        <f t="array" ref="C1774">INDEX('Enriched Data'!G:G,A1774+1)</f>
        <v>1827.04</v>
      </c>
      <c r="D1774" s="11">
        <f t="shared" si="82"/>
        <v>935196372.81000006</v>
      </c>
      <c r="E1774" s="10">
        <f t="shared" si="83"/>
        <v>0.99961013613709138</v>
      </c>
    </row>
    <row r="1775" spans="1:5">
      <c r="A1775">
        <f t="shared" si="81"/>
        <v>1774</v>
      </c>
      <c r="B1775" t="str" cm="1">
        <f t="array" ref="B1775">INDEX('Enriched Data'!C:C,A1775+1)</f>
        <v>NCR Towing</v>
      </c>
      <c r="C1775" s="11" cm="1">
        <f t="array" ref="C1775">INDEX('Enriched Data'!G:G,A1775+1)</f>
        <v>1825</v>
      </c>
      <c r="D1775" s="11">
        <f t="shared" si="82"/>
        <v>935198197.81000006</v>
      </c>
      <c r="E1775" s="10">
        <f t="shared" si="83"/>
        <v>0.99961208683809011</v>
      </c>
    </row>
    <row r="1776" spans="1:5">
      <c r="A1776">
        <f t="shared" si="81"/>
        <v>1775</v>
      </c>
      <c r="B1776" t="str" cm="1">
        <f t="array" ref="B1776">INDEX('Enriched Data'!C:C,A1776+1)</f>
        <v>BOES, LLC</v>
      </c>
      <c r="C1776" s="11" cm="1">
        <f t="array" ref="C1776">INDEX('Enriched Data'!G:G,A1776+1)</f>
        <v>1824.93</v>
      </c>
      <c r="D1776" s="11">
        <f t="shared" si="82"/>
        <v>935200022.74000001</v>
      </c>
      <c r="E1776" s="10">
        <f t="shared" si="83"/>
        <v>0.99961403746426736</v>
      </c>
    </row>
    <row r="1777" spans="1:5">
      <c r="A1777">
        <f t="shared" si="81"/>
        <v>1776</v>
      </c>
      <c r="B1777" t="str" cm="1">
        <f t="array" ref="B1777">INDEX('Enriched Data'!C:C,A1777+1)</f>
        <v>MH Equipment</v>
      </c>
      <c r="C1777" s="11" cm="1">
        <f t="array" ref="C1777">INDEX('Enriched Data'!G:G,A1777+1)</f>
        <v>1820.82</v>
      </c>
      <c r="D1777" s="11">
        <f t="shared" si="82"/>
        <v>935201843.56000006</v>
      </c>
      <c r="E1777" s="10">
        <f t="shared" si="83"/>
        <v>0.99961598369735927</v>
      </c>
    </row>
    <row r="1778" spans="1:5">
      <c r="A1778">
        <f t="shared" si="81"/>
        <v>1777</v>
      </c>
      <c r="B1778" t="str" cm="1">
        <f t="array" ref="B1778">INDEX('Enriched Data'!C:C,A1778+1)</f>
        <v>Voss Equipment Inc.</v>
      </c>
      <c r="C1778" s="11" cm="1">
        <f t="array" ref="C1778">INDEX('Enriched Data'!G:G,A1778+1)</f>
        <v>1818.05</v>
      </c>
      <c r="D1778" s="11">
        <f t="shared" si="82"/>
        <v>935203661.61000001</v>
      </c>
      <c r="E1778" s="10">
        <f t="shared" si="83"/>
        <v>0.99961792696966101</v>
      </c>
    </row>
    <row r="1779" spans="1:5">
      <c r="A1779">
        <f t="shared" si="81"/>
        <v>1778</v>
      </c>
      <c r="B1779" t="str" cm="1">
        <f t="array" ref="B1779">INDEX('Enriched Data'!C:C,A1779+1)</f>
        <v>CAA Quebec</v>
      </c>
      <c r="C1779" s="11" cm="1">
        <f t="array" ref="C1779">INDEX('Enriched Data'!G:G,A1779+1)</f>
        <v>1810.86</v>
      </c>
      <c r="D1779" s="11">
        <f t="shared" si="82"/>
        <v>935205472.47000003</v>
      </c>
      <c r="E1779" s="10">
        <f t="shared" si="83"/>
        <v>0.99961986255673529</v>
      </c>
    </row>
    <row r="1780" spans="1:5">
      <c r="A1780">
        <f t="shared" si="81"/>
        <v>1779</v>
      </c>
      <c r="B1780" t="str" cm="1">
        <f t="array" ref="B1780">INDEX('Enriched Data'!C:C,A1780+1)</f>
        <v>James Hayes</v>
      </c>
      <c r="C1780" s="11" cm="1">
        <f t="array" ref="C1780">INDEX('Enriched Data'!G:G,A1780+1)</f>
        <v>1810</v>
      </c>
      <c r="D1780" s="11">
        <f t="shared" si="82"/>
        <v>935207282.47000003</v>
      </c>
      <c r="E1780" s="10">
        <f t="shared" si="83"/>
        <v>0.99962179722457511</v>
      </c>
    </row>
    <row r="1781" spans="1:5">
      <c r="A1781">
        <f t="shared" si="81"/>
        <v>1780</v>
      </c>
      <c r="B1781" t="str" cm="1">
        <f t="array" ref="B1781">INDEX('Enriched Data'!C:C,A1781+1)</f>
        <v>Managed Mobile, Inc.</v>
      </c>
      <c r="C1781" s="11" cm="1">
        <f t="array" ref="C1781">INDEX('Enriched Data'!G:G,A1781+1)</f>
        <v>1787.17</v>
      </c>
      <c r="D1781" s="11">
        <f t="shared" si="82"/>
        <v>935209069.63999999</v>
      </c>
      <c r="E1781" s="10">
        <f t="shared" si="83"/>
        <v>0.99962370748994711</v>
      </c>
    </row>
    <row r="1782" spans="1:5">
      <c r="A1782">
        <f t="shared" si="81"/>
        <v>1781</v>
      </c>
      <c r="B1782" t="str" cm="1">
        <f t="array" ref="B1782">INDEX('Enriched Data'!C:C,A1782+1)</f>
        <v>Watson Home Properties</v>
      </c>
      <c r="C1782" s="11" cm="1">
        <f t="array" ref="C1782">INDEX('Enriched Data'!G:G,A1782+1)</f>
        <v>1777</v>
      </c>
      <c r="D1782" s="11">
        <f t="shared" si="82"/>
        <v>935210846.63999999</v>
      </c>
      <c r="E1782" s="10">
        <f t="shared" si="83"/>
        <v>0.99962560688483737</v>
      </c>
    </row>
    <row r="1783" spans="1:5">
      <c r="A1783">
        <f t="shared" si="81"/>
        <v>1782</v>
      </c>
      <c r="B1783" t="str" cm="1">
        <f t="array" ref="B1783">INDEX('Enriched Data'!C:C,A1783+1)</f>
        <v>Suburban Towing Inc</v>
      </c>
      <c r="C1783" s="11" cm="1">
        <f t="array" ref="C1783">INDEX('Enriched Data'!G:G,A1783+1)</f>
        <v>1775</v>
      </c>
      <c r="D1783" s="11">
        <f t="shared" si="82"/>
        <v>935212621.63999999</v>
      </c>
      <c r="E1783" s="10">
        <f t="shared" si="83"/>
        <v>0.9996275041419731</v>
      </c>
    </row>
    <row r="1784" spans="1:5">
      <c r="A1784">
        <f t="shared" si="81"/>
        <v>1783</v>
      </c>
      <c r="B1784" t="str" cm="1">
        <f t="array" ref="B1784">INDEX('Enriched Data'!C:C,A1784+1)</f>
        <v>Sallie Brown</v>
      </c>
      <c r="C1784" s="11" cm="1">
        <f t="array" ref="C1784">INDEX('Enriched Data'!G:G,A1784+1)</f>
        <v>1753</v>
      </c>
      <c r="D1784" s="11">
        <f t="shared" si="82"/>
        <v>935214374.63999999</v>
      </c>
      <c r="E1784" s="10">
        <f t="shared" si="83"/>
        <v>0.99962937788380912</v>
      </c>
    </row>
    <row r="1785" spans="1:5">
      <c r="A1785">
        <f t="shared" si="81"/>
        <v>1784</v>
      </c>
      <c r="B1785" t="str" cm="1">
        <f t="array" ref="B1785">INDEX('Enriched Data'!C:C,A1785+1)</f>
        <v>Youdecide.com Inc</v>
      </c>
      <c r="C1785" s="11" cm="1">
        <f t="array" ref="C1785">INDEX('Enriched Data'!G:G,A1785+1)</f>
        <v>1752.1</v>
      </c>
      <c r="D1785" s="11">
        <f t="shared" si="82"/>
        <v>935216126.74000001</v>
      </c>
      <c r="E1785" s="10">
        <f t="shared" si="83"/>
        <v>0.99963125066365566</v>
      </c>
    </row>
    <row r="1786" spans="1:5">
      <c r="A1786">
        <f t="shared" si="81"/>
        <v>1785</v>
      </c>
      <c r="B1786" t="str" cm="1">
        <f t="array" ref="B1786">INDEX('Enriched Data'!C:C,A1786+1)</f>
        <v>Area Plumbing &amp; Sewer Co., Inc</v>
      </c>
      <c r="C1786" s="11" cm="1">
        <f t="array" ref="C1786">INDEX('Enriched Data'!G:G,A1786+1)</f>
        <v>1750</v>
      </c>
      <c r="D1786" s="11">
        <f t="shared" si="82"/>
        <v>935217876.74000001</v>
      </c>
      <c r="E1786" s="10">
        <f t="shared" si="83"/>
        <v>0.99963312119885994</v>
      </c>
    </row>
    <row r="1787" spans="1:5">
      <c r="A1787">
        <f t="shared" si="81"/>
        <v>1786</v>
      </c>
      <c r="B1787" t="str" cm="1">
        <f t="array" ref="B1787">INDEX('Enriched Data'!C:C,A1787+1)</f>
        <v>Asheville Oil Company</v>
      </c>
      <c r="C1787" s="11" cm="1">
        <f t="array" ref="C1787">INDEX('Enriched Data'!G:G,A1787+1)</f>
        <v>1746.42</v>
      </c>
      <c r="D1787" s="11">
        <f t="shared" si="82"/>
        <v>935219623.15999997</v>
      </c>
      <c r="E1787" s="10">
        <f t="shared" si="83"/>
        <v>0.99963498790748351</v>
      </c>
    </row>
    <row r="1788" spans="1:5">
      <c r="A1788">
        <f t="shared" si="81"/>
        <v>1787</v>
      </c>
      <c r="B1788" t="str" cm="1">
        <f t="array" ref="B1788">INDEX('Enriched Data'!C:C,A1788+1)</f>
        <v>Lawrence Doors</v>
      </c>
      <c r="C1788" s="11" cm="1">
        <f t="array" ref="C1788">INDEX('Enriched Data'!G:G,A1788+1)</f>
        <v>1734.55</v>
      </c>
      <c r="D1788" s="11">
        <f t="shared" si="82"/>
        <v>935221357.70999992</v>
      </c>
      <c r="E1788" s="10">
        <f t="shared" si="83"/>
        <v>0.99963684192853408</v>
      </c>
    </row>
    <row r="1789" spans="1:5">
      <c r="A1789">
        <f t="shared" si="81"/>
        <v>1788</v>
      </c>
      <c r="B1789" t="str" cm="1">
        <f t="array" ref="B1789">INDEX('Enriched Data'!C:C,A1789+1)</f>
        <v>A Five Star Termite&amp; Pest Control</v>
      </c>
      <c r="C1789" s="11" cm="1">
        <f t="array" ref="C1789">INDEX('Enriched Data'!G:G,A1789+1)</f>
        <v>1726.6</v>
      </c>
      <c r="D1789" s="11">
        <f t="shared" si="82"/>
        <v>935223084.30999994</v>
      </c>
      <c r="E1789" s="10">
        <f t="shared" si="83"/>
        <v>0.99963868745201057</v>
      </c>
    </row>
    <row r="1790" spans="1:5">
      <c r="A1790">
        <f t="shared" si="81"/>
        <v>1789</v>
      </c>
      <c r="B1790" t="str" cm="1">
        <f t="array" ref="B1790">INDEX('Enriched Data'!C:C,A1790+1)</f>
        <v>Four Star Services, Inc</v>
      </c>
      <c r="C1790" s="11" cm="1">
        <f t="array" ref="C1790">INDEX('Enriched Data'!G:G,A1790+1)</f>
        <v>1714</v>
      </c>
      <c r="D1790" s="11">
        <f t="shared" si="82"/>
        <v>935224798.30999994</v>
      </c>
      <c r="E1790" s="10">
        <f t="shared" si="83"/>
        <v>0.99964051950763344</v>
      </c>
    </row>
    <row r="1791" spans="1:5">
      <c r="A1791">
        <f t="shared" si="81"/>
        <v>1790</v>
      </c>
      <c r="B1791" t="str" cm="1">
        <f t="array" ref="B1791">INDEX('Enriched Data'!C:C,A1791+1)</f>
        <v>RY logistics Inc.</v>
      </c>
      <c r="C1791" s="11" cm="1">
        <f t="array" ref="C1791">INDEX('Enriched Data'!G:G,A1791+1)</f>
        <v>1714</v>
      </c>
      <c r="D1791" s="11">
        <f t="shared" si="82"/>
        <v>935226512.30999994</v>
      </c>
      <c r="E1791" s="10">
        <f t="shared" si="83"/>
        <v>0.99964235156325632</v>
      </c>
    </row>
    <row r="1792" spans="1:5">
      <c r="A1792">
        <f t="shared" si="81"/>
        <v>1791</v>
      </c>
      <c r="B1792" t="str" cm="1">
        <f t="array" ref="B1792">INDEX('Enriched Data'!C:C,A1792+1)</f>
        <v>Amino Transport, Inc. DO NOT USE</v>
      </c>
      <c r="C1792" s="11" cm="1">
        <f t="array" ref="C1792">INDEX('Enriched Data'!G:G,A1792+1)</f>
        <v>1714</v>
      </c>
      <c r="D1792" s="11">
        <f t="shared" si="82"/>
        <v>935228226.30999994</v>
      </c>
      <c r="E1792" s="10">
        <f t="shared" si="83"/>
        <v>0.9996441836188793</v>
      </c>
    </row>
    <row r="1793" spans="1:5">
      <c r="A1793">
        <f t="shared" si="81"/>
        <v>1792</v>
      </c>
      <c r="B1793" t="str" cm="1">
        <f t="array" ref="B1793">INDEX('Enriched Data'!C:C,A1793+1)</f>
        <v>Moran Reeves &amp; Conn PC</v>
      </c>
      <c r="C1793" s="11" cm="1">
        <f t="array" ref="C1793">INDEX('Enriched Data'!G:G,A1793+1)</f>
        <v>1713.35</v>
      </c>
      <c r="D1793" s="11">
        <f t="shared" si="82"/>
        <v>935229939.65999997</v>
      </c>
      <c r="E1793" s="10">
        <f t="shared" si="83"/>
        <v>0.99964601497973204</v>
      </c>
    </row>
    <row r="1794" spans="1:5">
      <c r="A1794">
        <f t="shared" si="81"/>
        <v>1793</v>
      </c>
      <c r="B1794" t="str" cm="1">
        <f t="array" ref="B1794">INDEX('Enriched Data'!C:C,A1794+1)</f>
        <v>Ace Heating &amp; Cooling, Inc.</v>
      </c>
      <c r="C1794" s="11" cm="1">
        <f t="array" ref="C1794">INDEX('Enriched Data'!G:G,A1794+1)</f>
        <v>1703.12</v>
      </c>
      <c r="D1794" s="11">
        <f t="shared" si="82"/>
        <v>935231642.77999997</v>
      </c>
      <c r="E1794" s="10">
        <f t="shared" si="83"/>
        <v>0.99964783540597035</v>
      </c>
    </row>
    <row r="1795" spans="1:5">
      <c r="A1795">
        <f t="shared" si="81"/>
        <v>1794</v>
      </c>
      <c r="B1795" t="str" cm="1">
        <f t="array" ref="B1795">INDEX('Enriched Data'!C:C,A1795+1)</f>
        <v>Federal Express Canada Corporation</v>
      </c>
      <c r="C1795" s="11" cm="1">
        <f t="array" ref="C1795">INDEX('Enriched Data'!G:G,A1795+1)</f>
        <v>1702.3</v>
      </c>
      <c r="D1795" s="11">
        <f t="shared" si="82"/>
        <v>935233345.07999992</v>
      </c>
      <c r="E1795" s="10">
        <f t="shared" si="83"/>
        <v>0.99964965495572922</v>
      </c>
    </row>
    <row r="1796" spans="1:5">
      <c r="A1796">
        <f t="shared" ref="A1796:A1859" si="84">A1795+1</f>
        <v>1795</v>
      </c>
      <c r="B1796" t="str" cm="1">
        <f t="array" ref="B1796">INDEX('Enriched Data'!C:C,A1796+1)</f>
        <v>Mr. Rooter Sewer &amp; Drain, Inc</v>
      </c>
      <c r="C1796" s="11" cm="1">
        <f t="array" ref="C1796">INDEX('Enriched Data'!G:G,A1796+1)</f>
        <v>1698.38</v>
      </c>
      <c r="D1796" s="11">
        <f t="shared" ref="D1796:D1859" si="85">D1795+C1796</f>
        <v>935235043.45999992</v>
      </c>
      <c r="E1796" s="10">
        <f t="shared" ref="E1796:E1859" si="86">D1796/$F$2</f>
        <v>0.9996514703154894</v>
      </c>
    </row>
    <row r="1797" spans="1:5">
      <c r="A1797">
        <f t="shared" si="84"/>
        <v>1796</v>
      </c>
      <c r="B1797" t="str" cm="1">
        <f t="array" ref="B1797">INDEX('Enriched Data'!C:C,A1797+1)</f>
        <v>Guardian Alarm of Ohio Inc.</v>
      </c>
      <c r="C1797" s="11" cm="1">
        <f t="array" ref="C1797">INDEX('Enriched Data'!G:G,A1797+1)</f>
        <v>1694.22</v>
      </c>
      <c r="D1797" s="11">
        <f t="shared" si="85"/>
        <v>935236737.67999995</v>
      </c>
      <c r="E1797" s="10">
        <f t="shared" si="86"/>
        <v>0.9996532812287201</v>
      </c>
    </row>
    <row r="1798" spans="1:5">
      <c r="A1798">
        <f t="shared" si="84"/>
        <v>1797</v>
      </c>
      <c r="B1798" t="str" cm="1">
        <f t="array" ref="B1798">INDEX('Enriched Data'!C:C,A1798+1)</f>
        <v>Air Therm LLC</v>
      </c>
      <c r="C1798" s="11" cm="1">
        <f t="array" ref="C1798">INDEX('Enriched Data'!G:G,A1798+1)</f>
        <v>1676</v>
      </c>
      <c r="D1798" s="11">
        <f t="shared" si="85"/>
        <v>935238413.67999995</v>
      </c>
      <c r="E1798" s="10">
        <f t="shared" si="86"/>
        <v>0.99965507266700715</v>
      </c>
    </row>
    <row r="1799" spans="1:5">
      <c r="A1799">
        <f t="shared" si="84"/>
        <v>1798</v>
      </c>
      <c r="B1799" t="str" cm="1">
        <f t="array" ref="B1799">INDEX('Enriched Data'!C:C,A1799+1)</f>
        <v>Suburban Propane</v>
      </c>
      <c r="C1799" s="11" cm="1">
        <f t="array" ref="C1799">INDEX('Enriched Data'!G:G,A1799+1)</f>
        <v>1660.52</v>
      </c>
      <c r="D1799" s="11">
        <f t="shared" si="85"/>
        <v>935240074.19999993</v>
      </c>
      <c r="E1799" s="10">
        <f t="shared" si="86"/>
        <v>0.99965684755907425</v>
      </c>
    </row>
    <row r="1800" spans="1:5">
      <c r="A1800">
        <f t="shared" si="84"/>
        <v>1799</v>
      </c>
      <c r="B1800" t="str" cm="1">
        <f t="array" ref="B1800">INDEX('Enriched Data'!C:C,A1800+1)</f>
        <v>Bauer Built Inc.</v>
      </c>
      <c r="C1800" s="11" cm="1">
        <f t="array" ref="C1800">INDEX('Enriched Data'!G:G,A1800+1)</f>
        <v>1658.88</v>
      </c>
      <c r="D1800" s="11">
        <f t="shared" si="85"/>
        <v>935241733.07999992</v>
      </c>
      <c r="E1800" s="10">
        <f t="shared" si="86"/>
        <v>0.99965862069818257</v>
      </c>
    </row>
    <row r="1801" spans="1:5">
      <c r="A1801">
        <f t="shared" si="84"/>
        <v>1800</v>
      </c>
      <c r="B1801" t="str" cm="1">
        <f t="array" ref="B1801">INDEX('Enriched Data'!C:C,A1801+1)</f>
        <v>Plasticycle Corporation</v>
      </c>
      <c r="C1801" s="11" cm="1">
        <f t="array" ref="C1801">INDEX('Enriched Data'!G:G,A1801+1)</f>
        <v>1658.4</v>
      </c>
      <c r="D1801" s="11">
        <f t="shared" si="85"/>
        <v>935243391.4799999</v>
      </c>
      <c r="E1801" s="10">
        <f t="shared" si="86"/>
        <v>0.99966039332422985</v>
      </c>
    </row>
    <row r="1802" spans="1:5">
      <c r="A1802">
        <f t="shared" si="84"/>
        <v>1801</v>
      </c>
      <c r="B1802" t="str" cm="1">
        <f t="array" ref="B1802">INDEX('Enriched Data'!C:C,A1802+1)</f>
        <v>High Associates</v>
      </c>
      <c r="C1802" s="11" cm="1">
        <f t="array" ref="C1802">INDEX('Enriched Data'!G:G,A1802+1)</f>
        <v>1657.5</v>
      </c>
      <c r="D1802" s="11">
        <f t="shared" si="85"/>
        <v>935245048.9799999</v>
      </c>
      <c r="E1802" s="10">
        <f t="shared" si="86"/>
        <v>0.99966216498828764</v>
      </c>
    </row>
    <row r="1803" spans="1:5">
      <c r="A1803">
        <f t="shared" si="84"/>
        <v>1802</v>
      </c>
      <c r="B1803" t="str" cm="1">
        <f t="array" ref="B1803">INDEX('Enriched Data'!C:C,A1803+1)</f>
        <v>United Industrial Service, Inc.</v>
      </c>
      <c r="C1803" s="11" cm="1">
        <f t="array" ref="C1803">INDEX('Enriched Data'!G:G,A1803+1)</f>
        <v>1634.62</v>
      </c>
      <c r="D1803" s="11">
        <f t="shared" si="85"/>
        <v>935246683.5999999</v>
      </c>
      <c r="E1803" s="10">
        <f t="shared" si="86"/>
        <v>0.99966391219643369</v>
      </c>
    </row>
    <row r="1804" spans="1:5">
      <c r="A1804">
        <f t="shared" si="84"/>
        <v>1803</v>
      </c>
      <c r="B1804" t="str" cm="1">
        <f t="array" ref="B1804">INDEX('Enriched Data'!C:C,A1804+1)</f>
        <v>Sherwin Williams - Brampton</v>
      </c>
      <c r="C1804" s="11" cm="1">
        <f t="array" ref="C1804">INDEX('Enriched Data'!G:G,A1804+1)</f>
        <v>1628.28</v>
      </c>
      <c r="D1804" s="11">
        <f t="shared" si="85"/>
        <v>935248311.87999988</v>
      </c>
      <c r="E1804" s="10">
        <f t="shared" si="86"/>
        <v>0.99966565262789786</v>
      </c>
    </row>
    <row r="1805" spans="1:5">
      <c r="A1805">
        <f t="shared" si="84"/>
        <v>1804</v>
      </c>
      <c r="B1805" t="str" cm="1">
        <f t="array" ref="B1805">INDEX('Enriched Data'!C:C,A1805+1)</f>
        <v>Pro-Screen Inc.</v>
      </c>
      <c r="C1805" s="11" cm="1">
        <f t="array" ref="C1805">INDEX('Enriched Data'!G:G,A1805+1)</f>
        <v>1626.66</v>
      </c>
      <c r="D1805" s="11">
        <f t="shared" si="85"/>
        <v>935249938.53999984</v>
      </c>
      <c r="E1805" s="10">
        <f t="shared" si="86"/>
        <v>0.99966739132778093</v>
      </c>
    </row>
    <row r="1806" spans="1:5">
      <c r="A1806">
        <f t="shared" si="84"/>
        <v>1805</v>
      </c>
      <c r="B1806" t="str" cm="1">
        <f t="array" ref="B1806">INDEX('Enriched Data'!C:C,A1806+1)</f>
        <v>Frantz Ward LLP</v>
      </c>
      <c r="C1806" s="11" cm="1">
        <f t="array" ref="C1806">INDEX('Enriched Data'!G:G,A1806+1)</f>
        <v>1626.5</v>
      </c>
      <c r="D1806" s="11">
        <f t="shared" si="85"/>
        <v>935251565.03999984</v>
      </c>
      <c r="E1806" s="10">
        <f t="shared" si="86"/>
        <v>0.99966912985664358</v>
      </c>
    </row>
    <row r="1807" spans="1:5">
      <c r="A1807">
        <f t="shared" si="84"/>
        <v>1806</v>
      </c>
      <c r="B1807" t="str" cm="1">
        <f t="array" ref="B1807">INDEX('Enriched Data'!C:C,A1807+1)</f>
        <v>SOS Fuels</v>
      </c>
      <c r="C1807" s="11" cm="1">
        <f t="array" ref="C1807">INDEX('Enriched Data'!G:G,A1807+1)</f>
        <v>1623.9</v>
      </c>
      <c r="D1807" s="11">
        <f t="shared" si="85"/>
        <v>935253188.93999982</v>
      </c>
      <c r="E1807" s="10">
        <f t="shared" si="86"/>
        <v>0.99967086560642537</v>
      </c>
    </row>
    <row r="1808" spans="1:5">
      <c r="A1808">
        <f t="shared" si="84"/>
        <v>1807</v>
      </c>
      <c r="B1808" t="str" cm="1">
        <f t="array" ref="B1808">INDEX('Enriched Data'!C:C,A1808+1)</f>
        <v>FYR FYTER SALES &amp; SERVICES, INC</v>
      </c>
      <c r="C1808" s="11" cm="1">
        <f t="array" ref="C1808">INDEX('Enriched Data'!G:G,A1808+1)</f>
        <v>1623.36</v>
      </c>
      <c r="D1808" s="11">
        <f t="shared" si="85"/>
        <v>935254812.29999983</v>
      </c>
      <c r="E1808" s="10">
        <f t="shared" si="86"/>
        <v>0.99967260077901354</v>
      </c>
    </row>
    <row r="1809" spans="1:5">
      <c r="A1809">
        <f t="shared" si="84"/>
        <v>1808</v>
      </c>
      <c r="B1809" t="str" cm="1">
        <f t="array" ref="B1809">INDEX('Enriched Data'!C:C,A1809+1)</f>
        <v>Mitchells W Nashville Wrecker Ser</v>
      </c>
      <c r="C1809" s="11" cm="1">
        <f t="array" ref="C1809">INDEX('Enriched Data'!G:G,A1809+1)</f>
        <v>1617</v>
      </c>
      <c r="D1809" s="11">
        <f t="shared" si="85"/>
        <v>935256429.29999983</v>
      </c>
      <c r="E1809" s="10">
        <f t="shared" si="86"/>
        <v>0.99967432915354226</v>
      </c>
    </row>
    <row r="1810" spans="1:5">
      <c r="A1810">
        <f t="shared" si="84"/>
        <v>1809</v>
      </c>
      <c r="B1810" t="str" cm="1">
        <f t="array" ref="B1810">INDEX('Enriched Data'!C:C,A1810+1)</f>
        <v>Terminal Supply Company</v>
      </c>
      <c r="C1810" s="11" cm="1">
        <f t="array" ref="C1810">INDEX('Enriched Data'!G:G,A1810+1)</f>
        <v>1616.37</v>
      </c>
      <c r="D1810" s="11">
        <f t="shared" si="85"/>
        <v>935258045.66999984</v>
      </c>
      <c r="E1810" s="10">
        <f t="shared" si="86"/>
        <v>0.99967605685467831</v>
      </c>
    </row>
    <row r="1811" spans="1:5">
      <c r="A1811">
        <f t="shared" si="84"/>
        <v>1810</v>
      </c>
      <c r="B1811" t="str" cm="1">
        <f t="array" ref="B1811">INDEX('Enriched Data'!C:C,A1811+1)</f>
        <v>Grays Towing</v>
      </c>
      <c r="C1811" s="11" cm="1">
        <f t="array" ref="C1811">INDEX('Enriched Data'!G:G,A1811+1)</f>
        <v>1600</v>
      </c>
      <c r="D1811" s="11">
        <f t="shared" si="85"/>
        <v>935259645.66999984</v>
      </c>
      <c r="E1811" s="10">
        <f t="shared" si="86"/>
        <v>0.9996777670582937</v>
      </c>
    </row>
    <row r="1812" spans="1:5">
      <c r="A1812">
        <f t="shared" si="84"/>
        <v>1811</v>
      </c>
      <c r="B1812" t="str" cm="1">
        <f t="array" ref="B1812">INDEX('Enriched Data'!C:C,A1812+1)</f>
        <v>Cowleys Bug Out Pest Control Inc.</v>
      </c>
      <c r="C1812" s="11" cm="1">
        <f t="array" ref="C1812">INDEX('Enriched Data'!G:G,A1812+1)</f>
        <v>1599.38</v>
      </c>
      <c r="D1812" s="11">
        <f t="shared" si="85"/>
        <v>935261245.04999983</v>
      </c>
      <c r="E1812" s="10">
        <f t="shared" si="86"/>
        <v>0.99967947659920509</v>
      </c>
    </row>
    <row r="1813" spans="1:5">
      <c r="A1813">
        <f t="shared" si="84"/>
        <v>1812</v>
      </c>
      <c r="B1813" t="str" cm="1">
        <f t="array" ref="B1813">INDEX('Enriched Data'!C:C,A1813+1)</f>
        <v>Myrmo &amp; Sons Inc</v>
      </c>
      <c r="C1813" s="11" cm="1">
        <f t="array" ref="C1813">INDEX('Enriched Data'!G:G,A1813+1)</f>
        <v>1593.86</v>
      </c>
      <c r="D1813" s="11">
        <f t="shared" si="85"/>
        <v>935262838.90999985</v>
      </c>
      <c r="E1813" s="10">
        <f t="shared" si="86"/>
        <v>0.99968118023991404</v>
      </c>
    </row>
    <row r="1814" spans="1:5">
      <c r="A1814">
        <f t="shared" si="84"/>
        <v>1813</v>
      </c>
      <c r="B1814" t="str" cm="1">
        <f t="array" ref="B1814">INDEX('Enriched Data'!C:C,A1814+1)</f>
        <v>Mobile Fleet Wash Inc.</v>
      </c>
      <c r="C1814" s="11" cm="1">
        <f t="array" ref="C1814">INDEX('Enriched Data'!G:G,A1814+1)</f>
        <v>1590.37</v>
      </c>
      <c r="D1814" s="11">
        <f t="shared" si="85"/>
        <v>935264429.27999985</v>
      </c>
      <c r="E1814" s="10">
        <f t="shared" si="86"/>
        <v>0.99968288015024143</v>
      </c>
    </row>
    <row r="1815" spans="1:5">
      <c r="A1815">
        <f t="shared" si="84"/>
        <v>1814</v>
      </c>
      <c r="B1815" t="str" cm="1">
        <f t="array" ref="B1815">INDEX('Enriched Data'!C:C,A1815+1)</f>
        <v>S. CAMEROTA &amp; SONS, INC.</v>
      </c>
      <c r="C1815" s="11" cm="1">
        <f t="array" ref="C1815">INDEX('Enriched Data'!G:G,A1815+1)</f>
        <v>1585.05</v>
      </c>
      <c r="D1815" s="11">
        <f t="shared" si="85"/>
        <v>935266014.3299998</v>
      </c>
      <c r="E1815" s="10">
        <f t="shared" si="86"/>
        <v>0.9996845743741416</v>
      </c>
    </row>
    <row r="1816" spans="1:5">
      <c r="A1816">
        <f t="shared" si="84"/>
        <v>1815</v>
      </c>
      <c r="B1816" t="str" cm="1">
        <f t="array" ref="B1816">INDEX('Enriched Data'!C:C,A1816+1)</f>
        <v>JAS Industries, LLC</v>
      </c>
      <c r="C1816" s="11" cm="1">
        <f t="array" ref="C1816">INDEX('Enriched Data'!G:G,A1816+1)</f>
        <v>1579.38</v>
      </c>
      <c r="D1816" s="11">
        <f t="shared" si="85"/>
        <v>935267593.7099998</v>
      </c>
      <c r="E1816" s="10">
        <f t="shared" si="86"/>
        <v>0.99968626253750781</v>
      </c>
    </row>
    <row r="1817" spans="1:5">
      <c r="A1817">
        <f t="shared" si="84"/>
        <v>1816</v>
      </c>
      <c r="B1817" t="str" cm="1">
        <f t="array" ref="B1817">INDEX('Enriched Data'!C:C,A1817+1)</f>
        <v>Access One Lock Service</v>
      </c>
      <c r="C1817" s="11" cm="1">
        <f t="array" ref="C1817">INDEX('Enriched Data'!G:G,A1817+1)</f>
        <v>1556.95</v>
      </c>
      <c r="D1817" s="11">
        <f t="shared" si="85"/>
        <v>935269150.65999985</v>
      </c>
      <c r="E1817" s="10">
        <f t="shared" si="86"/>
        <v>0.99968792672595719</v>
      </c>
    </row>
    <row r="1818" spans="1:5">
      <c r="A1818">
        <f t="shared" si="84"/>
        <v>1817</v>
      </c>
      <c r="B1818" t="str" cm="1">
        <f t="array" ref="B1818">INDEX('Enriched Data'!C:C,A1818+1)</f>
        <v>J&amp;R Mobile Wash</v>
      </c>
      <c r="C1818" s="11" cm="1">
        <f t="array" ref="C1818">INDEX('Enriched Data'!G:G,A1818+1)</f>
        <v>1548</v>
      </c>
      <c r="D1818" s="11">
        <f t="shared" si="85"/>
        <v>935270698.65999985</v>
      </c>
      <c r="E1818" s="10">
        <f t="shared" si="86"/>
        <v>0.99968958134795505</v>
      </c>
    </row>
    <row r="1819" spans="1:5">
      <c r="A1819">
        <f t="shared" si="84"/>
        <v>1818</v>
      </c>
      <c r="B1819" t="str" cm="1">
        <f t="array" ref="B1819">INDEX('Enriched Data'!C:C,A1819+1)</f>
        <v>Southeast Texas Plumbing, Inc.</v>
      </c>
      <c r="C1819" s="11" cm="1">
        <f t="array" ref="C1819">INDEX('Enriched Data'!G:G,A1819+1)</f>
        <v>1544.74</v>
      </c>
      <c r="D1819" s="11">
        <f t="shared" si="85"/>
        <v>935272243.39999986</v>
      </c>
      <c r="E1819" s="10">
        <f t="shared" si="86"/>
        <v>0.99969123248541303</v>
      </c>
    </row>
    <row r="1820" spans="1:5">
      <c r="A1820">
        <f t="shared" si="84"/>
        <v>1819</v>
      </c>
      <c r="B1820" t="str" cm="1">
        <f t="array" ref="B1820">INDEX('Enriched Data'!C:C,A1820+1)</f>
        <v>Puritan Springs Water</v>
      </c>
      <c r="C1820" s="11" cm="1">
        <f t="array" ref="C1820">INDEX('Enriched Data'!G:G,A1820+1)</f>
        <v>1543.58</v>
      </c>
      <c r="D1820" s="11">
        <f t="shared" si="85"/>
        <v>935273786.9799999</v>
      </c>
      <c r="E1820" s="10">
        <f t="shared" si="86"/>
        <v>0.99969288238297338</v>
      </c>
    </row>
    <row r="1821" spans="1:5">
      <c r="A1821">
        <f t="shared" si="84"/>
        <v>1820</v>
      </c>
      <c r="B1821" t="str" cm="1">
        <f t="array" ref="B1821">INDEX('Enriched Data'!C:C,A1821+1)</f>
        <v>Pact Service Inc</v>
      </c>
      <c r="C1821" s="11" cm="1">
        <f t="array" ref="C1821">INDEX('Enriched Data'!G:G,A1821+1)</f>
        <v>1541.38</v>
      </c>
      <c r="D1821" s="11">
        <f t="shared" si="85"/>
        <v>935275328.3599999</v>
      </c>
      <c r="E1821" s="10">
        <f t="shared" si="86"/>
        <v>0.99969452992900376</v>
      </c>
    </row>
    <row r="1822" spans="1:5">
      <c r="A1822">
        <f t="shared" si="84"/>
        <v>1821</v>
      </c>
      <c r="B1822" t="str" cm="1">
        <f t="array" ref="B1822">INDEX('Enriched Data'!C:C,A1822+1)</f>
        <v>Medford Alarm &amp; Signal Inc</v>
      </c>
      <c r="C1822" s="11" cm="1">
        <f t="array" ref="C1822">INDEX('Enriched Data'!G:G,A1822+1)</f>
        <v>1536.8</v>
      </c>
      <c r="D1822" s="11">
        <f t="shared" si="85"/>
        <v>935276865.15999985</v>
      </c>
      <c r="E1822" s="10">
        <f t="shared" si="86"/>
        <v>0.99969617257957621</v>
      </c>
    </row>
    <row r="1823" spans="1:5">
      <c r="A1823">
        <f t="shared" si="84"/>
        <v>1822</v>
      </c>
      <c r="B1823" t="str" cm="1">
        <f t="array" ref="B1823">INDEX('Enriched Data'!C:C,A1823+1)</f>
        <v>Centre de services scolaire des Aff</v>
      </c>
      <c r="C1823" s="11" cm="1">
        <f t="array" ref="C1823">INDEX('Enriched Data'!G:G,A1823+1)</f>
        <v>1536.16</v>
      </c>
      <c r="D1823" s="11">
        <f t="shared" si="85"/>
        <v>935278401.31999981</v>
      </c>
      <c r="E1823" s="10">
        <f t="shared" si="86"/>
        <v>0.99969781454606732</v>
      </c>
    </row>
    <row r="1824" spans="1:5">
      <c r="A1824">
        <f t="shared" si="84"/>
        <v>1823</v>
      </c>
      <c r="B1824" t="str" cm="1">
        <f t="array" ref="B1824">INDEX('Enriched Data'!C:C,A1824+1)</f>
        <v>Super Save Disposal</v>
      </c>
      <c r="C1824" s="11" cm="1">
        <f t="array" ref="C1824">INDEX('Enriched Data'!G:G,A1824+1)</f>
        <v>1525.86</v>
      </c>
      <c r="D1824" s="11">
        <f t="shared" si="85"/>
        <v>935279927.17999983</v>
      </c>
      <c r="E1824" s="10">
        <f t="shared" si="86"/>
        <v>0.99969944550312262</v>
      </c>
    </row>
    <row r="1825" spans="1:5">
      <c r="A1825">
        <f t="shared" si="84"/>
        <v>1824</v>
      </c>
      <c r="B1825" t="str" cm="1">
        <f t="array" ref="B1825">INDEX('Enriched Data'!C:C,A1825+1)</f>
        <v>Eric Anderson Trucking</v>
      </c>
      <c r="C1825" s="11" cm="1">
        <f t="array" ref="C1825">INDEX('Enriched Data'!G:G,A1825+1)</f>
        <v>1522.5</v>
      </c>
      <c r="D1825" s="11">
        <f t="shared" si="85"/>
        <v>935281449.67999983</v>
      </c>
      <c r="E1825" s="10">
        <f t="shared" si="86"/>
        <v>0.99970107286875032</v>
      </c>
    </row>
    <row r="1826" spans="1:5">
      <c r="A1826">
        <f t="shared" si="84"/>
        <v>1825</v>
      </c>
      <c r="B1826" t="str" cm="1">
        <f t="array" ref="B1826">INDEX('Enriched Data'!C:C,A1826+1)</f>
        <v>De Lage Landen Financial</v>
      </c>
      <c r="C1826" s="11" cm="1">
        <f t="array" ref="C1826">INDEX('Enriched Data'!G:G,A1826+1)</f>
        <v>1522.11</v>
      </c>
      <c r="D1826" s="11">
        <f t="shared" si="85"/>
        <v>935282971.78999984</v>
      </c>
      <c r="E1826" s="10">
        <f t="shared" si="86"/>
        <v>0.99970269981751592</v>
      </c>
    </row>
    <row r="1827" spans="1:5">
      <c r="A1827">
        <f t="shared" si="84"/>
        <v>1826</v>
      </c>
      <c r="B1827" t="str" cm="1">
        <f t="array" ref="B1827">INDEX('Enriched Data'!C:C,A1827+1)</f>
        <v>Move EZ, Inc.</v>
      </c>
      <c r="C1827" s="11" cm="1">
        <f t="array" ref="C1827">INDEX('Enriched Data'!G:G,A1827+1)</f>
        <v>1520.93</v>
      </c>
      <c r="D1827" s="11">
        <f t="shared" si="85"/>
        <v>935284492.71999979</v>
      </c>
      <c r="E1827" s="10">
        <f t="shared" si="86"/>
        <v>0.99970432550500621</v>
      </c>
    </row>
    <row r="1828" spans="1:5">
      <c r="A1828">
        <f t="shared" si="84"/>
        <v>1827</v>
      </c>
      <c r="B1828" t="str" cm="1">
        <f t="array" ref="B1828">INDEX('Enriched Data'!C:C,A1828+1)</f>
        <v>Grainger</v>
      </c>
      <c r="C1828" s="11" cm="1">
        <f t="array" ref="C1828">INDEX('Enriched Data'!G:G,A1828+1)</f>
        <v>1520.34</v>
      </c>
      <c r="D1828" s="11">
        <f t="shared" si="85"/>
        <v>935286013.05999982</v>
      </c>
      <c r="E1828" s="10">
        <f t="shared" si="86"/>
        <v>0.99970595056185907</v>
      </c>
    </row>
    <row r="1829" spans="1:5">
      <c r="A1829">
        <f t="shared" si="84"/>
        <v>1828</v>
      </c>
      <c r="B1829" t="str" cm="1">
        <f t="array" ref="B1829">INDEX('Enriched Data'!C:C,A1829+1)</f>
        <v>Willis Welding &amp; Machine Compny Inc</v>
      </c>
      <c r="C1829" s="11" cm="1">
        <f t="array" ref="C1829">INDEX('Enriched Data'!G:G,A1829+1)</f>
        <v>1513.25</v>
      </c>
      <c r="D1829" s="11">
        <f t="shared" si="85"/>
        <v>935287526.30999982</v>
      </c>
      <c r="E1829" s="10">
        <f t="shared" si="86"/>
        <v>0.9997075680403722</v>
      </c>
    </row>
    <row r="1830" spans="1:5">
      <c r="A1830">
        <f t="shared" si="84"/>
        <v>1829</v>
      </c>
      <c r="B1830" t="str" cm="1">
        <f t="array" ref="B1830">INDEX('Enriched Data'!C:C,A1830+1)</f>
        <v>Earl Coy</v>
      </c>
      <c r="C1830" s="11" cm="1">
        <f t="array" ref="C1830">INDEX('Enriched Data'!G:G,A1830+1)</f>
        <v>1500</v>
      </c>
      <c r="D1830" s="11">
        <f t="shared" si="85"/>
        <v>935289026.30999982</v>
      </c>
      <c r="E1830" s="10">
        <f t="shared" si="86"/>
        <v>0.99970917135626158</v>
      </c>
    </row>
    <row r="1831" spans="1:5">
      <c r="A1831">
        <f t="shared" si="84"/>
        <v>1830</v>
      </c>
      <c r="B1831" t="str" cm="1">
        <f t="array" ref="B1831">INDEX('Enriched Data'!C:C,A1831+1)</f>
        <v>Indoor Air Testing, Inc.</v>
      </c>
      <c r="C1831" s="11" cm="1">
        <f t="array" ref="C1831">INDEX('Enriched Data'!G:G,A1831+1)</f>
        <v>1500</v>
      </c>
      <c r="D1831" s="11">
        <f t="shared" si="85"/>
        <v>935290526.30999982</v>
      </c>
      <c r="E1831" s="10">
        <f t="shared" si="86"/>
        <v>0.99971077467215086</v>
      </c>
    </row>
    <row r="1832" spans="1:5">
      <c r="A1832">
        <f t="shared" si="84"/>
        <v>1831</v>
      </c>
      <c r="B1832" t="str" cm="1">
        <f t="array" ref="B1832">INDEX('Enriched Data'!C:C,A1832+1)</f>
        <v>HNST Mold Inspections</v>
      </c>
      <c r="C1832" s="11" cm="1">
        <f t="array" ref="C1832">INDEX('Enriched Data'!G:G,A1832+1)</f>
        <v>1500</v>
      </c>
      <c r="D1832" s="11">
        <f t="shared" si="85"/>
        <v>935292026.30999982</v>
      </c>
      <c r="E1832" s="10">
        <f t="shared" si="86"/>
        <v>0.99971237798804025</v>
      </c>
    </row>
    <row r="1833" spans="1:5">
      <c r="A1833">
        <f t="shared" si="84"/>
        <v>1832</v>
      </c>
      <c r="B1833" t="str" cm="1">
        <f t="array" ref="B1833">INDEX('Enriched Data'!C:C,A1833+1)</f>
        <v>Katherine Beaven</v>
      </c>
      <c r="C1833" s="11" cm="1">
        <f t="array" ref="C1833">INDEX('Enriched Data'!G:G,A1833+1)</f>
        <v>1500</v>
      </c>
      <c r="D1833" s="11">
        <f t="shared" si="85"/>
        <v>935293526.30999982</v>
      </c>
      <c r="E1833" s="10">
        <f t="shared" si="86"/>
        <v>0.99971398130392963</v>
      </c>
    </row>
    <row r="1834" spans="1:5">
      <c r="A1834">
        <f t="shared" si="84"/>
        <v>1833</v>
      </c>
      <c r="B1834" t="str" cm="1">
        <f t="array" ref="B1834">INDEX('Enriched Data'!C:C,A1834+1)</f>
        <v>Black Diamond Experts</v>
      </c>
      <c r="C1834" s="11" cm="1">
        <f t="array" ref="C1834">INDEX('Enriched Data'!G:G,A1834+1)</f>
        <v>1495.61</v>
      </c>
      <c r="D1834" s="11">
        <f t="shared" si="85"/>
        <v>935295021.91999984</v>
      </c>
      <c r="E1834" s="10">
        <f t="shared" si="86"/>
        <v>0.99971557992744786</v>
      </c>
    </row>
    <row r="1835" spans="1:5">
      <c r="A1835">
        <f t="shared" si="84"/>
        <v>1834</v>
      </c>
      <c r="B1835" t="str" cm="1">
        <f t="array" ref="B1835">INDEX('Enriched Data'!C:C,A1835+1)</f>
        <v>Morrison Automotive Inc</v>
      </c>
      <c r="C1835" s="11" cm="1">
        <f t="array" ref="C1835">INDEX('Enriched Data'!G:G,A1835+1)</f>
        <v>1483.37</v>
      </c>
      <c r="D1835" s="11">
        <f t="shared" si="85"/>
        <v>935296505.28999984</v>
      </c>
      <c r="E1835" s="10">
        <f t="shared" si="86"/>
        <v>0.99971716546790834</v>
      </c>
    </row>
    <row r="1836" spans="1:5">
      <c r="A1836">
        <f t="shared" si="84"/>
        <v>1835</v>
      </c>
      <c r="B1836" t="str" cm="1">
        <f t="array" ref="B1836">INDEX('Enriched Data'!C:C,A1836+1)</f>
        <v>Mid-State Door Inc</v>
      </c>
      <c r="C1836" s="11" cm="1">
        <f t="array" ref="C1836">INDEX('Enriched Data'!G:G,A1836+1)</f>
        <v>1479.6</v>
      </c>
      <c r="D1836" s="11">
        <f t="shared" si="85"/>
        <v>935297984.88999987</v>
      </c>
      <c r="E1836" s="10">
        <f t="shared" si="86"/>
        <v>0.99971874697870167</v>
      </c>
    </row>
    <row r="1837" spans="1:5">
      <c r="A1837">
        <f t="shared" si="84"/>
        <v>1836</v>
      </c>
      <c r="B1837" t="str" cm="1">
        <f t="array" ref="B1837">INDEX('Enriched Data'!C:C,A1837+1)</f>
        <v>Colton Jones</v>
      </c>
      <c r="C1837" s="11" cm="1">
        <f t="array" ref="C1837">INDEX('Enriched Data'!G:G,A1837+1)</f>
        <v>1470.75</v>
      </c>
      <c r="D1837" s="11">
        <f t="shared" si="85"/>
        <v>935299455.63999987</v>
      </c>
      <c r="E1837" s="10">
        <f t="shared" si="86"/>
        <v>0.99972031902993119</v>
      </c>
    </row>
    <row r="1838" spans="1:5">
      <c r="A1838">
        <f t="shared" si="84"/>
        <v>1837</v>
      </c>
      <c r="B1838" t="str" cm="1">
        <f t="array" ref="B1838">INDEX('Enriched Data'!C:C,A1838+1)</f>
        <v>Impact Fire Services LLC</v>
      </c>
      <c r="C1838" s="11" cm="1">
        <f t="array" ref="C1838">INDEX('Enriched Data'!G:G,A1838+1)</f>
        <v>1470.54</v>
      </c>
      <c r="D1838" s="11">
        <f t="shared" si="85"/>
        <v>935300926.17999983</v>
      </c>
      <c r="E1838" s="10">
        <f t="shared" si="86"/>
        <v>0.99972189085669649</v>
      </c>
    </row>
    <row r="1839" spans="1:5">
      <c r="A1839">
        <f t="shared" si="84"/>
        <v>1838</v>
      </c>
      <c r="B1839" t="str" cm="1">
        <f t="array" ref="B1839">INDEX('Enriched Data'!C:C,A1839+1)</f>
        <v>OptiSigns Inc</v>
      </c>
      <c r="C1839" s="11" cm="1">
        <f t="array" ref="C1839">INDEX('Enriched Data'!G:G,A1839+1)</f>
        <v>1458</v>
      </c>
      <c r="D1839" s="11">
        <f t="shared" si="85"/>
        <v>935302384.17999983</v>
      </c>
      <c r="E1839" s="10">
        <f t="shared" si="86"/>
        <v>0.99972344927974099</v>
      </c>
    </row>
    <row r="1840" spans="1:5">
      <c r="A1840">
        <f t="shared" si="84"/>
        <v>1839</v>
      </c>
      <c r="B1840" t="str" cm="1">
        <f t="array" ref="B1840">INDEX('Enriched Data'!C:C,A1840+1)</f>
        <v>Elizabeth K Wright</v>
      </c>
      <c r="C1840" s="11" cm="1">
        <f t="array" ref="C1840">INDEX('Enriched Data'!G:G,A1840+1)</f>
        <v>1450</v>
      </c>
      <c r="D1840" s="11">
        <f t="shared" si="85"/>
        <v>935303834.17999983</v>
      </c>
      <c r="E1840" s="10">
        <f t="shared" si="86"/>
        <v>0.99972499915176738</v>
      </c>
    </row>
    <row r="1841" spans="1:5">
      <c r="A1841">
        <f t="shared" si="84"/>
        <v>1840</v>
      </c>
      <c r="B1841" t="str" cm="1">
        <f t="array" ref="B1841">INDEX('Enriched Data'!C:C,A1841+1)</f>
        <v>VIP Fire Sprinklers, Inc</v>
      </c>
      <c r="C1841" s="11" cm="1">
        <f t="array" ref="C1841">INDEX('Enriched Data'!G:G,A1841+1)</f>
        <v>1442.59</v>
      </c>
      <c r="D1841" s="11">
        <f t="shared" si="85"/>
        <v>935305276.76999986</v>
      </c>
      <c r="E1841" s="10">
        <f t="shared" si="86"/>
        <v>0.9997265411034133</v>
      </c>
    </row>
    <row r="1842" spans="1:5">
      <c r="A1842">
        <f t="shared" si="84"/>
        <v>1841</v>
      </c>
      <c r="B1842" t="str" cm="1">
        <f t="array" ref="B1842">INDEX('Enriched Data'!C:C,A1842+1)</f>
        <v>Dedicated Carriers, Inc.</v>
      </c>
      <c r="C1842" s="11" cm="1">
        <f t="array" ref="C1842">INDEX('Enriched Data'!G:G,A1842+1)</f>
        <v>1440</v>
      </c>
      <c r="D1842" s="11">
        <f t="shared" si="85"/>
        <v>935306716.76999986</v>
      </c>
      <c r="E1842" s="10">
        <f t="shared" si="86"/>
        <v>0.99972808028666704</v>
      </c>
    </row>
    <row r="1843" spans="1:5">
      <c r="A1843">
        <f t="shared" si="84"/>
        <v>1842</v>
      </c>
      <c r="B1843" t="str" cm="1">
        <f t="array" ref="B1843">INDEX('Enriched Data'!C:C,A1843+1)</f>
        <v>Logistic Transit Solutions, Inc.</v>
      </c>
      <c r="C1843" s="11" cm="1">
        <f t="array" ref="C1843">INDEX('Enriched Data'!G:G,A1843+1)</f>
        <v>1440</v>
      </c>
      <c r="D1843" s="11">
        <f t="shared" si="85"/>
        <v>935308156.76999986</v>
      </c>
      <c r="E1843" s="10">
        <f t="shared" si="86"/>
        <v>0.99972961946992089</v>
      </c>
    </row>
    <row r="1844" spans="1:5">
      <c r="A1844">
        <f t="shared" si="84"/>
        <v>1843</v>
      </c>
      <c r="B1844" t="str" cm="1">
        <f t="array" ref="B1844">INDEX('Enriched Data'!C:C,A1844+1)</f>
        <v>First Fire &amp; Safety Enterprises LLC</v>
      </c>
      <c r="C1844" s="11" cm="1">
        <f t="array" ref="C1844">INDEX('Enriched Data'!G:G,A1844+1)</f>
        <v>1439.57</v>
      </c>
      <c r="D1844" s="11">
        <f t="shared" si="85"/>
        <v>935309596.33999991</v>
      </c>
      <c r="E1844" s="10">
        <f t="shared" si="86"/>
        <v>0.99973115819355751</v>
      </c>
    </row>
    <row r="1845" spans="1:5">
      <c r="A1845">
        <f t="shared" si="84"/>
        <v>1844</v>
      </c>
      <c r="B1845" t="str" cm="1">
        <f t="array" ref="B1845">INDEX('Enriched Data'!C:C,A1845+1)</f>
        <v>Central Carolina Scale, Inc</v>
      </c>
      <c r="C1845" s="11" cm="1">
        <f t="array" ref="C1845">INDEX('Enriched Data'!G:G,A1845+1)</f>
        <v>1438.99</v>
      </c>
      <c r="D1845" s="11">
        <f t="shared" si="85"/>
        <v>935311035.32999992</v>
      </c>
      <c r="E1845" s="10">
        <f t="shared" si="86"/>
        <v>0.99973269629724526</v>
      </c>
    </row>
    <row r="1846" spans="1:5">
      <c r="A1846">
        <f t="shared" si="84"/>
        <v>1845</v>
      </c>
      <c r="B1846" t="str" cm="1">
        <f t="array" ref="B1846">INDEX('Enriched Data'!C:C,A1846+1)</f>
        <v>Pelican Air Commercial Serv</v>
      </c>
      <c r="C1846" s="11" cm="1">
        <f t="array" ref="C1846">INDEX('Enriched Data'!G:G,A1846+1)</f>
        <v>1419.95</v>
      </c>
      <c r="D1846" s="11">
        <f t="shared" si="85"/>
        <v>935312455.27999997</v>
      </c>
      <c r="E1846" s="10">
        <f t="shared" si="86"/>
        <v>0.99973421404951002</v>
      </c>
    </row>
    <row r="1847" spans="1:5">
      <c r="A1847">
        <f t="shared" si="84"/>
        <v>1846</v>
      </c>
      <c r="B1847" t="str" cm="1">
        <f t="array" ref="B1847">INDEX('Enriched Data'!C:C,A1847+1)</f>
        <v>American Protective Systems, Inc.</v>
      </c>
      <c r="C1847" s="11" cm="1">
        <f t="array" ref="C1847">INDEX('Enriched Data'!G:G,A1847+1)</f>
        <v>1405.61</v>
      </c>
      <c r="D1847" s="11">
        <f t="shared" si="85"/>
        <v>935313860.88999999</v>
      </c>
      <c r="E1847" s="10">
        <f t="shared" si="86"/>
        <v>0.99973571647407489</v>
      </c>
    </row>
    <row r="1848" spans="1:5">
      <c r="A1848">
        <f t="shared" si="84"/>
        <v>1847</v>
      </c>
      <c r="B1848" t="str" cm="1">
        <f t="array" ref="B1848">INDEX('Enriched Data'!C:C,A1848+1)</f>
        <v>A&amp;B Portable Toilets, LLC</v>
      </c>
      <c r="C1848" s="11" cm="1">
        <f t="array" ref="C1848">INDEX('Enriched Data'!G:G,A1848+1)</f>
        <v>1400</v>
      </c>
      <c r="D1848" s="11">
        <f t="shared" si="85"/>
        <v>935315260.88999999</v>
      </c>
      <c r="E1848" s="10">
        <f t="shared" si="86"/>
        <v>0.99973721290223827</v>
      </c>
    </row>
    <row r="1849" spans="1:5">
      <c r="A1849">
        <f t="shared" si="84"/>
        <v>1848</v>
      </c>
      <c r="B1849" t="str" cm="1">
        <f t="array" ref="B1849">INDEX('Enriched Data'!C:C,A1849+1)</f>
        <v>Suri Towing LLC</v>
      </c>
      <c r="C1849" s="11" cm="1">
        <f t="array" ref="C1849">INDEX('Enriched Data'!G:G,A1849+1)</f>
        <v>1400</v>
      </c>
      <c r="D1849" s="11">
        <f t="shared" si="85"/>
        <v>935316660.88999999</v>
      </c>
      <c r="E1849" s="10">
        <f t="shared" si="86"/>
        <v>0.99973870933040176</v>
      </c>
    </row>
    <row r="1850" spans="1:5">
      <c r="A1850">
        <f t="shared" si="84"/>
        <v>1849</v>
      </c>
      <c r="B1850" t="str" cm="1">
        <f t="array" ref="B1850">INDEX('Enriched Data'!C:C,A1850+1)</f>
        <v>GA Cayman Holdco LLC</v>
      </c>
      <c r="C1850" s="11" cm="1">
        <f t="array" ref="C1850">INDEX('Enriched Data'!G:G,A1850+1)</f>
        <v>1396.42</v>
      </c>
      <c r="D1850" s="11">
        <f t="shared" si="85"/>
        <v>935318057.30999994</v>
      </c>
      <c r="E1850" s="10">
        <f t="shared" si="86"/>
        <v>0.99974020193198454</v>
      </c>
    </row>
    <row r="1851" spans="1:5">
      <c r="A1851">
        <f t="shared" si="84"/>
        <v>1850</v>
      </c>
      <c r="B1851" t="str" cm="1">
        <f t="array" ref="B1851">INDEX('Enriched Data'!C:C,A1851+1)</f>
        <v>Quench Canada Inc.</v>
      </c>
      <c r="C1851" s="11" cm="1">
        <f t="array" ref="C1851">INDEX('Enriched Data'!G:G,A1851+1)</f>
        <v>1389.31</v>
      </c>
      <c r="D1851" s="11">
        <f t="shared" si="85"/>
        <v>935319446.61999989</v>
      </c>
      <c r="E1851" s="10">
        <f t="shared" si="86"/>
        <v>0.9997416869338499</v>
      </c>
    </row>
    <row r="1852" spans="1:5">
      <c r="A1852">
        <f t="shared" si="84"/>
        <v>1851</v>
      </c>
      <c r="B1852" t="str" cm="1">
        <f t="array" ref="B1852">INDEX('Enriched Data'!C:C,A1852+1)</f>
        <v>AA Advance Air Inc.</v>
      </c>
      <c r="C1852" s="11" cm="1">
        <f t="array" ref="C1852">INDEX('Enriched Data'!G:G,A1852+1)</f>
        <v>1380</v>
      </c>
      <c r="D1852" s="11">
        <f t="shared" si="85"/>
        <v>935320826.61999989</v>
      </c>
      <c r="E1852" s="10">
        <f t="shared" si="86"/>
        <v>0.99974316198446811</v>
      </c>
    </row>
    <row r="1853" spans="1:5">
      <c r="A1853">
        <f t="shared" si="84"/>
        <v>1852</v>
      </c>
      <c r="B1853" t="str" cm="1">
        <f t="array" ref="B1853">INDEX('Enriched Data'!C:C,A1853+1)</f>
        <v>Allstate Fire Protection</v>
      </c>
      <c r="C1853" s="11" cm="1">
        <f t="array" ref="C1853">INDEX('Enriched Data'!G:G,A1853+1)</f>
        <v>1369.92</v>
      </c>
      <c r="D1853" s="11">
        <f t="shared" si="85"/>
        <v>935322196.53999984</v>
      </c>
      <c r="E1853" s="10">
        <f t="shared" si="86"/>
        <v>0.99974462626080352</v>
      </c>
    </row>
    <row r="1854" spans="1:5">
      <c r="A1854">
        <f t="shared" si="84"/>
        <v>1853</v>
      </c>
      <c r="B1854" t="str" cm="1">
        <f t="array" ref="B1854">INDEX('Enriched Data'!C:C,A1854+1)</f>
        <v>Military Officers Assoc of America</v>
      </c>
      <c r="C1854" s="11" cm="1">
        <f t="array" ref="C1854">INDEX('Enriched Data'!G:G,A1854+1)</f>
        <v>1367.2</v>
      </c>
      <c r="D1854" s="11">
        <f t="shared" si="85"/>
        <v>935323563.73999989</v>
      </c>
      <c r="E1854" s="10">
        <f t="shared" si="86"/>
        <v>0.99974608762979289</v>
      </c>
    </row>
    <row r="1855" spans="1:5">
      <c r="A1855">
        <f t="shared" si="84"/>
        <v>1854</v>
      </c>
      <c r="B1855" t="str" cm="1">
        <f t="array" ref="B1855">INDEX('Enriched Data'!C:C,A1855+1)</f>
        <v>Boston Area Door Co</v>
      </c>
      <c r="C1855" s="11" cm="1">
        <f t="array" ref="C1855">INDEX('Enriched Data'!G:G,A1855+1)</f>
        <v>1361.59</v>
      </c>
      <c r="D1855" s="11">
        <f t="shared" si="85"/>
        <v>935324925.32999992</v>
      </c>
      <c r="E1855" s="10">
        <f t="shared" si="86"/>
        <v>0.99974754300238078</v>
      </c>
    </row>
    <row r="1856" spans="1:5">
      <c r="A1856">
        <f t="shared" si="84"/>
        <v>1855</v>
      </c>
      <c r="B1856" t="str" cm="1">
        <f t="array" ref="B1856">INDEX('Enriched Data'!C:C,A1856+1)</f>
        <v>Summit Fire Protection</v>
      </c>
      <c r="C1856" s="11" cm="1">
        <f t="array" ref="C1856">INDEX('Enriched Data'!G:G,A1856+1)</f>
        <v>1360.85</v>
      </c>
      <c r="D1856" s="11">
        <f t="shared" si="85"/>
        <v>935326286.17999995</v>
      </c>
      <c r="E1856" s="10">
        <f t="shared" si="86"/>
        <v>0.99974899758399949</v>
      </c>
    </row>
    <row r="1857" spans="1:5">
      <c r="A1857">
        <f t="shared" si="84"/>
        <v>1856</v>
      </c>
      <c r="B1857" t="str" cm="1">
        <f t="array" ref="B1857">INDEX('Enriched Data'!C:C,A1857+1)</f>
        <v>Cardinal Integrated Systems</v>
      </c>
      <c r="C1857" s="11" cm="1">
        <f t="array" ref="C1857">INDEX('Enriched Data'!G:G,A1857+1)</f>
        <v>1356.8</v>
      </c>
      <c r="D1857" s="11">
        <f t="shared" si="85"/>
        <v>935327642.9799999</v>
      </c>
      <c r="E1857" s="10">
        <f t="shared" si="86"/>
        <v>0.99975044783666522</v>
      </c>
    </row>
    <row r="1858" spans="1:5">
      <c r="A1858">
        <f t="shared" si="84"/>
        <v>1857</v>
      </c>
      <c r="B1858" t="str" cm="1">
        <f t="array" ref="B1858">INDEX('Enriched Data'!C:C,A1858+1)</f>
        <v>Shalysse Webster</v>
      </c>
      <c r="C1858" s="11" cm="1">
        <f t="array" ref="C1858">INDEX('Enriched Data'!G:G,A1858+1)</f>
        <v>1344.13</v>
      </c>
      <c r="D1858" s="11">
        <f t="shared" si="85"/>
        <v>935328987.1099999</v>
      </c>
      <c r="E1858" s="10">
        <f t="shared" si="86"/>
        <v>0.9997518845466562</v>
      </c>
    </row>
    <row r="1859" spans="1:5">
      <c r="A1859">
        <f t="shared" si="84"/>
        <v>1858</v>
      </c>
      <c r="B1859" t="str" cm="1">
        <f t="array" ref="B1859">INDEX('Enriched Data'!C:C,A1859+1)</f>
        <v>PHPA</v>
      </c>
      <c r="C1859" s="11" cm="1">
        <f t="array" ref="C1859">INDEX('Enriched Data'!G:G,A1859+1)</f>
        <v>1330.51</v>
      </c>
      <c r="D1859" s="11">
        <f t="shared" si="85"/>
        <v>935330317.61999989</v>
      </c>
      <c r="E1859" s="10">
        <f t="shared" si="86"/>
        <v>0.99975330669853879</v>
      </c>
    </row>
    <row r="1860" spans="1:5">
      <c r="A1860">
        <f t="shared" ref="A1860:A1923" si="87">A1859+1</f>
        <v>1859</v>
      </c>
      <c r="B1860" t="str" cm="1">
        <f t="array" ref="B1860">INDEX('Enriched Data'!C:C,A1860+1)</f>
        <v>Kenron Industrial AC, .</v>
      </c>
      <c r="C1860" s="11" cm="1">
        <f t="array" ref="C1860">INDEX('Enriched Data'!G:G,A1860+1)</f>
        <v>1327.91</v>
      </c>
      <c r="D1860" s="11">
        <f t="shared" ref="D1860:D1923" si="88">D1859+C1860</f>
        <v>935331645.52999985</v>
      </c>
      <c r="E1860" s="10">
        <f t="shared" ref="E1860:E1923" si="89">D1860/$F$2</f>
        <v>0.99975472607134053</v>
      </c>
    </row>
    <row r="1861" spans="1:5">
      <c r="A1861">
        <f t="shared" si="87"/>
        <v>1860</v>
      </c>
      <c r="B1861" t="str" cm="1">
        <f t="array" ref="B1861">INDEX('Enriched Data'!C:C,A1861+1)</f>
        <v>Maintenance One 1, Inc</v>
      </c>
      <c r="C1861" s="11" cm="1">
        <f t="array" ref="C1861">INDEX('Enriched Data'!G:G,A1861+1)</f>
        <v>1326.8</v>
      </c>
      <c r="D1861" s="11">
        <f t="shared" si="88"/>
        <v>935332972.3299998</v>
      </c>
      <c r="E1861" s="10">
        <f t="shared" si="89"/>
        <v>0.99975614425768855</v>
      </c>
    </row>
    <row r="1862" spans="1:5">
      <c r="A1862">
        <f t="shared" si="87"/>
        <v>1861</v>
      </c>
      <c r="B1862" t="str" cm="1">
        <f t="array" ref="B1862">INDEX('Enriched Data'!C:C,A1862+1)</f>
        <v>Sierra Springs</v>
      </c>
      <c r="C1862" s="11" cm="1">
        <f t="array" ref="C1862">INDEX('Enriched Data'!G:G,A1862+1)</f>
        <v>1325.33</v>
      </c>
      <c r="D1862" s="11">
        <f t="shared" si="88"/>
        <v>935334297.65999985</v>
      </c>
      <c r="E1862" s="10">
        <f t="shared" si="89"/>
        <v>0.999757560872787</v>
      </c>
    </row>
    <row r="1863" spans="1:5">
      <c r="A1863">
        <f t="shared" si="87"/>
        <v>1862</v>
      </c>
      <c r="B1863" t="str" cm="1">
        <f t="array" ref="B1863">INDEX('Enriched Data'!C:C,A1863+1)</f>
        <v>AQUA 3 LLC</v>
      </c>
      <c r="C1863" s="11" cm="1">
        <f t="array" ref="C1863">INDEX('Enriched Data'!G:G,A1863+1)</f>
        <v>1322.53</v>
      </c>
      <c r="D1863" s="11">
        <f t="shared" si="88"/>
        <v>935335620.18999982</v>
      </c>
      <c r="E1863" s="10">
        <f t="shared" si="89"/>
        <v>0.99975897449502904</v>
      </c>
    </row>
    <row r="1864" spans="1:5">
      <c r="A1864">
        <f t="shared" si="87"/>
        <v>1863</v>
      </c>
      <c r="B1864" t="str" cm="1">
        <f t="array" ref="B1864">INDEX('Enriched Data'!C:C,A1864+1)</f>
        <v>Analytical Resources, Inc</v>
      </c>
      <c r="C1864" s="11" cm="1">
        <f t="array" ref="C1864">INDEX('Enriched Data'!G:G,A1864+1)</f>
        <v>1320</v>
      </c>
      <c r="D1864" s="11">
        <f t="shared" si="88"/>
        <v>935336940.18999982</v>
      </c>
      <c r="E1864" s="10">
        <f t="shared" si="89"/>
        <v>0.99976038541301171</v>
      </c>
    </row>
    <row r="1865" spans="1:5">
      <c r="A1865">
        <f t="shared" si="87"/>
        <v>1864</v>
      </c>
      <c r="B1865" t="str" cm="1">
        <f t="array" ref="B1865">INDEX('Enriched Data'!C:C,A1865+1)</f>
        <v>MSS Solutions, LLC</v>
      </c>
      <c r="C1865" s="11" cm="1">
        <f t="array" ref="C1865">INDEX('Enriched Data'!G:G,A1865+1)</f>
        <v>1304.08</v>
      </c>
      <c r="D1865" s="11">
        <f t="shared" si="88"/>
        <v>935338244.26999986</v>
      </c>
      <c r="E1865" s="10">
        <f t="shared" si="89"/>
        <v>0.99976177931446841</v>
      </c>
    </row>
    <row r="1866" spans="1:5">
      <c r="A1866">
        <f t="shared" si="87"/>
        <v>1865</v>
      </c>
      <c r="B1866" t="str" cm="1">
        <f t="array" ref="B1866">INDEX('Enriched Data'!C:C,A1866+1)</f>
        <v>Adam Stacharowkski</v>
      </c>
      <c r="C1866" s="11" cm="1">
        <f t="array" ref="C1866">INDEX('Enriched Data'!G:G,A1866+1)</f>
        <v>1300</v>
      </c>
      <c r="D1866" s="11">
        <f t="shared" si="88"/>
        <v>935339544.26999986</v>
      </c>
      <c r="E1866" s="10">
        <f t="shared" si="89"/>
        <v>0.9997631688549059</v>
      </c>
    </row>
    <row r="1867" spans="1:5">
      <c r="A1867">
        <f t="shared" si="87"/>
        <v>1866</v>
      </c>
      <c r="B1867" t="str" cm="1">
        <f t="array" ref="B1867">INDEX('Enriched Data'!C:C,A1867+1)</f>
        <v>DFH Company</v>
      </c>
      <c r="C1867" s="11" cm="1">
        <f t="array" ref="C1867">INDEX('Enriched Data'!G:G,A1867+1)</f>
        <v>1300</v>
      </c>
      <c r="D1867" s="11">
        <f t="shared" si="88"/>
        <v>935340844.26999986</v>
      </c>
      <c r="E1867" s="10">
        <f t="shared" si="89"/>
        <v>0.99976455839534328</v>
      </c>
    </row>
    <row r="1868" spans="1:5">
      <c r="A1868">
        <f t="shared" si="87"/>
        <v>1867</v>
      </c>
      <c r="B1868" t="str" cm="1">
        <f t="array" ref="B1868">INDEX('Enriched Data'!C:C,A1868+1)</f>
        <v>MakeMyMove.com</v>
      </c>
      <c r="C1868" s="11" cm="1">
        <f t="array" ref="C1868">INDEX('Enriched Data'!G:G,A1868+1)</f>
        <v>1282.1600000000001</v>
      </c>
      <c r="D1868" s="11">
        <f t="shared" si="88"/>
        <v>935342126.42999983</v>
      </c>
      <c r="E1868" s="10">
        <f t="shared" si="89"/>
        <v>0.99976592886701043</v>
      </c>
    </row>
    <row r="1869" spans="1:5">
      <c r="A1869">
        <f t="shared" si="87"/>
        <v>1868</v>
      </c>
      <c r="B1869" t="str" cm="1">
        <f t="array" ref="B1869">INDEX('Enriched Data'!C:C,A1869+1)</f>
        <v>Parrish Cleaning Services, Inc</v>
      </c>
      <c r="C1869" s="11" cm="1">
        <f t="array" ref="C1869">INDEX('Enriched Data'!G:G,A1869+1)</f>
        <v>1280</v>
      </c>
      <c r="D1869" s="11">
        <f t="shared" si="88"/>
        <v>935343406.42999983</v>
      </c>
      <c r="E1869" s="10">
        <f t="shared" si="89"/>
        <v>0.99976729702990275</v>
      </c>
    </row>
    <row r="1870" spans="1:5">
      <c r="A1870">
        <f t="shared" si="87"/>
        <v>1869</v>
      </c>
      <c r="B1870" t="str" cm="1">
        <f t="array" ref="B1870">INDEX('Enriched Data'!C:C,A1870+1)</f>
        <v>Modern Piping, Inc.</v>
      </c>
      <c r="C1870" s="11" cm="1">
        <f t="array" ref="C1870">INDEX('Enriched Data'!G:G,A1870+1)</f>
        <v>1278.4100000000001</v>
      </c>
      <c r="D1870" s="11">
        <f t="shared" si="88"/>
        <v>935344684.83999979</v>
      </c>
      <c r="E1870" s="10">
        <f t="shared" si="89"/>
        <v>0.99976866349328009</v>
      </c>
    </row>
    <row r="1871" spans="1:5">
      <c r="A1871">
        <f t="shared" si="87"/>
        <v>1870</v>
      </c>
      <c r="B1871" t="str" cm="1">
        <f t="array" ref="B1871">INDEX('Enriched Data'!C:C,A1871+1)</f>
        <v>Swan Dust Control LTD</v>
      </c>
      <c r="C1871" s="11" cm="1">
        <f t="array" ref="C1871">INDEX('Enriched Data'!G:G,A1871+1)</f>
        <v>1272.08</v>
      </c>
      <c r="D1871" s="11">
        <f t="shared" si="88"/>
        <v>935345956.91999984</v>
      </c>
      <c r="E1871" s="10">
        <f t="shared" si="89"/>
        <v>0.99977002319066444</v>
      </c>
    </row>
    <row r="1872" spans="1:5">
      <c r="A1872">
        <f t="shared" si="87"/>
        <v>1871</v>
      </c>
      <c r="B1872" t="str" cm="1">
        <f t="array" ref="B1872">INDEX('Enriched Data'!C:C,A1872+1)</f>
        <v>Elite Towing LLC</v>
      </c>
      <c r="C1872" s="11" cm="1">
        <f t="array" ref="C1872">INDEX('Enriched Data'!G:G,A1872+1)</f>
        <v>1268.75</v>
      </c>
      <c r="D1872" s="11">
        <f t="shared" si="88"/>
        <v>935347225.66999984</v>
      </c>
      <c r="E1872" s="10">
        <f t="shared" si="89"/>
        <v>0.99977137932868754</v>
      </c>
    </row>
    <row r="1873" spans="1:5">
      <c r="A1873">
        <f t="shared" si="87"/>
        <v>1872</v>
      </c>
      <c r="B1873" t="str" cm="1">
        <f t="array" ref="B1873">INDEX('Enriched Data'!C:C,A1873+1)</f>
        <v>Archibald Relocation</v>
      </c>
      <c r="C1873" s="11" cm="1">
        <f t="array" ref="C1873">INDEX('Enriched Data'!G:G,A1873+1)</f>
        <v>1263.18</v>
      </c>
      <c r="D1873" s="11">
        <f t="shared" si="88"/>
        <v>935348488.84999979</v>
      </c>
      <c r="E1873" s="10">
        <f t="shared" si="89"/>
        <v>0.99977272951306428</v>
      </c>
    </row>
    <row r="1874" spans="1:5">
      <c r="A1874">
        <f t="shared" si="87"/>
        <v>1873</v>
      </c>
      <c r="B1874" t="str" cm="1">
        <f t="array" ref="B1874">INDEX('Enriched Data'!C:C,A1874+1)</f>
        <v>INS Insurance, Inc.</v>
      </c>
      <c r="C1874" s="11" cm="1">
        <f t="array" ref="C1874">INDEX('Enriched Data'!G:G,A1874+1)</f>
        <v>1254.52</v>
      </c>
      <c r="D1874" s="11">
        <f t="shared" si="88"/>
        <v>935349743.36999977</v>
      </c>
      <c r="E1874" s="10">
        <f t="shared" si="89"/>
        <v>0.99977407044096389</v>
      </c>
    </row>
    <row r="1875" spans="1:5">
      <c r="A1875">
        <f t="shared" si="87"/>
        <v>1874</v>
      </c>
      <c r="B1875" t="str" cm="1">
        <f t="array" ref="B1875">INDEX('Enriched Data'!C:C,A1875+1)</f>
        <v>Wellington Dock &amp; Door Ltd.</v>
      </c>
      <c r="C1875" s="11" cm="1">
        <f t="array" ref="C1875">INDEX('Enriched Data'!G:G,A1875+1)</f>
        <v>1252.8499999999999</v>
      </c>
      <c r="D1875" s="11">
        <f t="shared" si="88"/>
        <v>935350996.21999979</v>
      </c>
      <c r="E1875" s="10">
        <f t="shared" si="89"/>
        <v>0.99977540958383859</v>
      </c>
    </row>
    <row r="1876" spans="1:5">
      <c r="A1876">
        <f t="shared" si="87"/>
        <v>1875</v>
      </c>
      <c r="B1876" t="str" cm="1">
        <f t="array" ref="B1876">INDEX('Enriched Data'!C:C,A1876+1)</f>
        <v>Appalachian Springs Bottles Water</v>
      </c>
      <c r="C1876" s="11" cm="1">
        <f t="array" ref="C1876">INDEX('Enriched Data'!G:G,A1876+1)</f>
        <v>1250.17</v>
      </c>
      <c r="D1876" s="11">
        <f t="shared" si="88"/>
        <v>935352246.38999975</v>
      </c>
      <c r="E1876" s="10">
        <f t="shared" si="89"/>
        <v>0.99977674586212217</v>
      </c>
    </row>
    <row r="1877" spans="1:5">
      <c r="A1877">
        <f t="shared" si="87"/>
        <v>1876</v>
      </c>
      <c r="B1877" t="str" cm="1">
        <f t="array" ref="B1877">INDEX('Enriched Data'!C:C,A1877+1)</f>
        <v>Ace Transportation Systems, LLC</v>
      </c>
      <c r="C1877" s="11" cm="1">
        <f t="array" ref="C1877">INDEX('Enriched Data'!G:G,A1877+1)</f>
        <v>1250</v>
      </c>
      <c r="D1877" s="11">
        <f t="shared" si="88"/>
        <v>935353496.38999975</v>
      </c>
      <c r="E1877" s="10">
        <f t="shared" si="89"/>
        <v>0.99977808195869666</v>
      </c>
    </row>
    <row r="1878" spans="1:5">
      <c r="A1878">
        <f t="shared" si="87"/>
        <v>1877</v>
      </c>
      <c r="B1878" t="str" cm="1">
        <f t="array" ref="B1878">INDEX('Enriched Data'!C:C,A1878+1)</f>
        <v>DTI Transport LTD</v>
      </c>
      <c r="C1878" s="11" cm="1">
        <f t="array" ref="C1878">INDEX('Enriched Data'!G:G,A1878+1)</f>
        <v>1250</v>
      </c>
      <c r="D1878" s="11">
        <f t="shared" si="88"/>
        <v>935354746.38999975</v>
      </c>
      <c r="E1878" s="10">
        <f t="shared" si="89"/>
        <v>0.99977941805527115</v>
      </c>
    </row>
    <row r="1879" spans="1:5">
      <c r="A1879">
        <f t="shared" si="87"/>
        <v>1878</v>
      </c>
      <c r="B1879" t="str" cm="1">
        <f t="array" ref="B1879">INDEX('Enriched Data'!C:C,A1879+1)</f>
        <v>Overhead Door Co. of Harrisburg-Yor</v>
      </c>
      <c r="C1879" s="11" cm="1">
        <f t="array" ref="C1879">INDEX('Enriched Data'!G:G,A1879+1)</f>
        <v>1243.45</v>
      </c>
      <c r="D1879" s="11">
        <f t="shared" si="88"/>
        <v>935355989.83999979</v>
      </c>
      <c r="E1879" s="10">
        <f t="shared" si="89"/>
        <v>0.99978074715069964</v>
      </c>
    </row>
    <row r="1880" spans="1:5">
      <c r="A1880">
        <f t="shared" si="87"/>
        <v>1879</v>
      </c>
      <c r="B1880" t="str" cm="1">
        <f t="array" ref="B1880">INDEX('Enriched Data'!C:C,A1880+1)</f>
        <v>Uinta Disposal</v>
      </c>
      <c r="C1880" s="11" cm="1">
        <f t="array" ref="C1880">INDEX('Enriched Data'!G:G,A1880+1)</f>
        <v>1231.73</v>
      </c>
      <c r="D1880" s="11">
        <f t="shared" si="88"/>
        <v>935357221.56999981</v>
      </c>
      <c r="E1880" s="10">
        <f t="shared" si="89"/>
        <v>0.99978206371888656</v>
      </c>
    </row>
    <row r="1881" spans="1:5">
      <c r="A1881">
        <f t="shared" si="87"/>
        <v>1880</v>
      </c>
      <c r="B1881" t="str" cm="1">
        <f t="array" ref="B1881">INDEX('Enriched Data'!C:C,A1881+1)</f>
        <v>Overhead Door of Lansing</v>
      </c>
      <c r="C1881" s="11" cm="1">
        <f t="array" ref="C1881">INDEX('Enriched Data'!G:G,A1881+1)</f>
        <v>1229.2</v>
      </c>
      <c r="D1881" s="11">
        <f t="shared" si="88"/>
        <v>935358450.76999986</v>
      </c>
      <c r="E1881" s="10">
        <f t="shared" si="89"/>
        <v>0.9997833775828141</v>
      </c>
    </row>
    <row r="1882" spans="1:5">
      <c r="A1882">
        <f t="shared" si="87"/>
        <v>1881</v>
      </c>
      <c r="B1882" t="str" cm="1">
        <f t="array" ref="B1882">INDEX('Enriched Data'!C:C,A1882+1)</f>
        <v>Hums Hardware &amp; Rental</v>
      </c>
      <c r="C1882" s="11" cm="1">
        <f t="array" ref="C1882">INDEX('Enriched Data'!G:G,A1882+1)</f>
        <v>1200.96</v>
      </c>
      <c r="D1882" s="11">
        <f t="shared" si="88"/>
        <v>935359651.7299999</v>
      </c>
      <c r="E1882" s="10">
        <f t="shared" si="89"/>
        <v>0.99978466126164778</v>
      </c>
    </row>
    <row r="1883" spans="1:5">
      <c r="A1883">
        <f t="shared" si="87"/>
        <v>1882</v>
      </c>
      <c r="B1883" t="str" cm="1">
        <f t="array" ref="B1883">INDEX('Enriched Data'!C:C,A1883+1)</f>
        <v>Centennial High School Athletic Boo</v>
      </c>
      <c r="C1883" s="11" cm="1">
        <f t="array" ref="C1883">INDEX('Enriched Data'!G:G,A1883+1)</f>
        <v>1200</v>
      </c>
      <c r="D1883" s="11">
        <f t="shared" si="88"/>
        <v>935360851.7299999</v>
      </c>
      <c r="E1883" s="10">
        <f t="shared" si="89"/>
        <v>0.99978594391435927</v>
      </c>
    </row>
    <row r="1884" spans="1:5">
      <c r="A1884">
        <f t="shared" si="87"/>
        <v>1883</v>
      </c>
      <c r="B1884" t="str" cm="1">
        <f t="array" ref="B1884">INDEX('Enriched Data'!C:C,A1884+1)</f>
        <v>Village Of Westchester</v>
      </c>
      <c r="C1884" s="11" cm="1">
        <f t="array" ref="C1884">INDEX('Enriched Data'!G:G,A1884+1)</f>
        <v>1200</v>
      </c>
      <c r="D1884" s="11">
        <f t="shared" si="88"/>
        <v>935362051.7299999</v>
      </c>
      <c r="E1884" s="10">
        <f t="shared" si="89"/>
        <v>0.99978722656707075</v>
      </c>
    </row>
    <row r="1885" spans="1:5">
      <c r="A1885">
        <f t="shared" si="87"/>
        <v>1884</v>
      </c>
      <c r="B1885" t="str" cm="1">
        <f t="array" ref="B1885">INDEX('Enriched Data'!C:C,A1885+1)</f>
        <v>Capital City Moving &amp; Storage</v>
      </c>
      <c r="C1885" s="11" cm="1">
        <f t="array" ref="C1885">INDEX('Enriched Data'!G:G,A1885+1)</f>
        <v>1196.1199999999999</v>
      </c>
      <c r="D1885" s="11">
        <f t="shared" si="88"/>
        <v>935363247.8499999</v>
      </c>
      <c r="E1885" s="10">
        <f t="shared" si="89"/>
        <v>0.99978850507253858</v>
      </c>
    </row>
    <row r="1886" spans="1:5">
      <c r="A1886">
        <f t="shared" si="87"/>
        <v>1885</v>
      </c>
      <c r="B1886" t="str" cm="1">
        <f t="array" ref="B1886">INDEX('Enriched Data'!C:C,A1886+1)</f>
        <v>Dixie Electric Company, Inc.</v>
      </c>
      <c r="C1886" s="11" cm="1">
        <f t="array" ref="C1886">INDEX('Enriched Data'!G:G,A1886+1)</f>
        <v>1192.5</v>
      </c>
      <c r="D1886" s="11">
        <f t="shared" si="88"/>
        <v>935364440.3499999</v>
      </c>
      <c r="E1886" s="10">
        <f t="shared" si="89"/>
        <v>0.99978977970867056</v>
      </c>
    </row>
    <row r="1887" spans="1:5">
      <c r="A1887">
        <f t="shared" si="87"/>
        <v>1886</v>
      </c>
      <c r="B1887" t="str" cm="1">
        <f t="array" ref="B1887">INDEX('Enriched Data'!C:C,A1887+1)</f>
        <v>Jose Garcia dba Edens Lawn Service</v>
      </c>
      <c r="C1887" s="11" cm="1">
        <f t="array" ref="C1887">INDEX('Enriched Data'!G:G,A1887+1)</f>
        <v>1185</v>
      </c>
      <c r="D1887" s="11">
        <f t="shared" si="88"/>
        <v>935365625.3499999</v>
      </c>
      <c r="E1887" s="10">
        <f t="shared" si="89"/>
        <v>0.99979104632822313</v>
      </c>
    </row>
    <row r="1888" spans="1:5">
      <c r="A1888">
        <f t="shared" si="87"/>
        <v>1887</v>
      </c>
      <c r="B1888" t="str" cm="1">
        <f t="array" ref="B1888">INDEX('Enriched Data'!C:C,A1888+1)</f>
        <v>United Mechanical Corporation</v>
      </c>
      <c r="C1888" s="11" cm="1">
        <f t="array" ref="C1888">INDEX('Enriched Data'!G:G,A1888+1)</f>
        <v>1182.3499999999999</v>
      </c>
      <c r="D1888" s="11">
        <f t="shared" si="88"/>
        <v>935366807.69999993</v>
      </c>
      <c r="E1888" s="10">
        <f t="shared" si="89"/>
        <v>0.99979231011525105</v>
      </c>
    </row>
    <row r="1889" spans="1:5">
      <c r="A1889">
        <f t="shared" si="87"/>
        <v>1888</v>
      </c>
      <c r="B1889" t="str" cm="1">
        <f t="array" ref="B1889">INDEX('Enriched Data'!C:C,A1889+1)</f>
        <v>Taylor Enterprises</v>
      </c>
      <c r="C1889" s="11" cm="1">
        <f t="array" ref="C1889">INDEX('Enriched Data'!G:G,A1889+1)</f>
        <v>1172.27</v>
      </c>
      <c r="D1889" s="11">
        <f t="shared" si="88"/>
        <v>935367979.96999991</v>
      </c>
      <c r="E1889" s="10">
        <f t="shared" si="89"/>
        <v>0.99979356312799617</v>
      </c>
    </row>
    <row r="1890" spans="1:5">
      <c r="A1890">
        <f t="shared" si="87"/>
        <v>1889</v>
      </c>
      <c r="B1890" t="str" cm="1">
        <f t="array" ref="B1890">INDEX('Enriched Data'!C:C,A1890+1)</f>
        <v>Danias Cleaning Services</v>
      </c>
      <c r="C1890" s="11" cm="1">
        <f t="array" ref="C1890">INDEX('Enriched Data'!G:G,A1890+1)</f>
        <v>1170</v>
      </c>
      <c r="D1890" s="11">
        <f t="shared" si="88"/>
        <v>935369149.96999991</v>
      </c>
      <c r="E1890" s="10">
        <f t="shared" si="89"/>
        <v>0.99979481371438983</v>
      </c>
    </row>
    <row r="1891" spans="1:5">
      <c r="A1891">
        <f t="shared" si="87"/>
        <v>1890</v>
      </c>
      <c r="B1891" t="str" cm="1">
        <f t="array" ref="B1891">INDEX('Enriched Data'!C:C,A1891+1)</f>
        <v>Rochelle Hayden</v>
      </c>
      <c r="C1891" s="11" cm="1">
        <f t="array" ref="C1891">INDEX('Enriched Data'!G:G,A1891+1)</f>
        <v>1170</v>
      </c>
      <c r="D1891" s="11">
        <f t="shared" si="88"/>
        <v>935370319.96999991</v>
      </c>
      <c r="E1891" s="10">
        <f t="shared" si="89"/>
        <v>0.99979606430078349</v>
      </c>
    </row>
    <row r="1892" spans="1:5">
      <c r="A1892">
        <f t="shared" si="87"/>
        <v>1891</v>
      </c>
      <c r="B1892" t="str" cm="1">
        <f t="array" ref="B1892">INDEX('Enriched Data'!C:C,A1892+1)</f>
        <v>Duncan Bolt Company</v>
      </c>
      <c r="C1892" s="11" cm="1">
        <f t="array" ref="C1892">INDEX('Enriched Data'!G:G,A1892+1)</f>
        <v>1169.76</v>
      </c>
      <c r="D1892" s="11">
        <f t="shared" si="88"/>
        <v>935371489.7299999</v>
      </c>
      <c r="E1892" s="10">
        <f t="shared" si="89"/>
        <v>0.99979731463064669</v>
      </c>
    </row>
    <row r="1893" spans="1:5">
      <c r="A1893">
        <f t="shared" si="87"/>
        <v>1892</v>
      </c>
      <c r="B1893" t="str" cm="1">
        <f t="array" ref="B1893">INDEX('Enriched Data'!C:C,A1893+1)</f>
        <v>RickTheWelder Fabrication, LLC</v>
      </c>
      <c r="C1893" s="11" cm="1">
        <f t="array" ref="C1893">INDEX('Enriched Data'!G:G,A1893+1)</f>
        <v>1168.6300000000001</v>
      </c>
      <c r="D1893" s="11">
        <f t="shared" si="88"/>
        <v>935372658.3599999</v>
      </c>
      <c r="E1893" s="10">
        <f t="shared" si="89"/>
        <v>0.9997985637526785</v>
      </c>
    </row>
    <row r="1894" spans="1:5">
      <c r="A1894">
        <f t="shared" si="87"/>
        <v>1893</v>
      </c>
      <c r="B1894" t="str" cm="1">
        <f t="array" ref="B1894">INDEX('Enriched Data'!C:C,A1894+1)</f>
        <v>Mettler-Toledo, LLC</v>
      </c>
      <c r="C1894" s="11" cm="1">
        <f t="array" ref="C1894">INDEX('Enriched Data'!G:G,A1894+1)</f>
        <v>1166.32</v>
      </c>
      <c r="D1894" s="11">
        <f t="shared" si="88"/>
        <v>935373824.67999995</v>
      </c>
      <c r="E1894" s="10">
        <f t="shared" si="89"/>
        <v>0.99979981040560395</v>
      </c>
    </row>
    <row r="1895" spans="1:5">
      <c r="A1895">
        <f t="shared" si="87"/>
        <v>1894</v>
      </c>
      <c r="B1895" t="str" cm="1">
        <f t="array" ref="B1895">INDEX('Enriched Data'!C:C,A1895+1)</f>
        <v>Four Quarters Inc</v>
      </c>
      <c r="C1895" s="11" cm="1">
        <f t="array" ref="C1895">INDEX('Enriched Data'!G:G,A1895+1)</f>
        <v>1158.21</v>
      </c>
      <c r="D1895" s="11">
        <f t="shared" si="88"/>
        <v>935374982.88999999</v>
      </c>
      <c r="E1895" s="10">
        <f t="shared" si="89"/>
        <v>0.99980104838993489</v>
      </c>
    </row>
    <row r="1896" spans="1:5">
      <c r="A1896">
        <f t="shared" si="87"/>
        <v>1895</v>
      </c>
      <c r="B1896" t="str" cm="1">
        <f t="array" ref="B1896">INDEX('Enriched Data'!C:C,A1896+1)</f>
        <v>Minister Of Finance</v>
      </c>
      <c r="C1896" s="11" cm="1">
        <f t="array" ref="C1896">INDEX('Enriched Data'!G:G,A1896+1)</f>
        <v>1156.75</v>
      </c>
      <c r="D1896" s="11">
        <f t="shared" si="88"/>
        <v>935376139.63999999</v>
      </c>
      <c r="E1896" s="10">
        <f t="shared" si="89"/>
        <v>0.99980228481370492</v>
      </c>
    </row>
    <row r="1897" spans="1:5">
      <c r="A1897">
        <f t="shared" si="87"/>
        <v>1896</v>
      </c>
      <c r="B1897" t="str" cm="1">
        <f t="array" ref="B1897">INDEX('Enriched Data'!C:C,A1897+1)</f>
        <v>Hamburg Overhead Door Inc</v>
      </c>
      <c r="C1897" s="11" cm="1">
        <f t="array" ref="C1897">INDEX('Enriched Data'!G:G,A1897+1)</f>
        <v>1152.75</v>
      </c>
      <c r="D1897" s="11">
        <f t="shared" si="88"/>
        <v>935377292.38999999</v>
      </c>
      <c r="E1897" s="10">
        <f t="shared" si="89"/>
        <v>0.9998035169619659</v>
      </c>
    </row>
    <row r="1898" spans="1:5">
      <c r="A1898">
        <f t="shared" si="87"/>
        <v>1897</v>
      </c>
      <c r="B1898" t="str" cm="1">
        <f t="array" ref="B1898">INDEX('Enriched Data'!C:C,A1898+1)</f>
        <v>Loyal Window Cleaning, Inc.</v>
      </c>
      <c r="C1898" s="11" cm="1">
        <f t="array" ref="C1898">INDEX('Enriched Data'!G:G,A1898+1)</f>
        <v>1150</v>
      </c>
      <c r="D1898" s="11">
        <f t="shared" si="88"/>
        <v>935378442.38999999</v>
      </c>
      <c r="E1898" s="10">
        <f t="shared" si="89"/>
        <v>0.99980474617081438</v>
      </c>
    </row>
    <row r="1899" spans="1:5">
      <c r="A1899">
        <f t="shared" si="87"/>
        <v>1898</v>
      </c>
      <c r="B1899" t="str" cm="1">
        <f t="array" ref="B1899">INDEX('Enriched Data'!C:C,A1899+1)</f>
        <v>Fleet Core Inc</v>
      </c>
      <c r="C1899" s="11" cm="1">
        <f t="array" ref="C1899">INDEX('Enriched Data'!G:G,A1899+1)</f>
        <v>1147.83</v>
      </c>
      <c r="D1899" s="11">
        <f t="shared" si="88"/>
        <v>935379590.22000003</v>
      </c>
      <c r="E1899" s="10">
        <f t="shared" si="89"/>
        <v>0.99980597306019925</v>
      </c>
    </row>
    <row r="1900" spans="1:5">
      <c r="A1900">
        <f t="shared" si="87"/>
        <v>1899</v>
      </c>
      <c r="B1900" t="str" cm="1">
        <f t="array" ref="B1900">INDEX('Enriched Data'!C:C,A1900+1)</f>
        <v>Town of Guilderland</v>
      </c>
      <c r="C1900" s="11" cm="1">
        <f t="array" ref="C1900">INDEX('Enriched Data'!G:G,A1900+1)</f>
        <v>1140</v>
      </c>
      <c r="D1900" s="11">
        <f t="shared" si="88"/>
        <v>935380730.22000003</v>
      </c>
      <c r="E1900" s="10">
        <f t="shared" si="89"/>
        <v>0.9998071915802752</v>
      </c>
    </row>
    <row r="1901" spans="1:5">
      <c r="A1901">
        <f t="shared" si="87"/>
        <v>1900</v>
      </c>
      <c r="B1901" t="str" cm="1">
        <f t="array" ref="B1901">INDEX('Enriched Data'!C:C,A1901+1)</f>
        <v>Bob Kline Quality Metals, Inc</v>
      </c>
      <c r="C1901" s="11" cm="1">
        <f t="array" ref="C1901">INDEX('Enriched Data'!G:G,A1901+1)</f>
        <v>1127.5</v>
      </c>
      <c r="D1901" s="11">
        <f t="shared" si="88"/>
        <v>935381857.72000003</v>
      </c>
      <c r="E1901" s="10">
        <f t="shared" si="89"/>
        <v>0.99980839673938537</v>
      </c>
    </row>
    <row r="1902" spans="1:5">
      <c r="A1902">
        <f t="shared" si="87"/>
        <v>1901</v>
      </c>
      <c r="B1902" t="str" cm="1">
        <f t="array" ref="B1902">INDEX('Enriched Data'!C:C,A1902+1)</f>
        <v>Shambaugh &amp; Son, LP</v>
      </c>
      <c r="C1902" s="11" cm="1">
        <f t="array" ref="C1902">INDEX('Enriched Data'!G:G,A1902+1)</f>
        <v>1125</v>
      </c>
      <c r="D1902" s="11">
        <f t="shared" si="88"/>
        <v>935382982.72000003</v>
      </c>
      <c r="E1902" s="10">
        <f t="shared" si="89"/>
        <v>0.99980959922630241</v>
      </c>
    </row>
    <row r="1903" spans="1:5">
      <c r="A1903">
        <f t="shared" si="87"/>
        <v>1902</v>
      </c>
      <c r="B1903" t="str" cm="1">
        <f t="array" ref="B1903">INDEX('Enriched Data'!C:C,A1903+1)</f>
        <v>Modern Pest Services LLC</v>
      </c>
      <c r="C1903" s="11" cm="1">
        <f t="array" ref="C1903">INDEX('Enriched Data'!G:G,A1903+1)</f>
        <v>1120</v>
      </c>
      <c r="D1903" s="11">
        <f t="shared" si="88"/>
        <v>935384102.72000003</v>
      </c>
      <c r="E1903" s="10">
        <f t="shared" si="89"/>
        <v>0.99981079636883308</v>
      </c>
    </row>
    <row r="1904" spans="1:5">
      <c r="A1904">
        <f t="shared" si="87"/>
        <v>1903</v>
      </c>
      <c r="B1904" t="str" cm="1">
        <f t="array" ref="B1904">INDEX('Enriched Data'!C:C,A1904+1)</f>
        <v>Mobile Fleet Wash - CA</v>
      </c>
      <c r="C1904" s="11" cm="1">
        <f t="array" ref="C1904">INDEX('Enriched Data'!G:G,A1904+1)</f>
        <v>1116</v>
      </c>
      <c r="D1904" s="11">
        <f t="shared" si="88"/>
        <v>935385218.72000003</v>
      </c>
      <c r="E1904" s="10">
        <f t="shared" si="89"/>
        <v>0.99981198923585479</v>
      </c>
    </row>
    <row r="1905" spans="1:5">
      <c r="A1905">
        <f t="shared" si="87"/>
        <v>1904</v>
      </c>
      <c r="B1905" t="str" cm="1">
        <f t="array" ref="B1905">INDEX('Enriched Data'!C:C,A1905+1)</f>
        <v>Larry Downs Jr. Plumbing</v>
      </c>
      <c r="C1905" s="11" cm="1">
        <f t="array" ref="C1905">INDEX('Enriched Data'!G:G,A1905+1)</f>
        <v>1115</v>
      </c>
      <c r="D1905" s="11">
        <f t="shared" si="88"/>
        <v>935386333.72000003</v>
      </c>
      <c r="E1905" s="10">
        <f t="shared" si="89"/>
        <v>0.9998131810339993</v>
      </c>
    </row>
    <row r="1906" spans="1:5">
      <c r="A1906">
        <f t="shared" si="87"/>
        <v>1905</v>
      </c>
      <c r="B1906" t="str" cm="1">
        <f t="array" ref="B1906">INDEX('Enriched Data'!C:C,A1906+1)</f>
        <v>House of Doors</v>
      </c>
      <c r="C1906" s="11" cm="1">
        <f t="array" ref="C1906">INDEX('Enriched Data'!G:G,A1906+1)</f>
        <v>1103.5</v>
      </c>
      <c r="D1906" s="11">
        <f t="shared" si="88"/>
        <v>935387437.22000003</v>
      </c>
      <c r="E1906" s="10">
        <f t="shared" si="89"/>
        <v>0.99981436054005524</v>
      </c>
    </row>
    <row r="1907" spans="1:5">
      <c r="A1907">
        <f t="shared" si="87"/>
        <v>1906</v>
      </c>
      <c r="B1907" t="str" cm="1">
        <f t="array" ref="B1907">INDEX('Enriched Data'!C:C,A1907+1)</f>
        <v>24 Hour LTD</v>
      </c>
      <c r="C1907" s="11" cm="1">
        <f t="array" ref="C1907">INDEX('Enriched Data'!G:G,A1907+1)</f>
        <v>1093.6600000000001</v>
      </c>
      <c r="D1907" s="11">
        <f t="shared" si="88"/>
        <v>935388530.88</v>
      </c>
      <c r="E1907" s="10">
        <f t="shared" si="89"/>
        <v>0.99981552952835884</v>
      </c>
    </row>
    <row r="1908" spans="1:5">
      <c r="A1908">
        <f t="shared" si="87"/>
        <v>1907</v>
      </c>
      <c r="B1908" t="str" cm="1">
        <f t="array" ref="B1908">INDEX('Enriched Data'!C:C,A1908+1)</f>
        <v>Apple Valley Scale Company Inc</v>
      </c>
      <c r="C1908" s="11" cm="1">
        <f t="array" ref="C1908">INDEX('Enriched Data'!G:G,A1908+1)</f>
        <v>1091.07</v>
      </c>
      <c r="D1908" s="11">
        <f t="shared" si="88"/>
        <v>935389621.95000005</v>
      </c>
      <c r="E1908" s="10">
        <f t="shared" si="89"/>
        <v>0.99981669574827048</v>
      </c>
    </row>
    <row r="1909" spans="1:5">
      <c r="A1909">
        <f t="shared" si="87"/>
        <v>1908</v>
      </c>
      <c r="B1909" t="str" cm="1">
        <f t="array" ref="B1909">INDEX('Enriched Data'!C:C,A1909+1)</f>
        <v>Rieck Services</v>
      </c>
      <c r="C1909" s="11" cm="1">
        <f t="array" ref="C1909">INDEX('Enriched Data'!G:G,A1909+1)</f>
        <v>1079</v>
      </c>
      <c r="D1909" s="11">
        <f t="shared" si="88"/>
        <v>935390700.95000005</v>
      </c>
      <c r="E1909" s="10">
        <f t="shared" si="89"/>
        <v>0.99981784906683357</v>
      </c>
    </row>
    <row r="1910" spans="1:5">
      <c r="A1910">
        <f t="shared" si="87"/>
        <v>1909</v>
      </c>
      <c r="B1910" t="str" cm="1">
        <f t="array" ref="B1910">INDEX('Enriched Data'!C:C,A1910+1)</f>
        <v>Reward Gateway (US) Inc</v>
      </c>
      <c r="C1910" s="11" cm="1">
        <f t="array" ref="C1910">INDEX('Enriched Data'!G:G,A1910+1)</f>
        <v>1078.98</v>
      </c>
      <c r="D1910" s="11">
        <f t="shared" si="88"/>
        <v>935391779.93000007</v>
      </c>
      <c r="E1910" s="10">
        <f t="shared" si="89"/>
        <v>0.99981900236401922</v>
      </c>
    </row>
    <row r="1911" spans="1:5">
      <c r="A1911">
        <f t="shared" si="87"/>
        <v>1910</v>
      </c>
      <c r="B1911" t="str" cm="1">
        <f t="array" ref="B1911">INDEX('Enriched Data'!C:C,A1911+1)</f>
        <v>Haight Fire Equipment Supply</v>
      </c>
      <c r="C1911" s="11" cm="1">
        <f t="array" ref="C1911">INDEX('Enriched Data'!G:G,A1911+1)</f>
        <v>1052.8</v>
      </c>
      <c r="D1911" s="11">
        <f t="shared" si="88"/>
        <v>935392832.73000002</v>
      </c>
      <c r="E1911" s="10">
        <f t="shared" si="89"/>
        <v>0.99982012767799799</v>
      </c>
    </row>
    <row r="1912" spans="1:5">
      <c r="A1912">
        <f t="shared" si="87"/>
        <v>1911</v>
      </c>
      <c r="B1912" t="str" cm="1">
        <f t="array" ref="B1912">INDEX('Enriched Data'!C:C,A1912+1)</f>
        <v>Tate Construction LLC</v>
      </c>
      <c r="C1912" s="11" cm="1">
        <f t="array" ref="C1912">INDEX('Enriched Data'!G:G,A1912+1)</f>
        <v>1050</v>
      </c>
      <c r="D1912" s="11">
        <f t="shared" si="88"/>
        <v>935393882.73000002</v>
      </c>
      <c r="E1912" s="10">
        <f t="shared" si="89"/>
        <v>0.99982124999912059</v>
      </c>
    </row>
    <row r="1913" spans="1:5">
      <c r="A1913">
        <f t="shared" si="87"/>
        <v>1912</v>
      </c>
      <c r="B1913" t="str" cm="1">
        <f t="array" ref="B1913">INDEX('Enriched Data'!C:C,A1913+1)</f>
        <v>Allied Electrical Syst &amp; Solutions</v>
      </c>
      <c r="C1913" s="11" cm="1">
        <f t="array" ref="C1913">INDEX('Enriched Data'!G:G,A1913+1)</f>
        <v>1042.81</v>
      </c>
      <c r="D1913" s="11">
        <f t="shared" si="88"/>
        <v>935394925.53999996</v>
      </c>
      <c r="E1913" s="10">
        <f t="shared" si="89"/>
        <v>0.99982236463501561</v>
      </c>
    </row>
    <row r="1914" spans="1:5">
      <c r="A1914">
        <f t="shared" si="87"/>
        <v>1913</v>
      </c>
      <c r="B1914" t="str" cm="1">
        <f t="array" ref="B1914">INDEX('Enriched Data'!C:C,A1914+1)</f>
        <v>Blue Summit Water, LLC</v>
      </c>
      <c r="C1914" s="11" cm="1">
        <f t="array" ref="C1914">INDEX('Enriched Data'!G:G,A1914+1)</f>
        <v>1039.98</v>
      </c>
      <c r="D1914" s="11">
        <f t="shared" si="88"/>
        <v>935395965.51999998</v>
      </c>
      <c r="E1914" s="10">
        <f t="shared" si="89"/>
        <v>0.999823476245988</v>
      </c>
    </row>
    <row r="1915" spans="1:5">
      <c r="A1915">
        <f t="shared" si="87"/>
        <v>1914</v>
      </c>
      <c r="B1915" t="str" cm="1">
        <f t="array" ref="B1915">INDEX('Enriched Data'!C:C,A1915+1)</f>
        <v>Master Protection LP dba Firemaster</v>
      </c>
      <c r="C1915" s="11" cm="1">
        <f t="array" ref="C1915">INDEX('Enriched Data'!G:G,A1915+1)</f>
        <v>1038.97</v>
      </c>
      <c r="D1915" s="11">
        <f t="shared" si="88"/>
        <v>935397004.49000001</v>
      </c>
      <c r="E1915" s="10">
        <f t="shared" si="89"/>
        <v>0.99982458677739439</v>
      </c>
    </row>
    <row r="1916" spans="1:5">
      <c r="A1916">
        <f t="shared" si="87"/>
        <v>1915</v>
      </c>
      <c r="B1916" t="str" cm="1">
        <f t="array" ref="B1916">INDEX('Enriched Data'!C:C,A1916+1)</f>
        <v>R.W. Truck Equipment</v>
      </c>
      <c r="C1916" s="11" cm="1">
        <f t="array" ref="C1916">INDEX('Enriched Data'!G:G,A1916+1)</f>
        <v>1029.51</v>
      </c>
      <c r="D1916" s="11">
        <f t="shared" si="88"/>
        <v>935398034</v>
      </c>
      <c r="E1916" s="10">
        <f t="shared" si="89"/>
        <v>0.99982568719722187</v>
      </c>
    </row>
    <row r="1917" spans="1:5">
      <c r="A1917">
        <f t="shared" si="87"/>
        <v>1916</v>
      </c>
      <c r="B1917" t="str" cm="1">
        <f t="array" ref="B1917">INDEX('Enriched Data'!C:C,A1917+1)</f>
        <v>Pomykal Heating and Cooling LLC</v>
      </c>
      <c r="C1917" s="11" cm="1">
        <f t="array" ref="C1917">INDEX('Enriched Data'!G:G,A1917+1)</f>
        <v>1021.16</v>
      </c>
      <c r="D1917" s="11">
        <f t="shared" si="88"/>
        <v>935399055.15999997</v>
      </c>
      <c r="E1917" s="10">
        <f t="shared" si="89"/>
        <v>0.99982677869192427</v>
      </c>
    </row>
    <row r="1918" spans="1:5">
      <c r="A1918">
        <f t="shared" si="87"/>
        <v>1917</v>
      </c>
      <c r="B1918" t="str" cm="1">
        <f t="array" ref="B1918">INDEX('Enriched Data'!C:C,A1918+1)</f>
        <v>ABC FIRE EQUIPMENT CORP</v>
      </c>
      <c r="C1918" s="11" cm="1">
        <f t="array" ref="C1918">INDEX('Enriched Data'!G:G,A1918+1)</f>
        <v>1019.21</v>
      </c>
      <c r="D1918" s="11">
        <f t="shared" si="88"/>
        <v>935400074.37</v>
      </c>
      <c r="E1918" s="10">
        <f t="shared" si="89"/>
        <v>0.99982786810231605</v>
      </c>
    </row>
    <row r="1919" spans="1:5">
      <c r="A1919">
        <f t="shared" si="87"/>
        <v>1918</v>
      </c>
      <c r="B1919" t="str" cm="1">
        <f t="array" ref="B1919">INDEX('Enriched Data'!C:C,A1919+1)</f>
        <v>ABC Fire Equipment Inc</v>
      </c>
      <c r="C1919" s="11" cm="1">
        <f t="array" ref="C1919">INDEX('Enriched Data'!G:G,A1919+1)</f>
        <v>1019.21</v>
      </c>
      <c r="D1919" s="11">
        <f t="shared" si="88"/>
        <v>935401093.58000004</v>
      </c>
      <c r="E1919" s="10">
        <f t="shared" si="89"/>
        <v>0.99982895751270784</v>
      </c>
    </row>
    <row r="1920" spans="1:5">
      <c r="A1920">
        <f t="shared" si="87"/>
        <v>1919</v>
      </c>
      <c r="B1920" t="str" cm="1">
        <f t="array" ref="B1920">INDEX('Enriched Data'!C:C,A1920+1)</f>
        <v>Schetter Electric LLC</v>
      </c>
      <c r="C1920" s="11" cm="1">
        <f t="array" ref="C1920">INDEX('Enriched Data'!G:G,A1920+1)</f>
        <v>1018</v>
      </c>
      <c r="D1920" s="11">
        <f t="shared" si="88"/>
        <v>935402111.58000004</v>
      </c>
      <c r="E1920" s="10">
        <f t="shared" si="89"/>
        <v>0.99983004562975808</v>
      </c>
    </row>
    <row r="1921" spans="1:5">
      <c r="A1921">
        <f t="shared" si="87"/>
        <v>1920</v>
      </c>
      <c r="B1921" t="str" cm="1">
        <f t="array" ref="B1921">INDEX('Enriched Data'!C:C,A1921+1)</f>
        <v>Custom Security Systems, Inc.</v>
      </c>
      <c r="C1921" s="11" cm="1">
        <f t="array" ref="C1921">INDEX('Enriched Data'!G:G,A1921+1)</f>
        <v>1008.64</v>
      </c>
      <c r="D1921" s="11">
        <f t="shared" si="88"/>
        <v>935403120.22000003</v>
      </c>
      <c r="E1921" s="10">
        <f t="shared" si="89"/>
        <v>0.99983112374211713</v>
      </c>
    </row>
    <row r="1922" spans="1:5">
      <c r="A1922">
        <f t="shared" si="87"/>
        <v>1921</v>
      </c>
      <c r="B1922" t="str" cm="1">
        <f t="array" ref="B1922">INDEX('Enriched Data'!C:C,A1922+1)</f>
        <v>Focus Relocation</v>
      </c>
      <c r="C1922" s="11" cm="1">
        <f t="array" ref="C1922">INDEX('Enriched Data'!G:G,A1922+1)</f>
        <v>1000.51</v>
      </c>
      <c r="D1922" s="11">
        <f t="shared" si="88"/>
        <v>935404120.73000002</v>
      </c>
      <c r="E1922" s="10">
        <f t="shared" si="89"/>
        <v>0.99983219316450411</v>
      </c>
    </row>
    <row r="1923" spans="1:5">
      <c r="A1923">
        <f t="shared" si="87"/>
        <v>1922</v>
      </c>
      <c r="B1923" t="str" cm="1">
        <f t="array" ref="B1923">INDEX('Enriched Data'!C:C,A1923+1)</f>
        <v>Heatherly Bros Auto Parts and Svcs</v>
      </c>
      <c r="C1923" s="11" cm="1">
        <f t="array" ref="C1923">INDEX('Enriched Data'!G:G,A1923+1)</f>
        <v>1000</v>
      </c>
      <c r="D1923" s="11">
        <f t="shared" si="88"/>
        <v>935405120.73000002</v>
      </c>
      <c r="E1923" s="10">
        <f t="shared" si="89"/>
        <v>0.9998332620417637</v>
      </c>
    </row>
    <row r="1924" spans="1:5">
      <c r="A1924">
        <f t="shared" ref="A1924:A1987" si="90">A1923+1</f>
        <v>1923</v>
      </c>
      <c r="B1924" t="str" cm="1">
        <f t="array" ref="B1924">INDEX('Enriched Data'!C:C,A1924+1)</f>
        <v>Quick Fix Garage Door Repair</v>
      </c>
      <c r="C1924" s="11" cm="1">
        <f t="array" ref="C1924">INDEX('Enriched Data'!G:G,A1924+1)</f>
        <v>1000</v>
      </c>
      <c r="D1924" s="11">
        <f t="shared" ref="D1924:D1987" si="91">D1923+C1924</f>
        <v>935406120.73000002</v>
      </c>
      <c r="E1924" s="10">
        <f t="shared" ref="E1924:E1987" si="92">D1924/$F$2</f>
        <v>0.9998343309190233</v>
      </c>
    </row>
    <row r="1925" spans="1:5">
      <c r="A1925">
        <f t="shared" si="90"/>
        <v>1924</v>
      </c>
      <c r="B1925" t="str" cm="1">
        <f t="array" ref="B1925">INDEX('Enriched Data'!C:C,A1925+1)</f>
        <v>Interhire LLC</v>
      </c>
      <c r="C1925" s="11" cm="1">
        <f t="array" ref="C1925">INDEX('Enriched Data'!G:G,A1925+1)</f>
        <v>1000</v>
      </c>
      <c r="D1925" s="11">
        <f t="shared" si="91"/>
        <v>935407120.73000002</v>
      </c>
      <c r="E1925" s="10">
        <f t="shared" si="92"/>
        <v>0.99983539979628289</v>
      </c>
    </row>
    <row r="1926" spans="1:5">
      <c r="A1926">
        <f t="shared" si="90"/>
        <v>1925</v>
      </c>
      <c r="B1926" t="str" cm="1">
        <f t="array" ref="B1926">INDEX('Enriched Data'!C:C,A1926+1)</f>
        <v>Kauffs of Ft. Pierce, Inc</v>
      </c>
      <c r="C1926" s="11" cm="1">
        <f t="array" ref="C1926">INDEX('Enriched Data'!G:G,A1926+1)</f>
        <v>990</v>
      </c>
      <c r="D1926" s="11">
        <f t="shared" si="91"/>
        <v>935408110.73000002</v>
      </c>
      <c r="E1926" s="10">
        <f t="shared" si="92"/>
        <v>0.99983645798476983</v>
      </c>
    </row>
    <row r="1927" spans="1:5">
      <c r="A1927">
        <f t="shared" si="90"/>
        <v>1926</v>
      </c>
      <c r="B1927" t="str" cm="1">
        <f t="array" ref="B1927">INDEX('Enriched Data'!C:C,A1927+1)</f>
        <v>Overhead Door Of Ft Myers</v>
      </c>
      <c r="C1927" s="11" cm="1">
        <f t="array" ref="C1927">INDEX('Enriched Data'!G:G,A1927+1)</f>
        <v>988.64</v>
      </c>
      <c r="D1927" s="11">
        <f t="shared" si="91"/>
        <v>935409099.37</v>
      </c>
      <c r="E1927" s="10">
        <f t="shared" si="92"/>
        <v>0.99983751471958371</v>
      </c>
    </row>
    <row r="1928" spans="1:5">
      <c r="A1928">
        <f t="shared" si="90"/>
        <v>1927</v>
      </c>
      <c r="B1928" t="str" cm="1">
        <f t="array" ref="B1928">INDEX('Enriched Data'!C:C,A1928+1)</f>
        <v>Fleet Service of Tulsa</v>
      </c>
      <c r="C1928" s="11" cm="1">
        <f t="array" ref="C1928">INDEX('Enriched Data'!G:G,A1928+1)</f>
        <v>987.97</v>
      </c>
      <c r="D1928" s="11">
        <f t="shared" si="91"/>
        <v>935410087.34000003</v>
      </c>
      <c r="E1928" s="10">
        <f t="shared" si="92"/>
        <v>0.99983857073824989</v>
      </c>
    </row>
    <row r="1929" spans="1:5">
      <c r="A1929">
        <f t="shared" si="90"/>
        <v>1928</v>
      </c>
      <c r="B1929" t="str" cm="1">
        <f t="array" ref="B1929">INDEX('Enriched Data'!C:C,A1929+1)</f>
        <v>Northern Coast Lift Truck, Inc.</v>
      </c>
      <c r="C1929" s="11" cm="1">
        <f t="array" ref="C1929">INDEX('Enriched Data'!G:G,A1929+1)</f>
        <v>978.47</v>
      </c>
      <c r="D1929" s="11">
        <f t="shared" si="91"/>
        <v>935411065.81000006</v>
      </c>
      <c r="E1929" s="10">
        <f t="shared" si="92"/>
        <v>0.99983961660258214</v>
      </c>
    </row>
    <row r="1930" spans="1:5">
      <c r="A1930">
        <f t="shared" si="90"/>
        <v>1929</v>
      </c>
      <c r="B1930" t="str" cm="1">
        <f t="array" ref="B1930">INDEX('Enriched Data'!C:C,A1930+1)</f>
        <v>Pro-Tech Fire &amp; Safety Inc</v>
      </c>
      <c r="C1930" s="11" cm="1">
        <f t="array" ref="C1930">INDEX('Enriched Data'!G:G,A1930+1)</f>
        <v>976.09</v>
      </c>
      <c r="D1930" s="11">
        <f t="shared" si="91"/>
        <v>935412041.9000001</v>
      </c>
      <c r="E1930" s="10">
        <f t="shared" si="92"/>
        <v>0.99984065992298643</v>
      </c>
    </row>
    <row r="1931" spans="1:5">
      <c r="A1931">
        <f t="shared" si="90"/>
        <v>1930</v>
      </c>
      <c r="B1931" t="str" cm="1">
        <f t="array" ref="B1931">INDEX('Enriched Data'!C:C,A1931+1)</f>
        <v>Abenity</v>
      </c>
      <c r="C1931" s="11" cm="1">
        <f t="array" ref="C1931">INDEX('Enriched Data'!G:G,A1931+1)</f>
        <v>976.03</v>
      </c>
      <c r="D1931" s="11">
        <f t="shared" si="91"/>
        <v>935413017.93000007</v>
      </c>
      <c r="E1931" s="10">
        <f t="shared" si="92"/>
        <v>0.99984170317925813</v>
      </c>
    </row>
    <row r="1932" spans="1:5">
      <c r="A1932">
        <f t="shared" si="90"/>
        <v>1931</v>
      </c>
      <c r="B1932" t="str" cm="1">
        <f t="array" ref="B1932">INDEX('Enriched Data'!C:C,A1932+1)</f>
        <v>Access Portable Toilets</v>
      </c>
      <c r="C1932" s="11" cm="1">
        <f t="array" ref="C1932">INDEX('Enriched Data'!G:G,A1932+1)</f>
        <v>975</v>
      </c>
      <c r="D1932" s="11">
        <f t="shared" si="91"/>
        <v>935413992.93000007</v>
      </c>
      <c r="E1932" s="10">
        <f t="shared" si="92"/>
        <v>0.99984274533458617</v>
      </c>
    </row>
    <row r="1933" spans="1:5">
      <c r="A1933">
        <f t="shared" si="90"/>
        <v>1932</v>
      </c>
      <c r="B1933" t="str" cm="1">
        <f t="array" ref="B1933">INDEX('Enriched Data'!C:C,A1933+1)</f>
        <v>Americas Garage Door Company</v>
      </c>
      <c r="C1933" s="11" cm="1">
        <f t="array" ref="C1933">INDEX('Enriched Data'!G:G,A1933+1)</f>
        <v>974.25</v>
      </c>
      <c r="D1933" s="11">
        <f t="shared" si="91"/>
        <v>935414967.18000007</v>
      </c>
      <c r="E1933" s="10">
        <f t="shared" si="92"/>
        <v>0.99984378668825635</v>
      </c>
    </row>
    <row r="1934" spans="1:5">
      <c r="A1934">
        <f t="shared" si="90"/>
        <v>1933</v>
      </c>
      <c r="B1934" t="str" cm="1">
        <f t="array" ref="B1934">INDEX('Enriched Data'!C:C,A1934+1)</f>
        <v>Insley McEntee Equipment Co .</v>
      </c>
      <c r="C1934" s="11" cm="1">
        <f t="array" ref="C1934">INDEX('Enriched Data'!G:G,A1934+1)</f>
        <v>974</v>
      </c>
      <c r="D1934" s="11">
        <f t="shared" si="91"/>
        <v>935415941.18000007</v>
      </c>
      <c r="E1934" s="10">
        <f t="shared" si="92"/>
        <v>0.99984482777470718</v>
      </c>
    </row>
    <row r="1935" spans="1:5">
      <c r="A1935">
        <f t="shared" si="90"/>
        <v>1934</v>
      </c>
      <c r="B1935" t="str" cm="1">
        <f t="array" ref="B1935">INDEX('Enriched Data'!C:C,A1935+1)</f>
        <v>Hotsy-Clean, LLC</v>
      </c>
      <c r="C1935" s="11" cm="1">
        <f t="array" ref="C1935">INDEX('Enriched Data'!G:G,A1935+1)</f>
        <v>971.5</v>
      </c>
      <c r="D1935" s="11">
        <f t="shared" si="91"/>
        <v>935416912.68000007</v>
      </c>
      <c r="E1935" s="10">
        <f t="shared" si="92"/>
        <v>0.99984586618896487</v>
      </c>
    </row>
    <row r="1936" spans="1:5">
      <c r="A1936">
        <f t="shared" si="90"/>
        <v>1935</v>
      </c>
      <c r="B1936" t="str" cm="1">
        <f t="array" ref="B1936">INDEX('Enriched Data'!C:C,A1936+1)</f>
        <v>The Hiller Companies</v>
      </c>
      <c r="C1936" s="11" cm="1">
        <f t="array" ref="C1936">INDEX('Enriched Data'!G:G,A1936+1)</f>
        <v>965.95</v>
      </c>
      <c r="D1936" s="11">
        <f t="shared" si="91"/>
        <v>935417878.63000011</v>
      </c>
      <c r="E1936" s="10">
        <f t="shared" si="92"/>
        <v>0.99984689867095378</v>
      </c>
    </row>
    <row r="1937" spans="1:5">
      <c r="A1937">
        <f t="shared" si="90"/>
        <v>1936</v>
      </c>
      <c r="B1937" t="str" cm="1">
        <f t="array" ref="B1937">INDEX('Enriched Data'!C:C,A1937+1)</f>
        <v>Alfred L Schiller Hardware Inc.</v>
      </c>
      <c r="C1937" s="11" cm="1">
        <f t="array" ref="C1937">INDEX('Enriched Data'!G:G,A1937+1)</f>
        <v>955.5</v>
      </c>
      <c r="D1937" s="11">
        <f t="shared" si="91"/>
        <v>935418834.13000011</v>
      </c>
      <c r="E1937" s="10">
        <f t="shared" si="92"/>
        <v>0.99984791998317535</v>
      </c>
    </row>
    <row r="1938" spans="1:5">
      <c r="A1938">
        <f t="shared" si="90"/>
        <v>1937</v>
      </c>
      <c r="B1938" t="str" cm="1">
        <f t="array" ref="B1938">INDEX('Enriched Data'!C:C,A1938+1)</f>
        <v>TeamViewer GmbH</v>
      </c>
      <c r="C1938" s="11" cm="1">
        <f t="array" ref="C1938">INDEX('Enriched Data'!G:G,A1938+1)</f>
        <v>948.74</v>
      </c>
      <c r="D1938" s="11">
        <f t="shared" si="91"/>
        <v>935419782.87000012</v>
      </c>
      <c r="E1938" s="10">
        <f t="shared" si="92"/>
        <v>0.99984893406978659</v>
      </c>
    </row>
    <row r="1939" spans="1:5">
      <c r="A1939">
        <f t="shared" si="90"/>
        <v>1938</v>
      </c>
      <c r="B1939" t="str" cm="1">
        <f t="array" ref="B1939">INDEX('Enriched Data'!C:C,A1939+1)</f>
        <v>Shivers Towing of MS Inc.</v>
      </c>
      <c r="C1939" s="11" cm="1">
        <f t="array" ref="C1939">INDEX('Enriched Data'!G:G,A1939+1)</f>
        <v>945.4</v>
      </c>
      <c r="D1939" s="11">
        <f t="shared" si="91"/>
        <v>935420728.2700001</v>
      </c>
      <c r="E1939" s="10">
        <f t="shared" si="92"/>
        <v>0.99984994458634779</v>
      </c>
    </row>
    <row r="1940" spans="1:5">
      <c r="A1940">
        <f t="shared" si="90"/>
        <v>1939</v>
      </c>
      <c r="B1940" t="str" cm="1">
        <f t="array" ref="B1940">INDEX('Enriched Data'!C:C,A1940+1)</f>
        <v>Jordan Highsmith</v>
      </c>
      <c r="C1940" s="11" cm="1">
        <f t="array" ref="C1940">INDEX('Enriched Data'!G:G,A1940+1)</f>
        <v>937.5</v>
      </c>
      <c r="D1940" s="11">
        <f t="shared" si="91"/>
        <v>935421665.7700001</v>
      </c>
      <c r="E1940" s="10">
        <f t="shared" si="92"/>
        <v>0.99985094665877861</v>
      </c>
    </row>
    <row r="1941" spans="1:5">
      <c r="A1941">
        <f t="shared" si="90"/>
        <v>1940</v>
      </c>
      <c r="B1941" t="str" cm="1">
        <f t="array" ref="B1941">INDEX('Enriched Data'!C:C,A1941+1)</f>
        <v>Gulf Storage Partners Lp</v>
      </c>
      <c r="C1941" s="11" cm="1">
        <f t="array" ref="C1941">INDEX('Enriched Data'!G:G,A1941+1)</f>
        <v>931.74</v>
      </c>
      <c r="D1941" s="11">
        <f t="shared" si="91"/>
        <v>935422597.51000011</v>
      </c>
      <c r="E1941" s="10">
        <f t="shared" si="92"/>
        <v>0.99985194257447652</v>
      </c>
    </row>
    <row r="1942" spans="1:5">
      <c r="A1942">
        <f t="shared" si="90"/>
        <v>1941</v>
      </c>
      <c r="B1942" t="str" cm="1">
        <f t="array" ref="B1942">INDEX('Enriched Data'!C:C,A1942+1)</f>
        <v>Benco Industrial Equipment, LLC</v>
      </c>
      <c r="C1942" s="11" cm="1">
        <f t="array" ref="C1942">INDEX('Enriched Data'!G:G,A1942+1)</f>
        <v>917.16</v>
      </c>
      <c r="D1942" s="11">
        <f t="shared" si="91"/>
        <v>935423514.67000008</v>
      </c>
      <c r="E1942" s="10">
        <f t="shared" si="92"/>
        <v>0.99985292290594385</v>
      </c>
    </row>
    <row r="1943" spans="1:5">
      <c r="A1943">
        <f t="shared" si="90"/>
        <v>1942</v>
      </c>
      <c r="B1943" t="str" cm="1">
        <f t="array" ref="B1943">INDEX('Enriched Data'!C:C,A1943+1)</f>
        <v>Fleet Fuel Services</v>
      </c>
      <c r="C1943" s="11" cm="1">
        <f t="array" ref="C1943">INDEX('Enriched Data'!G:G,A1943+1)</f>
        <v>915.15</v>
      </c>
      <c r="D1943" s="11">
        <f t="shared" si="91"/>
        <v>935424429.82000005</v>
      </c>
      <c r="E1943" s="10">
        <f t="shared" si="92"/>
        <v>0.99985390108896788</v>
      </c>
    </row>
    <row r="1944" spans="1:5">
      <c r="A1944">
        <f t="shared" si="90"/>
        <v>1943</v>
      </c>
      <c r="B1944" t="str" cm="1">
        <f t="array" ref="B1944">INDEX('Enriched Data'!C:C,A1944+1)</f>
        <v>Korte Does it All</v>
      </c>
      <c r="C1944" s="11" cm="1">
        <f t="array" ref="C1944">INDEX('Enriched Data'!G:G,A1944+1)</f>
        <v>915</v>
      </c>
      <c r="D1944" s="11">
        <f t="shared" si="91"/>
        <v>935425344.82000005</v>
      </c>
      <c r="E1944" s="10">
        <f t="shared" si="92"/>
        <v>0.99985487911166038</v>
      </c>
    </row>
    <row r="1945" spans="1:5">
      <c r="A1945">
        <f t="shared" si="90"/>
        <v>1944</v>
      </c>
      <c r="B1945" t="str" cm="1">
        <f t="array" ref="B1945">INDEX('Enriched Data'!C:C,A1945+1)</f>
        <v>Quitman Tires</v>
      </c>
      <c r="C1945" s="11" cm="1">
        <f t="array" ref="C1945">INDEX('Enriched Data'!G:G,A1945+1)</f>
        <v>910.92</v>
      </c>
      <c r="D1945" s="11">
        <f t="shared" si="91"/>
        <v>935426255.74000001</v>
      </c>
      <c r="E1945" s="10">
        <f t="shared" si="92"/>
        <v>0.99985585277333366</v>
      </c>
    </row>
    <row r="1946" spans="1:5">
      <c r="A1946">
        <f t="shared" si="90"/>
        <v>1945</v>
      </c>
      <c r="B1946" t="str" cm="1">
        <f t="array" ref="B1946">INDEX('Enriched Data'!C:C,A1946+1)</f>
        <v>Tomatow LLC</v>
      </c>
      <c r="C1946" s="11" cm="1">
        <f t="array" ref="C1946">INDEX('Enriched Data'!G:G,A1946+1)</f>
        <v>909.3</v>
      </c>
      <c r="D1946" s="11">
        <f t="shared" si="91"/>
        <v>935427165.03999996</v>
      </c>
      <c r="E1946" s="10">
        <f t="shared" si="92"/>
        <v>0.99985682470342574</v>
      </c>
    </row>
    <row r="1947" spans="1:5">
      <c r="A1947">
        <f t="shared" si="90"/>
        <v>1946</v>
      </c>
      <c r="B1947" t="str" cm="1">
        <f t="array" ref="B1947">INDEX('Enriched Data'!C:C,A1947+1)</f>
        <v>New Hampshire Peterbilt Inc.</v>
      </c>
      <c r="C1947" s="11" cm="1">
        <f t="array" ref="C1947">INDEX('Enriched Data'!G:G,A1947+1)</f>
        <v>907.25</v>
      </c>
      <c r="D1947" s="11">
        <f t="shared" si="91"/>
        <v>935428072.28999996</v>
      </c>
      <c r="E1947" s="10">
        <f t="shared" si="92"/>
        <v>0.99985779444231948</v>
      </c>
    </row>
    <row r="1948" spans="1:5">
      <c r="A1948">
        <f t="shared" si="90"/>
        <v>1947</v>
      </c>
      <c r="B1948" t="str" cm="1">
        <f t="array" ref="B1948">INDEX('Enriched Data'!C:C,A1948+1)</f>
        <v>SAFElink Security</v>
      </c>
      <c r="C1948" s="11" cm="1">
        <f t="array" ref="C1948">INDEX('Enriched Data'!G:G,A1948+1)</f>
        <v>905.13</v>
      </c>
      <c r="D1948" s="11">
        <f t="shared" si="91"/>
        <v>935428977.41999996</v>
      </c>
      <c r="E1948" s="10">
        <f t="shared" si="92"/>
        <v>0.99985876191519352</v>
      </c>
    </row>
    <row r="1949" spans="1:5">
      <c r="A1949">
        <f t="shared" si="90"/>
        <v>1948</v>
      </c>
      <c r="B1949" t="str" cm="1">
        <f t="array" ref="B1949">INDEX('Enriched Data'!C:C,A1949+1)</f>
        <v>Pacific Office Automation</v>
      </c>
      <c r="C1949" s="11" cm="1">
        <f t="array" ref="C1949">INDEX('Enriched Data'!G:G,A1949+1)</f>
        <v>904.18</v>
      </c>
      <c r="D1949" s="11">
        <f t="shared" si="91"/>
        <v>935429881.5999999</v>
      </c>
      <c r="E1949" s="10">
        <f t="shared" si="92"/>
        <v>0.99985972837263393</v>
      </c>
    </row>
    <row r="1950" spans="1:5">
      <c r="A1950">
        <f t="shared" si="90"/>
        <v>1949</v>
      </c>
      <c r="B1950" t="str" cm="1">
        <f t="array" ref="B1950">INDEX('Enriched Data'!C:C,A1950+1)</f>
        <v>Weber Tires and Services LLC</v>
      </c>
      <c r="C1950" s="11" cm="1">
        <f t="array" ref="C1950">INDEX('Enriched Data'!G:G,A1950+1)</f>
        <v>903.02</v>
      </c>
      <c r="D1950" s="11">
        <f t="shared" si="91"/>
        <v>935430784.61999989</v>
      </c>
      <c r="E1950" s="10">
        <f t="shared" si="92"/>
        <v>0.99986069359017693</v>
      </c>
    </row>
    <row r="1951" spans="1:5">
      <c r="A1951">
        <f t="shared" si="90"/>
        <v>1950</v>
      </c>
      <c r="B1951" t="str" cm="1">
        <f t="array" ref="B1951">INDEX('Enriched Data'!C:C,A1951+1)</f>
        <v>Ads Security</v>
      </c>
      <c r="C1951" s="11" cm="1">
        <f t="array" ref="C1951">INDEX('Enriched Data'!G:G,A1951+1)</f>
        <v>897.87</v>
      </c>
      <c r="D1951" s="11">
        <f t="shared" si="91"/>
        <v>935431682.48999989</v>
      </c>
      <c r="E1951" s="10">
        <f t="shared" si="92"/>
        <v>0.99986165330300192</v>
      </c>
    </row>
    <row r="1952" spans="1:5">
      <c r="A1952">
        <f t="shared" si="90"/>
        <v>1951</v>
      </c>
      <c r="B1952" t="str" cm="1">
        <f t="array" ref="B1952">INDEX('Enriched Data'!C:C,A1952+1)</f>
        <v>New Haven Moving Equipment</v>
      </c>
      <c r="C1952" s="11" cm="1">
        <f t="array" ref="C1952">INDEX('Enriched Data'!G:G,A1952+1)</f>
        <v>896.31</v>
      </c>
      <c r="D1952" s="11">
        <f t="shared" si="91"/>
        <v>935432578.79999983</v>
      </c>
      <c r="E1952" s="10">
        <f t="shared" si="92"/>
        <v>0.99986261134837839</v>
      </c>
    </row>
    <row r="1953" spans="1:5">
      <c r="A1953">
        <f t="shared" si="90"/>
        <v>1952</v>
      </c>
      <c r="B1953" t="str" cm="1">
        <f t="array" ref="B1953">INDEX('Enriched Data'!C:C,A1953+1)</f>
        <v>Waterco of the Central States dba Culligan of Troy</v>
      </c>
      <c r="C1953" s="11" cm="1">
        <f t="array" ref="C1953">INDEX('Enriched Data'!G:G,A1953+1)</f>
        <v>882.79</v>
      </c>
      <c r="D1953" s="11">
        <f t="shared" si="91"/>
        <v>935433461.58999979</v>
      </c>
      <c r="E1953" s="10">
        <f t="shared" si="92"/>
        <v>0.99986355494253443</v>
      </c>
    </row>
    <row r="1954" spans="1:5">
      <c r="A1954">
        <f t="shared" si="90"/>
        <v>1953</v>
      </c>
      <c r="B1954" t="str" cm="1">
        <f t="array" ref="B1954">INDEX('Enriched Data'!C:C,A1954+1)</f>
        <v>J&amp;J Plumbing, Heating, &amp; Cooling</v>
      </c>
      <c r="C1954" s="11" cm="1">
        <f t="array" ref="C1954">INDEX('Enriched Data'!G:G,A1954+1)</f>
        <v>866</v>
      </c>
      <c r="D1954" s="11">
        <f t="shared" si="91"/>
        <v>935434327.58999979</v>
      </c>
      <c r="E1954" s="10">
        <f t="shared" si="92"/>
        <v>0.99986448059024113</v>
      </c>
    </row>
    <row r="1955" spans="1:5">
      <c r="A1955">
        <f t="shared" si="90"/>
        <v>1954</v>
      </c>
      <c r="B1955" t="str" cm="1">
        <f t="array" ref="B1955">INDEX('Enriched Data'!C:C,A1955+1)</f>
        <v>Confires Fire Protection Services</v>
      </c>
      <c r="C1955" s="11" cm="1">
        <f t="array" ref="C1955">INDEX('Enriched Data'!G:G,A1955+1)</f>
        <v>861.27</v>
      </c>
      <c r="D1955" s="11">
        <f t="shared" si="91"/>
        <v>935435188.85999978</v>
      </c>
      <c r="E1955" s="10">
        <f t="shared" si="92"/>
        <v>0.9998654011821585</v>
      </c>
    </row>
    <row r="1956" spans="1:5">
      <c r="A1956">
        <f t="shared" si="90"/>
        <v>1955</v>
      </c>
      <c r="B1956" t="str" cm="1">
        <f t="array" ref="B1956">INDEX('Enriched Data'!C:C,A1956+1)</f>
        <v>Atlas Fence Company, Inc.</v>
      </c>
      <c r="C1956" s="11" cm="1">
        <f t="array" ref="C1956">INDEX('Enriched Data'!G:G,A1956+1)</f>
        <v>860.59</v>
      </c>
      <c r="D1956" s="11">
        <f t="shared" si="91"/>
        <v>935436049.44999981</v>
      </c>
      <c r="E1956" s="10">
        <f t="shared" si="92"/>
        <v>0.99986632104723938</v>
      </c>
    </row>
    <row r="1957" spans="1:5">
      <c r="A1957">
        <f t="shared" si="90"/>
        <v>1956</v>
      </c>
      <c r="B1957" t="str" cm="1">
        <f t="array" ref="B1957">INDEX('Enriched Data'!C:C,A1957+1)</f>
        <v>International Fire Protection Inc.</v>
      </c>
      <c r="C1957" s="11" cm="1">
        <f t="array" ref="C1957">INDEX('Enriched Data'!G:G,A1957+1)</f>
        <v>860</v>
      </c>
      <c r="D1957" s="11">
        <f t="shared" si="91"/>
        <v>935436909.44999981</v>
      </c>
      <c r="E1957" s="10">
        <f t="shared" si="92"/>
        <v>0.99986724028168261</v>
      </c>
    </row>
    <row r="1958" spans="1:5">
      <c r="A1958">
        <f t="shared" si="90"/>
        <v>1957</v>
      </c>
      <c r="B1958" t="str" cm="1">
        <f t="array" ref="B1958">INDEX('Enriched Data'!C:C,A1958+1)</f>
        <v>Relocity, Inc.</v>
      </c>
      <c r="C1958" s="11" cm="1">
        <f t="array" ref="C1958">INDEX('Enriched Data'!G:G,A1958+1)</f>
        <v>856.88</v>
      </c>
      <c r="D1958" s="11">
        <f t="shared" si="91"/>
        <v>935437766.3299998</v>
      </c>
      <c r="E1958" s="10">
        <f t="shared" si="92"/>
        <v>0.99986815618122882</v>
      </c>
    </row>
    <row r="1959" spans="1:5">
      <c r="A1959">
        <f t="shared" si="90"/>
        <v>1958</v>
      </c>
      <c r="B1959" t="str" cm="1">
        <f t="array" ref="B1959">INDEX('Enriched Data'!C:C,A1959+1)</f>
        <v>Sabass Amaya dba CyServices</v>
      </c>
      <c r="C1959" s="11" cm="1">
        <f t="array" ref="C1959">INDEX('Enriched Data'!G:G,A1959+1)</f>
        <v>850</v>
      </c>
      <c r="D1959" s="11">
        <f t="shared" si="91"/>
        <v>935438616.3299998</v>
      </c>
      <c r="E1959" s="10">
        <f t="shared" si="92"/>
        <v>0.9998690647268994</v>
      </c>
    </row>
    <row r="1960" spans="1:5">
      <c r="A1960">
        <f t="shared" si="90"/>
        <v>1959</v>
      </c>
      <c r="B1960" t="str" cm="1">
        <f t="array" ref="B1960">INDEX('Enriched Data'!C:C,A1960+1)</f>
        <v>Malcohm Massie</v>
      </c>
      <c r="C1960" s="11" cm="1">
        <f t="array" ref="C1960">INDEX('Enriched Data'!G:G,A1960+1)</f>
        <v>850</v>
      </c>
      <c r="D1960" s="11">
        <f t="shared" si="91"/>
        <v>935439466.3299998</v>
      </c>
      <c r="E1960" s="10">
        <f t="shared" si="92"/>
        <v>0.9998699732725701</v>
      </c>
    </row>
    <row r="1961" spans="1:5">
      <c r="A1961">
        <f t="shared" si="90"/>
        <v>1960</v>
      </c>
      <c r="B1961" t="str" cm="1">
        <f t="array" ref="B1961">INDEX('Enriched Data'!C:C,A1961+1)</f>
        <v>Garland Fire Systems, Inc.</v>
      </c>
      <c r="C1961" s="11" cm="1">
        <f t="array" ref="C1961">INDEX('Enriched Data'!G:G,A1961+1)</f>
        <v>847.28</v>
      </c>
      <c r="D1961" s="11">
        <f t="shared" si="91"/>
        <v>935440313.60999978</v>
      </c>
      <c r="E1961" s="10">
        <f t="shared" si="92"/>
        <v>0.99987087891089454</v>
      </c>
    </row>
    <row r="1962" spans="1:5">
      <c r="A1962">
        <f t="shared" si="90"/>
        <v>1961</v>
      </c>
      <c r="B1962" t="str" cm="1">
        <f t="array" ref="B1962">INDEX('Enriched Data'!C:C,A1962+1)</f>
        <v>Priority 1</v>
      </c>
      <c r="C1962" s="11" cm="1">
        <f t="array" ref="C1962">INDEX('Enriched Data'!G:G,A1962+1)</f>
        <v>845</v>
      </c>
      <c r="D1962" s="11">
        <f t="shared" si="91"/>
        <v>935441158.60999978</v>
      </c>
      <c r="E1962" s="10">
        <f t="shared" si="92"/>
        <v>0.99987178211217886</v>
      </c>
    </row>
    <row r="1963" spans="1:5">
      <c r="A1963">
        <f t="shared" si="90"/>
        <v>1962</v>
      </c>
      <c r="B1963" t="str" cm="1">
        <f t="array" ref="B1963">INDEX('Enriched Data'!C:C,A1963+1)</f>
        <v>Saenz Material &amp; Handling</v>
      </c>
      <c r="C1963" s="11" cm="1">
        <f t="array" ref="C1963">INDEX('Enriched Data'!G:G,A1963+1)</f>
        <v>843.98</v>
      </c>
      <c r="D1963" s="11">
        <f t="shared" si="91"/>
        <v>935442002.58999979</v>
      </c>
      <c r="E1963" s="10">
        <f t="shared" si="92"/>
        <v>0.99987268422320841</v>
      </c>
    </row>
    <row r="1964" spans="1:5">
      <c r="A1964">
        <f t="shared" si="90"/>
        <v>1963</v>
      </c>
      <c r="B1964" t="str" cm="1">
        <f t="array" ref="B1964">INDEX('Enriched Data'!C:C,A1964+1)</f>
        <v>Fire Equipment Company Inc</v>
      </c>
      <c r="C1964" s="11" cm="1">
        <f t="array" ref="C1964">INDEX('Enriched Data'!G:G,A1964+1)</f>
        <v>834.88</v>
      </c>
      <c r="D1964" s="11">
        <f t="shared" si="91"/>
        <v>935442837.46999979</v>
      </c>
      <c r="E1964" s="10">
        <f t="shared" si="92"/>
        <v>0.99987357660745491</v>
      </c>
    </row>
    <row r="1965" spans="1:5">
      <c r="A1965">
        <f t="shared" si="90"/>
        <v>1964</v>
      </c>
      <c r="B1965" t="str" cm="1">
        <f t="array" ref="B1965">INDEX('Enriched Data'!C:C,A1965+1)</f>
        <v>Staples Contract&amp;Commercial</v>
      </c>
      <c r="C1965" s="11" cm="1">
        <f t="array" ref="C1965">INDEX('Enriched Data'!G:G,A1965+1)</f>
        <v>832.95</v>
      </c>
      <c r="D1965" s="11">
        <f t="shared" si="91"/>
        <v>935443670.41999984</v>
      </c>
      <c r="E1965" s="10">
        <f t="shared" si="92"/>
        <v>0.99987446692876836</v>
      </c>
    </row>
    <row r="1966" spans="1:5">
      <c r="A1966">
        <f t="shared" si="90"/>
        <v>1965</v>
      </c>
      <c r="B1966" t="str" cm="1">
        <f t="array" ref="B1966">INDEX('Enriched Data'!C:C,A1966+1)</f>
        <v>Southern Security &amp; Fire, Inc.</v>
      </c>
      <c r="C1966" s="11" cm="1">
        <f t="array" ref="C1966">INDEX('Enriched Data'!G:G,A1966+1)</f>
        <v>830.08</v>
      </c>
      <c r="D1966" s="11">
        <f t="shared" si="91"/>
        <v>935444500.49999988</v>
      </c>
      <c r="E1966" s="10">
        <f t="shared" si="92"/>
        <v>0.99987535418240403</v>
      </c>
    </row>
    <row r="1967" spans="1:5">
      <c r="A1967">
        <f t="shared" si="90"/>
        <v>1966</v>
      </c>
      <c r="B1967" t="str" cm="1">
        <f t="array" ref="B1967">INDEX('Enriched Data'!C:C,A1967+1)</f>
        <v>Northside Service, Inc.</v>
      </c>
      <c r="C1967" s="11" cm="1">
        <f t="array" ref="C1967">INDEX('Enriched Data'!G:G,A1967+1)</f>
        <v>830</v>
      </c>
      <c r="D1967" s="11">
        <f t="shared" si="91"/>
        <v>935445330.49999988</v>
      </c>
      <c r="E1967" s="10">
        <f t="shared" si="92"/>
        <v>0.99987624135052944</v>
      </c>
    </row>
    <row r="1968" spans="1:5">
      <c r="A1968">
        <f t="shared" si="90"/>
        <v>1967</v>
      </c>
      <c r="B1968" t="str" cm="1">
        <f t="array" ref="B1968">INDEX('Enriched Data'!C:C,A1968+1)</f>
        <v>Quickset Auto Glass</v>
      </c>
      <c r="C1968" s="11" cm="1">
        <f t="array" ref="C1968">INDEX('Enriched Data'!G:G,A1968+1)</f>
        <v>815.28</v>
      </c>
      <c r="D1968" s="11">
        <f t="shared" si="91"/>
        <v>935446145.77999985</v>
      </c>
      <c r="E1968" s="10">
        <f t="shared" si="92"/>
        <v>0.99987711278478164</v>
      </c>
    </row>
    <row r="1969" spans="1:5">
      <c r="A1969">
        <f t="shared" si="90"/>
        <v>1968</v>
      </c>
      <c r="B1969" t="str" cm="1">
        <f t="array" ref="B1969">INDEX('Enriched Data'!C:C,A1969+1)</f>
        <v>Great Works Perks Inc.</v>
      </c>
      <c r="C1969" s="11" cm="1">
        <f t="array" ref="C1969">INDEX('Enriched Data'!G:G,A1969+1)</f>
        <v>814.99</v>
      </c>
      <c r="D1969" s="11">
        <f t="shared" si="91"/>
        <v>935446960.76999986</v>
      </c>
      <c r="E1969" s="10">
        <f t="shared" si="92"/>
        <v>0.99987798390905946</v>
      </c>
    </row>
    <row r="1970" spans="1:5">
      <c r="A1970">
        <f t="shared" si="90"/>
        <v>1969</v>
      </c>
      <c r="B1970" t="str" cm="1">
        <f t="array" ref="B1970">INDEX('Enriched Data'!C:C,A1970+1)</f>
        <v>Cactus Portable Storage</v>
      </c>
      <c r="C1970" s="11" cm="1">
        <f t="array" ref="C1970">INDEX('Enriched Data'!G:G,A1970+1)</f>
        <v>800.44</v>
      </c>
      <c r="D1970" s="11">
        <f t="shared" si="91"/>
        <v>935447761.20999992</v>
      </c>
      <c r="E1970" s="10">
        <f t="shared" si="92"/>
        <v>0.99987883948117318</v>
      </c>
    </row>
    <row r="1971" spans="1:5">
      <c r="A1971">
        <f t="shared" si="90"/>
        <v>1970</v>
      </c>
      <c r="B1971" t="str" cm="1">
        <f t="array" ref="B1971">INDEX('Enriched Data'!C:C,A1971+1)</f>
        <v>Milbert Company DBA Culligan Water</v>
      </c>
      <c r="C1971" s="11" cm="1">
        <f t="array" ref="C1971">INDEX('Enriched Data'!G:G,A1971+1)</f>
        <v>800.05</v>
      </c>
      <c r="D1971" s="11">
        <f t="shared" si="91"/>
        <v>935448561.25999987</v>
      </c>
      <c r="E1971" s="10">
        <f t="shared" si="92"/>
        <v>0.99987969463642457</v>
      </c>
    </row>
    <row r="1972" spans="1:5">
      <c r="A1972">
        <f t="shared" si="90"/>
        <v>1971</v>
      </c>
      <c r="B1972" t="str" cm="1">
        <f t="array" ref="B1972">INDEX('Enriched Data'!C:C,A1972+1)</f>
        <v>Unlimited Towing Service</v>
      </c>
      <c r="C1972" s="11" cm="1">
        <f t="array" ref="C1972">INDEX('Enriched Data'!G:G,A1972+1)</f>
        <v>800</v>
      </c>
      <c r="D1972" s="11">
        <f t="shared" si="91"/>
        <v>935449361.25999987</v>
      </c>
      <c r="E1972" s="10">
        <f t="shared" si="92"/>
        <v>0.99988054973823226</v>
      </c>
    </row>
    <row r="1973" spans="1:5">
      <c r="A1973">
        <f t="shared" si="90"/>
        <v>1972</v>
      </c>
      <c r="B1973" t="str" cm="1">
        <f t="array" ref="B1973">INDEX('Enriched Data'!C:C,A1973+1)</f>
        <v>Aqua Evolution LLC</v>
      </c>
      <c r="C1973" s="11" cm="1">
        <f t="array" ref="C1973">INDEX('Enriched Data'!G:G,A1973+1)</f>
        <v>800</v>
      </c>
      <c r="D1973" s="11">
        <f t="shared" si="91"/>
        <v>935450161.25999987</v>
      </c>
      <c r="E1973" s="10">
        <f t="shared" si="92"/>
        <v>0.99988140484003996</v>
      </c>
    </row>
    <row r="1974" spans="1:5">
      <c r="A1974">
        <f t="shared" si="90"/>
        <v>1973</v>
      </c>
      <c r="B1974" t="str" cm="1">
        <f t="array" ref="B1974">INDEX('Enriched Data'!C:C,A1974+1)</f>
        <v>Timothy OSheehan</v>
      </c>
      <c r="C1974" s="11" cm="1">
        <f t="array" ref="C1974">INDEX('Enriched Data'!G:G,A1974+1)</f>
        <v>795</v>
      </c>
      <c r="D1974" s="11">
        <f t="shared" si="91"/>
        <v>935450956.25999987</v>
      </c>
      <c r="E1974" s="10">
        <f t="shared" si="92"/>
        <v>0.99988225459746127</v>
      </c>
    </row>
    <row r="1975" spans="1:5">
      <c r="A1975">
        <f t="shared" si="90"/>
        <v>1974</v>
      </c>
      <c r="B1975" t="str" cm="1">
        <f t="array" ref="B1975">INDEX('Enriched Data'!C:C,A1975+1)</f>
        <v>Minuteman Security Technologies Inc</v>
      </c>
      <c r="C1975" s="11" cm="1">
        <f t="array" ref="C1975">INDEX('Enriched Data'!G:G,A1975+1)</f>
        <v>795</v>
      </c>
      <c r="D1975" s="11">
        <f t="shared" si="91"/>
        <v>935451751.25999987</v>
      </c>
      <c r="E1975" s="10">
        <f t="shared" si="92"/>
        <v>0.9998831043548827</v>
      </c>
    </row>
    <row r="1976" spans="1:5">
      <c r="A1976">
        <f t="shared" si="90"/>
        <v>1975</v>
      </c>
      <c r="B1976" t="str" cm="1">
        <f t="array" ref="B1976">INDEX('Enriched Data'!C:C,A1976+1)</f>
        <v>Advanced Wastewater Services Inc.</v>
      </c>
      <c r="C1976" s="11" cm="1">
        <f t="array" ref="C1976">INDEX('Enriched Data'!G:G,A1976+1)</f>
        <v>787.53</v>
      </c>
      <c r="D1976" s="11">
        <f t="shared" si="91"/>
        <v>935452538.78999984</v>
      </c>
      <c r="E1976" s="10">
        <f t="shared" si="92"/>
        <v>0.99988394612779086</v>
      </c>
    </row>
    <row r="1977" spans="1:5">
      <c r="A1977">
        <f t="shared" si="90"/>
        <v>1976</v>
      </c>
      <c r="B1977" t="str" cm="1">
        <f t="array" ref="B1977">INDEX('Enriched Data'!C:C,A1977+1)</f>
        <v>Gerald Scott Clements</v>
      </c>
      <c r="C1977" s="11" cm="1">
        <f t="array" ref="C1977">INDEX('Enriched Data'!G:G,A1977+1)</f>
        <v>785</v>
      </c>
      <c r="D1977" s="11">
        <f t="shared" si="91"/>
        <v>935453323.78999984</v>
      </c>
      <c r="E1977" s="10">
        <f t="shared" si="92"/>
        <v>0.99988478519643964</v>
      </c>
    </row>
    <row r="1978" spans="1:5">
      <c r="A1978">
        <f t="shared" si="90"/>
        <v>1977</v>
      </c>
      <c r="B1978" t="str" cm="1">
        <f t="array" ref="B1978">INDEX('Enriched Data'!C:C,A1978+1)</f>
        <v>Associated Fire Protection, LLC</v>
      </c>
      <c r="C1978" s="11" cm="1">
        <f t="array" ref="C1978">INDEX('Enriched Data'!G:G,A1978+1)</f>
        <v>776.55</v>
      </c>
      <c r="D1978" s="11">
        <f t="shared" si="91"/>
        <v>935454100.33999979</v>
      </c>
      <c r="E1978" s="10">
        <f t="shared" si="92"/>
        <v>0.99988561523307551</v>
      </c>
    </row>
    <row r="1979" spans="1:5">
      <c r="A1979">
        <f t="shared" si="90"/>
        <v>1978</v>
      </c>
      <c r="B1979" t="str" cm="1">
        <f t="array" ref="B1979">INDEX('Enriched Data'!C:C,A1979+1)</f>
        <v>Cartridge World</v>
      </c>
      <c r="C1979" s="11" cm="1">
        <f t="array" ref="C1979">INDEX('Enriched Data'!G:G,A1979+1)</f>
        <v>774.47</v>
      </c>
      <c r="D1979" s="11">
        <f t="shared" si="91"/>
        <v>935454874.80999982</v>
      </c>
      <c r="E1979" s="10">
        <f t="shared" si="92"/>
        <v>0.9998864430464468</v>
      </c>
    </row>
    <row r="1980" spans="1:5">
      <c r="A1980">
        <f t="shared" si="90"/>
        <v>1979</v>
      </c>
      <c r="B1980" t="str" cm="1">
        <f t="array" ref="B1980">INDEX('Enriched Data'!C:C,A1980+1)</f>
        <v>Border Connect, Inc.</v>
      </c>
      <c r="C1980" s="11" cm="1">
        <f t="array" ref="C1980">INDEX('Enriched Data'!G:G,A1980+1)</f>
        <v>773.57</v>
      </c>
      <c r="D1980" s="11">
        <f t="shared" si="91"/>
        <v>935455648.37999988</v>
      </c>
      <c r="E1980" s="10">
        <f t="shared" si="92"/>
        <v>0.9998872698978285</v>
      </c>
    </row>
    <row r="1981" spans="1:5">
      <c r="A1981">
        <f t="shared" si="90"/>
        <v>1980</v>
      </c>
      <c r="B1981" t="str" cm="1">
        <f t="array" ref="B1981">INDEX('Enriched Data'!C:C,A1981+1)</f>
        <v>Van Drunen Heating &amp;AC</v>
      </c>
      <c r="C1981" s="11" cm="1">
        <f t="array" ref="C1981">INDEX('Enriched Data'!G:G,A1981+1)</f>
        <v>768</v>
      </c>
      <c r="D1981" s="11">
        <f t="shared" si="91"/>
        <v>935456416.37999988</v>
      </c>
      <c r="E1981" s="10">
        <f t="shared" si="92"/>
        <v>0.99988809079556384</v>
      </c>
    </row>
    <row r="1982" spans="1:5">
      <c r="A1982">
        <f t="shared" si="90"/>
        <v>1981</v>
      </c>
      <c r="B1982" t="str" cm="1">
        <f t="array" ref="B1982">INDEX('Enriched Data'!C:C,A1982+1)</f>
        <v>Transglass</v>
      </c>
      <c r="C1982" s="11" cm="1">
        <f t="array" ref="C1982">INDEX('Enriched Data'!G:G,A1982+1)</f>
        <v>760.78</v>
      </c>
      <c r="D1982" s="11">
        <f t="shared" si="91"/>
        <v>935457177.15999985</v>
      </c>
      <c r="E1982" s="10">
        <f t="shared" si="92"/>
        <v>0.99988890397600538</v>
      </c>
    </row>
    <row r="1983" spans="1:5">
      <c r="A1983">
        <f t="shared" si="90"/>
        <v>1982</v>
      </c>
      <c r="B1983" t="str" cm="1">
        <f t="array" ref="B1983">INDEX('Enriched Data'!C:C,A1983+1)</f>
        <v>HOMETOWN AUTO GLASS</v>
      </c>
      <c r="C1983" s="11" cm="1">
        <f t="array" ref="C1983">INDEX('Enriched Data'!G:G,A1983+1)</f>
        <v>759.7</v>
      </c>
      <c r="D1983" s="11">
        <f t="shared" si="91"/>
        <v>935457936.8599999</v>
      </c>
      <c r="E1983" s="10">
        <f t="shared" si="92"/>
        <v>0.99988971600205956</v>
      </c>
    </row>
    <row r="1984" spans="1:5">
      <c r="A1984">
        <f t="shared" si="90"/>
        <v>1983</v>
      </c>
      <c r="B1984" t="str" cm="1">
        <f t="array" ref="B1984">INDEX('Enriched Data'!C:C,A1984+1)</f>
        <v>NexGen Technologies</v>
      </c>
      <c r="C1984" s="11" cm="1">
        <f t="array" ref="C1984">INDEX('Enriched Data'!G:G,A1984+1)</f>
        <v>753</v>
      </c>
      <c r="D1984" s="11">
        <f t="shared" si="91"/>
        <v>935458689.8599999</v>
      </c>
      <c r="E1984" s="10">
        <f t="shared" si="92"/>
        <v>0.99989052086663599</v>
      </c>
    </row>
    <row r="1985" spans="1:5">
      <c r="A1985">
        <f t="shared" si="90"/>
        <v>1984</v>
      </c>
      <c r="B1985" t="str" cm="1">
        <f t="array" ref="B1985">INDEX('Enriched Data'!C:C,A1985+1)</f>
        <v>Stacy Serrato</v>
      </c>
      <c r="C1985" s="11" cm="1">
        <f t="array" ref="C1985">INDEX('Enriched Data'!G:G,A1985+1)</f>
        <v>750.83</v>
      </c>
      <c r="D1985" s="11">
        <f t="shared" si="91"/>
        <v>935459440.68999994</v>
      </c>
      <c r="E1985" s="10">
        <f t="shared" si="92"/>
        <v>0.9998913234117488</v>
      </c>
    </row>
    <row r="1986" spans="1:5">
      <c r="A1986">
        <f t="shared" si="90"/>
        <v>1985</v>
      </c>
      <c r="B1986" t="str" cm="1">
        <f t="array" ref="B1986">INDEX('Enriched Data'!C:C,A1986+1)</f>
        <v>Atlas Consumer Law</v>
      </c>
      <c r="C1986" s="11" cm="1">
        <f t="array" ref="C1986">INDEX('Enriched Data'!G:G,A1986+1)</f>
        <v>750</v>
      </c>
      <c r="D1986" s="11">
        <f t="shared" si="91"/>
        <v>935460190.68999994</v>
      </c>
      <c r="E1986" s="10">
        <f t="shared" si="92"/>
        <v>0.99989212506969349</v>
      </c>
    </row>
    <row r="1987" spans="1:5">
      <c r="A1987">
        <f t="shared" si="90"/>
        <v>1986</v>
      </c>
      <c r="B1987" t="str" cm="1">
        <f t="array" ref="B1987">INDEX('Enriched Data'!C:C,A1987+1)</f>
        <v>Valerie Flores</v>
      </c>
      <c r="C1987" s="11" cm="1">
        <f t="array" ref="C1987">INDEX('Enriched Data'!G:G,A1987+1)</f>
        <v>750</v>
      </c>
      <c r="D1987" s="11">
        <f t="shared" si="91"/>
        <v>935460940.68999994</v>
      </c>
      <c r="E1987" s="10">
        <f t="shared" si="92"/>
        <v>0.99989292672763819</v>
      </c>
    </row>
    <row r="1988" spans="1:5">
      <c r="A1988">
        <f t="shared" ref="A1988:A2051" si="93">A1987+1</f>
        <v>1987</v>
      </c>
      <c r="B1988" t="str" cm="1">
        <f t="array" ref="B1988">INDEX('Enriched Data'!C:C,A1988+1)</f>
        <v>DBA Alarm &amp; Security, Inc.</v>
      </c>
      <c r="C1988" s="11" cm="1">
        <f t="array" ref="C1988">INDEX('Enriched Data'!G:G,A1988+1)</f>
        <v>750</v>
      </c>
      <c r="D1988" s="11">
        <f t="shared" ref="D1988:D2051" si="94">D1987+C1988</f>
        <v>935461690.68999994</v>
      </c>
      <c r="E1988" s="10">
        <f t="shared" ref="E1988:E2051" si="95">D1988/$F$2</f>
        <v>0.99989372838558288</v>
      </c>
    </row>
    <row r="1989" spans="1:5">
      <c r="A1989">
        <f t="shared" si="93"/>
        <v>1988</v>
      </c>
      <c r="B1989" t="str" cm="1">
        <f t="array" ref="B1989">INDEX('Enriched Data'!C:C,A1989+1)</f>
        <v>ARIES, INC.</v>
      </c>
      <c r="C1989" s="11" cm="1">
        <f t="array" ref="C1989">INDEX('Enriched Data'!G:G,A1989+1)</f>
        <v>750</v>
      </c>
      <c r="D1989" s="11">
        <f t="shared" si="94"/>
        <v>935462440.68999994</v>
      </c>
      <c r="E1989" s="10">
        <f t="shared" si="95"/>
        <v>0.99989453004352757</v>
      </c>
    </row>
    <row r="1990" spans="1:5">
      <c r="A1990">
        <f t="shared" si="93"/>
        <v>1989</v>
      </c>
      <c r="B1990" t="str" cm="1">
        <f t="array" ref="B1990">INDEX('Enriched Data'!C:C,A1990+1)</f>
        <v>Benz Hydraulics Inc</v>
      </c>
      <c r="C1990" s="11" cm="1">
        <f t="array" ref="C1990">INDEX('Enriched Data'!G:G,A1990+1)</f>
        <v>748.91</v>
      </c>
      <c r="D1990" s="11">
        <f t="shared" si="94"/>
        <v>935463189.5999999</v>
      </c>
      <c r="E1990" s="10">
        <f t="shared" si="95"/>
        <v>0.99989533053639601</v>
      </c>
    </row>
    <row r="1991" spans="1:5">
      <c r="A1991">
        <f t="shared" si="93"/>
        <v>1990</v>
      </c>
      <c r="B1991" t="str" cm="1">
        <f t="array" ref="B1991">INDEX('Enriched Data'!C:C,A1991+1)</f>
        <v>Kai Plumbing LLC</v>
      </c>
      <c r="C1991" s="11" cm="1">
        <f t="array" ref="C1991">INDEX('Enriched Data'!G:G,A1991+1)</f>
        <v>745</v>
      </c>
      <c r="D1991" s="11">
        <f t="shared" si="94"/>
        <v>935463934.5999999</v>
      </c>
      <c r="E1991" s="10">
        <f t="shared" si="95"/>
        <v>0.99989612684995444</v>
      </c>
    </row>
    <row r="1992" spans="1:5">
      <c r="A1992">
        <f t="shared" si="93"/>
        <v>1991</v>
      </c>
      <c r="B1992" t="str" cm="1">
        <f t="array" ref="B1992">INDEX('Enriched Data'!C:C,A1992+1)</f>
        <v>Mansfield of Canada, ULC</v>
      </c>
      <c r="C1992" s="11" cm="1">
        <f t="array" ref="C1992">INDEX('Enriched Data'!G:G,A1992+1)</f>
        <v>741.25</v>
      </c>
      <c r="D1992" s="11">
        <f t="shared" si="94"/>
        <v>935464675.8499999</v>
      </c>
      <c r="E1992" s="10">
        <f t="shared" si="95"/>
        <v>0.99989691915522305</v>
      </c>
    </row>
    <row r="1993" spans="1:5">
      <c r="A1993">
        <f t="shared" si="93"/>
        <v>1992</v>
      </c>
      <c r="B1993" t="str" cm="1">
        <f t="array" ref="B1993">INDEX('Enriched Data'!C:C,A1993+1)</f>
        <v>Jade Plumbing &amp; Heating, Ltd.</v>
      </c>
      <c r="C1993" s="11" cm="1">
        <f t="array" ref="C1993">INDEX('Enriched Data'!G:G,A1993+1)</f>
        <v>735.79</v>
      </c>
      <c r="D1993" s="11">
        <f t="shared" si="94"/>
        <v>935465411.63999987</v>
      </c>
      <c r="E1993" s="10">
        <f t="shared" si="95"/>
        <v>0.99989770562442182</v>
      </c>
    </row>
    <row r="1994" spans="1:5">
      <c r="A1994">
        <f t="shared" si="93"/>
        <v>1993</v>
      </c>
      <c r="B1994" t="str" cm="1">
        <f t="array" ref="B1994">INDEX('Enriched Data'!C:C,A1994+1)</f>
        <v>CCDS dba Industrial Door Co</v>
      </c>
      <c r="C1994" s="11" cm="1">
        <f t="array" ref="C1994">INDEX('Enriched Data'!G:G,A1994+1)</f>
        <v>730</v>
      </c>
      <c r="D1994" s="11">
        <f t="shared" si="94"/>
        <v>935466141.63999987</v>
      </c>
      <c r="E1994" s="10">
        <f t="shared" si="95"/>
        <v>0.99989848590482133</v>
      </c>
    </row>
    <row r="1995" spans="1:5">
      <c r="A1995">
        <f t="shared" si="93"/>
        <v>1994</v>
      </c>
      <c r="B1995" t="str" cm="1">
        <f t="array" ref="B1995">INDEX('Enriched Data'!C:C,A1995+1)</f>
        <v>Unifour Fire &amp; Safety</v>
      </c>
      <c r="C1995" s="11" cm="1">
        <f t="array" ref="C1995">INDEX('Enriched Data'!G:G,A1995+1)</f>
        <v>725.28</v>
      </c>
      <c r="D1995" s="11">
        <f t="shared" si="94"/>
        <v>935466866.91999984</v>
      </c>
      <c r="E1995" s="10">
        <f t="shared" si="95"/>
        <v>0.99989926114012018</v>
      </c>
    </row>
    <row r="1996" spans="1:5">
      <c r="A1996">
        <f t="shared" si="93"/>
        <v>1995</v>
      </c>
      <c r="B1996" t="str" cm="1">
        <f t="array" ref="B1996">INDEX('Enriched Data'!C:C,A1996+1)</f>
        <v>The Salvation Army Eastern Terr. Hq</v>
      </c>
      <c r="C1996" s="11" cm="1">
        <f t="array" ref="C1996">INDEX('Enriched Data'!G:G,A1996+1)</f>
        <v>725.12</v>
      </c>
      <c r="D1996" s="11">
        <f t="shared" si="94"/>
        <v>935467592.03999984</v>
      </c>
      <c r="E1996" s="10">
        <f t="shared" si="95"/>
        <v>0.9999000362043986</v>
      </c>
    </row>
    <row r="1997" spans="1:5">
      <c r="A1997">
        <f t="shared" si="93"/>
        <v>1996</v>
      </c>
      <c r="B1997" t="str" cm="1">
        <f t="array" ref="B1997">INDEX('Enriched Data'!C:C,A1997+1)</f>
        <v>Culligan Bottled Water</v>
      </c>
      <c r="C1997" s="11" cm="1">
        <f t="array" ref="C1997">INDEX('Enriched Data'!G:G,A1997+1)</f>
        <v>724.78</v>
      </c>
      <c r="D1997" s="11">
        <f t="shared" si="94"/>
        <v>935468316.81999981</v>
      </c>
      <c r="E1997" s="10">
        <f t="shared" si="95"/>
        <v>0.99990081090525884</v>
      </c>
    </row>
    <row r="1998" spans="1:5">
      <c r="A1998">
        <f t="shared" si="93"/>
        <v>1997</v>
      </c>
      <c r="B1998" t="str" cm="1">
        <f t="array" ref="B1998">INDEX('Enriched Data'!C:C,A1998+1)</f>
        <v>Alert Fire &amp; Safety Co</v>
      </c>
      <c r="C1998" s="11" cm="1">
        <f t="array" ref="C1998">INDEX('Enriched Data'!G:G,A1998+1)</f>
        <v>723.8</v>
      </c>
      <c r="D1998" s="11">
        <f t="shared" si="94"/>
        <v>935469040.61999977</v>
      </c>
      <c r="E1998" s="10">
        <f t="shared" si="95"/>
        <v>0.99990158455861922</v>
      </c>
    </row>
    <row r="1999" spans="1:5">
      <c r="A1999">
        <f t="shared" si="93"/>
        <v>1998</v>
      </c>
      <c r="B1999" t="str" cm="1">
        <f t="array" ref="B1999">INDEX('Enriched Data'!C:C,A1999+1)</f>
        <v>A1 Sprinkler Co Inc</v>
      </c>
      <c r="C1999" s="11" cm="1">
        <f t="array" ref="C1999">INDEX('Enriched Data'!G:G,A1999+1)</f>
        <v>722.4</v>
      </c>
      <c r="D1999" s="11">
        <f t="shared" si="94"/>
        <v>935469763.01999974</v>
      </c>
      <c r="E1999" s="10">
        <f t="shared" si="95"/>
        <v>0.9999023567155515</v>
      </c>
    </row>
    <row r="2000" spans="1:5">
      <c r="A2000">
        <f t="shared" si="93"/>
        <v>1999</v>
      </c>
      <c r="B2000" t="str" cm="1">
        <f t="array" ref="B2000">INDEX('Enriched Data'!C:C,A2000+1)</f>
        <v>Eagle Fire dba BST</v>
      </c>
      <c r="C2000" s="11" cm="1">
        <f t="array" ref="C2000">INDEX('Enriched Data'!G:G,A2000+1)</f>
        <v>720</v>
      </c>
      <c r="D2000" s="11">
        <f t="shared" si="94"/>
        <v>935470483.01999974</v>
      </c>
      <c r="E2000" s="10">
        <f t="shared" si="95"/>
        <v>0.99990312630717837</v>
      </c>
    </row>
    <row r="2001" spans="1:5">
      <c r="A2001">
        <f t="shared" si="93"/>
        <v>2000</v>
      </c>
      <c r="B2001" t="str" cm="1">
        <f t="array" ref="B2001">INDEX('Enriched Data'!C:C,A2001+1)</f>
        <v>Barnes Welding/Fresno Oxygen</v>
      </c>
      <c r="C2001" s="11" cm="1">
        <f t="array" ref="C2001">INDEX('Enriched Data'!G:G,A2001+1)</f>
        <v>719.73</v>
      </c>
      <c r="D2001" s="11">
        <f t="shared" si="94"/>
        <v>935471202.74999976</v>
      </c>
      <c r="E2001" s="10">
        <f t="shared" si="95"/>
        <v>0.99990389561020843</v>
      </c>
    </row>
    <row r="2002" spans="1:5">
      <c r="A2002">
        <f t="shared" si="93"/>
        <v>2001</v>
      </c>
      <c r="B2002" t="str" cm="1">
        <f t="array" ref="B2002">INDEX('Enriched Data'!C:C,A2002+1)</f>
        <v>Overhead Door Greenville\High Country</v>
      </c>
      <c r="C2002" s="11" cm="1">
        <f t="array" ref="C2002">INDEX('Enriched Data'!G:G,A2002+1)</f>
        <v>719</v>
      </c>
      <c r="D2002" s="11">
        <f t="shared" si="94"/>
        <v>935471921.74999976</v>
      </c>
      <c r="E2002" s="10">
        <f t="shared" si="95"/>
        <v>0.99990466413295809</v>
      </c>
    </row>
    <row r="2003" spans="1:5">
      <c r="A2003">
        <f t="shared" si="93"/>
        <v>2002</v>
      </c>
      <c r="B2003" t="str" cm="1">
        <f t="array" ref="B2003">INDEX('Enriched Data'!C:C,A2003+1)</f>
        <v>Odyssey Relocation Management</v>
      </c>
      <c r="C2003" s="11" cm="1">
        <f t="array" ref="C2003">INDEX('Enriched Data'!G:G,A2003+1)</f>
        <v>715.59</v>
      </c>
      <c r="D2003" s="11">
        <f t="shared" si="94"/>
        <v>935472637.33999979</v>
      </c>
      <c r="E2003" s="10">
        <f t="shared" si="95"/>
        <v>0.99990542901083634</v>
      </c>
    </row>
    <row r="2004" spans="1:5">
      <c r="A2004">
        <f t="shared" si="93"/>
        <v>2003</v>
      </c>
      <c r="B2004" t="str" cm="1">
        <f t="array" ref="B2004">INDEX('Enriched Data'!C:C,A2004+1)</f>
        <v>Universal Business Solutions</v>
      </c>
      <c r="C2004" s="11" cm="1">
        <f t="array" ref="C2004">INDEX('Enriched Data'!G:G,A2004+1)</f>
        <v>714.51</v>
      </c>
      <c r="D2004" s="11">
        <f t="shared" si="94"/>
        <v>935473351.84999979</v>
      </c>
      <c r="E2004" s="10">
        <f t="shared" si="95"/>
        <v>0.99990619273432702</v>
      </c>
    </row>
    <row r="2005" spans="1:5">
      <c r="A2005">
        <f t="shared" si="93"/>
        <v>2004</v>
      </c>
      <c r="B2005" t="str" cm="1">
        <f t="array" ref="B2005">INDEX('Enriched Data'!C:C,A2005+1)</f>
        <v>D1 Executive Relocation Inc.</v>
      </c>
      <c r="C2005" s="11" cm="1">
        <f t="array" ref="C2005">INDEX('Enriched Data'!G:G,A2005+1)</f>
        <v>713.11</v>
      </c>
      <c r="D2005" s="11">
        <f t="shared" si="94"/>
        <v>935474064.9599998</v>
      </c>
      <c r="E2005" s="10">
        <f t="shared" si="95"/>
        <v>0.99990695496138959</v>
      </c>
    </row>
    <row r="2006" spans="1:5">
      <c r="A2006">
        <f t="shared" si="93"/>
        <v>2005</v>
      </c>
      <c r="B2006" t="str" cm="1">
        <f t="array" ref="B2006">INDEX('Enriched Data'!C:C,A2006+1)</f>
        <v>Profetta Overhead Door Co.</v>
      </c>
      <c r="C2006" s="11" cm="1">
        <f t="array" ref="C2006">INDEX('Enriched Data'!G:G,A2006+1)</f>
        <v>712.8</v>
      </c>
      <c r="D2006" s="11">
        <f t="shared" si="94"/>
        <v>935474777.75999975</v>
      </c>
      <c r="E2006" s="10">
        <f t="shared" si="95"/>
        <v>0.99990771685710023</v>
      </c>
    </row>
    <row r="2007" spans="1:5">
      <c r="A2007">
        <f t="shared" si="93"/>
        <v>2006</v>
      </c>
      <c r="B2007" t="str" cm="1">
        <f t="array" ref="B2007">INDEX('Enriched Data'!C:C,A2007+1)</f>
        <v>ALS Group USA Corp</v>
      </c>
      <c r="C2007" s="11" cm="1">
        <f t="array" ref="C2007">INDEX('Enriched Data'!G:G,A2007+1)</f>
        <v>707</v>
      </c>
      <c r="D2007" s="11">
        <f t="shared" si="94"/>
        <v>935475484.75999975</v>
      </c>
      <c r="E2007" s="10">
        <f t="shared" si="95"/>
        <v>0.99990847255332271</v>
      </c>
    </row>
    <row r="2008" spans="1:5">
      <c r="A2008">
        <f t="shared" si="93"/>
        <v>2007</v>
      </c>
      <c r="B2008" t="str" cm="1">
        <f t="array" ref="B2008">INDEX('Enriched Data'!C:C,A2008+1)</f>
        <v>S.A Comunale Co. Inc.</v>
      </c>
      <c r="C2008" s="11" cm="1">
        <f t="array" ref="C2008">INDEX('Enriched Data'!G:G,A2008+1)</f>
        <v>700</v>
      </c>
      <c r="D2008" s="11">
        <f t="shared" si="94"/>
        <v>935476184.75999975</v>
      </c>
      <c r="E2008" s="10">
        <f t="shared" si="95"/>
        <v>0.99990922076740441</v>
      </c>
    </row>
    <row r="2009" spans="1:5">
      <c r="A2009">
        <f t="shared" si="93"/>
        <v>2008</v>
      </c>
      <c r="B2009" t="str" cm="1">
        <f t="array" ref="B2009">INDEX('Enriched Data'!C:C,A2009+1)</f>
        <v>D&amp;J Mobile Service LLC</v>
      </c>
      <c r="C2009" s="11" cm="1">
        <f t="array" ref="C2009">INDEX('Enriched Data'!G:G,A2009+1)</f>
        <v>700</v>
      </c>
      <c r="D2009" s="11">
        <f t="shared" si="94"/>
        <v>935476884.75999975</v>
      </c>
      <c r="E2009" s="10">
        <f t="shared" si="95"/>
        <v>0.99990996898148621</v>
      </c>
    </row>
    <row r="2010" spans="1:5">
      <c r="A2010">
        <f t="shared" si="93"/>
        <v>2009</v>
      </c>
      <c r="B2010" t="str" cm="1">
        <f t="array" ref="B2010">INDEX('Enriched Data'!C:C,A2010+1)</f>
        <v>Fire Safety Supply, Inc</v>
      </c>
      <c r="C2010" s="11" cm="1">
        <f t="array" ref="C2010">INDEX('Enriched Data'!G:G,A2010+1)</f>
        <v>693</v>
      </c>
      <c r="D2010" s="11">
        <f t="shared" si="94"/>
        <v>935477577.75999975</v>
      </c>
      <c r="E2010" s="10">
        <f t="shared" si="95"/>
        <v>0.99991070971342699</v>
      </c>
    </row>
    <row r="2011" spans="1:5">
      <c r="A2011">
        <f t="shared" si="93"/>
        <v>2010</v>
      </c>
      <c r="B2011" t="str" cm="1">
        <f t="array" ref="B2011">INDEX('Enriched Data'!C:C,A2011+1)</f>
        <v>Holmes Security Systems</v>
      </c>
      <c r="C2011" s="11" cm="1">
        <f t="array" ref="C2011">INDEX('Enriched Data'!G:G,A2011+1)</f>
        <v>689.55</v>
      </c>
      <c r="D2011" s="11">
        <f t="shared" si="94"/>
        <v>935478267.3099997</v>
      </c>
      <c r="E2011" s="10">
        <f t="shared" si="95"/>
        <v>0.99991144675774135</v>
      </c>
    </row>
    <row r="2012" spans="1:5">
      <c r="A2012">
        <f t="shared" si="93"/>
        <v>2011</v>
      </c>
      <c r="B2012" t="str" cm="1">
        <f t="array" ref="B2012">INDEX('Enriched Data'!C:C,A2012+1)</f>
        <v>DTM Installations</v>
      </c>
      <c r="C2012" s="11" cm="1">
        <f t="array" ref="C2012">INDEX('Enriched Data'!G:G,A2012+1)</f>
        <v>689.27</v>
      </c>
      <c r="D2012" s="11">
        <f t="shared" si="94"/>
        <v>935478956.57999969</v>
      </c>
      <c r="E2012" s="10">
        <f t="shared" si="95"/>
        <v>0.99991218350277</v>
      </c>
    </row>
    <row r="2013" spans="1:5">
      <c r="A2013">
        <f t="shared" si="93"/>
        <v>2012</v>
      </c>
      <c r="B2013" t="str" cm="1">
        <f t="array" ref="B2013">INDEX('Enriched Data'!C:C,A2013+1)</f>
        <v>A Plus Alarm</v>
      </c>
      <c r="C2013" s="11" cm="1">
        <f t="array" ref="C2013">INDEX('Enriched Data'!G:G,A2013+1)</f>
        <v>686.7</v>
      </c>
      <c r="D2013" s="11">
        <f t="shared" si="94"/>
        <v>935479643.27999973</v>
      </c>
      <c r="E2013" s="10">
        <f t="shared" si="95"/>
        <v>0.99991291750078426</v>
      </c>
    </row>
    <row r="2014" spans="1:5">
      <c r="A2014">
        <f t="shared" si="93"/>
        <v>2013</v>
      </c>
      <c r="B2014" t="str" cm="1">
        <f t="array" ref="B2014">INDEX('Enriched Data'!C:C,A2014+1)</f>
        <v>Bouma Fire Inc. dba Service First Fire Sprinkler</v>
      </c>
      <c r="C2014" s="11" cm="1">
        <f t="array" ref="C2014">INDEX('Enriched Data'!G:G,A2014+1)</f>
        <v>679.68</v>
      </c>
      <c r="D2014" s="11">
        <f t="shared" si="94"/>
        <v>935480322.95999968</v>
      </c>
      <c r="E2014" s="10">
        <f t="shared" si="95"/>
        <v>0.99991364399527993</v>
      </c>
    </row>
    <row r="2015" spans="1:5">
      <c r="A2015">
        <f t="shared" si="93"/>
        <v>2014</v>
      </c>
      <c r="B2015" t="str" cm="1">
        <f t="array" ref="B2015">INDEX('Enriched Data'!C:C,A2015+1)</f>
        <v>Deep South Equipment</v>
      </c>
      <c r="C2015" s="11" cm="1">
        <f t="array" ref="C2015">INDEX('Enriched Data'!G:G,A2015+1)</f>
        <v>677.34</v>
      </c>
      <c r="D2015" s="11">
        <f t="shared" si="94"/>
        <v>935481000.29999971</v>
      </c>
      <c r="E2015" s="10">
        <f t="shared" si="95"/>
        <v>0.999914367988603</v>
      </c>
    </row>
    <row r="2016" spans="1:5">
      <c r="A2016">
        <f t="shared" si="93"/>
        <v>2015</v>
      </c>
      <c r="B2016" t="str" cm="1">
        <f t="array" ref="B2016">INDEX('Enriched Data'!C:C,A2016+1)</f>
        <v>Swift Industrial Power, Inc</v>
      </c>
      <c r="C2016" s="11" cm="1">
        <f t="array" ref="C2016">INDEX('Enriched Data'!G:G,A2016+1)</f>
        <v>676.49</v>
      </c>
      <c r="D2016" s="11">
        <f t="shared" si="94"/>
        <v>935481676.78999972</v>
      </c>
      <c r="E2016" s="10">
        <f t="shared" si="95"/>
        <v>0.99991509107338039</v>
      </c>
    </row>
    <row r="2017" spans="1:5">
      <c r="A2017">
        <f t="shared" si="93"/>
        <v>2016</v>
      </c>
      <c r="B2017" t="str" cm="1">
        <f t="array" ref="B2017">INDEX('Enriched Data'!C:C,A2017+1)</f>
        <v>Employee Benefits</v>
      </c>
      <c r="C2017" s="11" cm="1">
        <f t="array" ref="C2017">INDEX('Enriched Data'!G:G,A2017+1)</f>
        <v>675</v>
      </c>
      <c r="D2017" s="11">
        <f t="shared" si="94"/>
        <v>935482351.78999972</v>
      </c>
      <c r="E2017" s="10">
        <f t="shared" si="95"/>
        <v>0.99991581256553053</v>
      </c>
    </row>
    <row r="2018" spans="1:5">
      <c r="A2018">
        <f t="shared" si="93"/>
        <v>2017</v>
      </c>
      <c r="B2018" t="str" cm="1">
        <f t="array" ref="B2018">INDEX('Enriched Data'!C:C,A2018+1)</f>
        <v>Complete Business Systems</v>
      </c>
      <c r="C2018" s="11" cm="1">
        <f t="array" ref="C2018">INDEX('Enriched Data'!G:G,A2018+1)</f>
        <v>674.9</v>
      </c>
      <c r="D2018" s="11">
        <f t="shared" si="94"/>
        <v>935483026.6899997</v>
      </c>
      <c r="E2018" s="10">
        <f t="shared" si="95"/>
        <v>0.99991653395079305</v>
      </c>
    </row>
    <row r="2019" spans="1:5">
      <c r="A2019">
        <f t="shared" si="93"/>
        <v>2018</v>
      </c>
      <c r="B2019" t="str" cm="1">
        <f t="array" ref="B2019">INDEX('Enriched Data'!C:C,A2019+1)</f>
        <v>The Tow Truck Company</v>
      </c>
      <c r="C2019" s="11" cm="1">
        <f t="array" ref="C2019">INDEX('Enriched Data'!G:G,A2019+1)</f>
        <v>672.93</v>
      </c>
      <c r="D2019" s="11">
        <f t="shared" si="94"/>
        <v>935483699.61999965</v>
      </c>
      <c r="E2019" s="10">
        <f t="shared" si="95"/>
        <v>0.99991725323036729</v>
      </c>
    </row>
    <row r="2020" spans="1:5">
      <c r="A2020">
        <f t="shared" si="93"/>
        <v>2019</v>
      </c>
      <c r="B2020" t="str" cm="1">
        <f t="array" ref="B2020">INDEX('Enriched Data'!C:C,A2020+1)</f>
        <v>United Fire Consultant</v>
      </c>
      <c r="C2020" s="11" cm="1">
        <f t="array" ref="C2020">INDEX('Enriched Data'!G:G,A2020+1)</f>
        <v>672.87</v>
      </c>
      <c r="D2020" s="11">
        <f t="shared" si="94"/>
        <v>935484372.48999965</v>
      </c>
      <c r="E2020" s="10">
        <f t="shared" si="95"/>
        <v>0.99991797244580893</v>
      </c>
    </row>
    <row r="2021" spans="1:5">
      <c r="A2021">
        <f t="shared" si="93"/>
        <v>2020</v>
      </c>
      <c r="B2021" t="str" cm="1">
        <f t="array" ref="B2021">INDEX('Enriched Data'!C:C,A2021+1)</f>
        <v>Culligan of Wichita</v>
      </c>
      <c r="C2021" s="11" cm="1">
        <f t="array" ref="C2021">INDEX('Enriched Data'!G:G,A2021+1)</f>
        <v>659.2</v>
      </c>
      <c r="D2021" s="11">
        <f t="shared" si="94"/>
        <v>935485031.6899997</v>
      </c>
      <c r="E2021" s="10">
        <f t="shared" si="95"/>
        <v>0.9999186770496985</v>
      </c>
    </row>
    <row r="2022" spans="1:5">
      <c r="A2022">
        <f t="shared" si="93"/>
        <v>2021</v>
      </c>
      <c r="B2022" t="str" cm="1">
        <f t="array" ref="B2022">INDEX('Enriched Data'!C:C,A2022+1)</f>
        <v>Blue Star Gas Eugene Company</v>
      </c>
      <c r="C2022" s="11" cm="1">
        <f t="array" ref="C2022">INDEX('Enriched Data'!G:G,A2022+1)</f>
        <v>658.47</v>
      </c>
      <c r="D2022" s="11">
        <f t="shared" si="94"/>
        <v>935485690.15999973</v>
      </c>
      <c r="E2022" s="10">
        <f t="shared" si="95"/>
        <v>0.99991938087330767</v>
      </c>
    </row>
    <row r="2023" spans="1:5">
      <c r="A2023">
        <f t="shared" si="93"/>
        <v>2022</v>
      </c>
      <c r="B2023" t="str" cm="1">
        <f t="array" ref="B2023">INDEX('Enriched Data'!C:C,A2023+1)</f>
        <v>Overhead Door Co of Cedar Rapids&amp;</v>
      </c>
      <c r="C2023" s="11" cm="1">
        <f t="array" ref="C2023">INDEX('Enriched Data'!G:G,A2023+1)</f>
        <v>654.84</v>
      </c>
      <c r="D2023" s="11">
        <f t="shared" si="94"/>
        <v>935486344.99999976</v>
      </c>
      <c r="E2023" s="10">
        <f t="shared" si="95"/>
        <v>0.99992008081689232</v>
      </c>
    </row>
    <row r="2024" spans="1:5">
      <c r="A2024">
        <f t="shared" si="93"/>
        <v>2023</v>
      </c>
      <c r="B2024" t="str" cm="1">
        <f t="array" ref="B2024">INDEX('Enriched Data'!C:C,A2024+1)</f>
        <v>Timmons Group, Inc.</v>
      </c>
      <c r="C2024" s="11" cm="1">
        <f t="array" ref="C2024">INDEX('Enriched Data'!G:G,A2024+1)</f>
        <v>650</v>
      </c>
      <c r="D2024" s="11">
        <f t="shared" si="94"/>
        <v>935486994.99999976</v>
      </c>
      <c r="E2024" s="10">
        <f t="shared" si="95"/>
        <v>0.99992077558711101</v>
      </c>
    </row>
    <row r="2025" spans="1:5">
      <c r="A2025">
        <f t="shared" si="93"/>
        <v>2024</v>
      </c>
      <c r="B2025" t="str" cm="1">
        <f t="array" ref="B2025">INDEX('Enriched Data'!C:C,A2025+1)</f>
        <v>Lightning Mobile Services, LLC</v>
      </c>
      <c r="C2025" s="11" cm="1">
        <f t="array" ref="C2025">INDEX('Enriched Data'!G:G,A2025+1)</f>
        <v>650</v>
      </c>
      <c r="D2025" s="11">
        <f t="shared" si="94"/>
        <v>935487644.99999976</v>
      </c>
      <c r="E2025" s="10">
        <f t="shared" si="95"/>
        <v>0.99992147035732981</v>
      </c>
    </row>
    <row r="2026" spans="1:5">
      <c r="A2026">
        <f t="shared" si="93"/>
        <v>2025</v>
      </c>
      <c r="B2026" t="str" cm="1">
        <f t="array" ref="B2026">INDEX('Enriched Data'!C:C,A2026+1)</f>
        <v>Intruder Alert Systems, Inc.</v>
      </c>
      <c r="C2026" s="11" cm="1">
        <f t="array" ref="C2026">INDEX('Enriched Data'!G:G,A2026+1)</f>
        <v>648.84</v>
      </c>
      <c r="D2026" s="11">
        <f t="shared" si="94"/>
        <v>935488293.83999979</v>
      </c>
      <c r="E2026" s="10">
        <f t="shared" si="95"/>
        <v>0.99992216388765087</v>
      </c>
    </row>
    <row r="2027" spans="1:5">
      <c r="A2027">
        <f t="shared" si="93"/>
        <v>2026</v>
      </c>
      <c r="B2027" t="str" cm="1">
        <f t="array" ref="B2027">INDEX('Enriched Data'!C:C,A2027+1)</f>
        <v>Pal-Mac Plumbing &amp; Heating</v>
      </c>
      <c r="C2027" s="11" cm="1">
        <f t="array" ref="C2027">INDEX('Enriched Data'!G:G,A2027+1)</f>
        <v>648</v>
      </c>
      <c r="D2027" s="11">
        <f t="shared" si="94"/>
        <v>935488941.83999979</v>
      </c>
      <c r="E2027" s="10">
        <f t="shared" si="95"/>
        <v>0.99992285652011514</v>
      </c>
    </row>
    <row r="2028" spans="1:5">
      <c r="A2028">
        <f t="shared" si="93"/>
        <v>2027</v>
      </c>
      <c r="B2028" t="str" cm="1">
        <f t="array" ref="B2028">INDEX('Enriched Data'!C:C,A2028+1)</f>
        <v>Relocation Today</v>
      </c>
      <c r="C2028" s="11" cm="1">
        <f t="array" ref="C2028">INDEX('Enriched Data'!G:G,A2028+1)</f>
        <v>640.74</v>
      </c>
      <c r="D2028" s="11">
        <f t="shared" si="94"/>
        <v>935489582.5799998</v>
      </c>
      <c r="E2028" s="10">
        <f t="shared" si="95"/>
        <v>0.99992354139253048</v>
      </c>
    </row>
    <row r="2029" spans="1:5">
      <c r="A2029">
        <f t="shared" si="93"/>
        <v>2028</v>
      </c>
      <c r="B2029" t="str" cm="1">
        <f t="array" ref="B2029">INDEX('Enriched Data'!C:C,A2029+1)</f>
        <v>Graciela Angel Ibarra</v>
      </c>
      <c r="C2029" s="11" cm="1">
        <f t="array" ref="C2029">INDEX('Enriched Data'!G:G,A2029+1)</f>
        <v>640</v>
      </c>
      <c r="D2029" s="11">
        <f t="shared" si="94"/>
        <v>935490222.5799998</v>
      </c>
      <c r="E2029" s="10">
        <f t="shared" si="95"/>
        <v>0.99992422547397652</v>
      </c>
    </row>
    <row r="2030" spans="1:5">
      <c r="A2030">
        <f t="shared" si="93"/>
        <v>2029</v>
      </c>
      <c r="B2030" t="str" cm="1">
        <f t="array" ref="B2030">INDEX('Enriched Data'!C:C,A2030+1)</f>
        <v>Fire Protection Equipment Co., Inc.</v>
      </c>
      <c r="C2030" s="11" cm="1">
        <f t="array" ref="C2030">INDEX('Enriched Data'!G:G,A2030+1)</f>
        <v>639.80999999999995</v>
      </c>
      <c r="D2030" s="11">
        <f t="shared" si="94"/>
        <v>935490862.38999975</v>
      </c>
      <c r="E2030" s="10">
        <f t="shared" si="95"/>
        <v>0.99992490935233591</v>
      </c>
    </row>
    <row r="2031" spans="1:5">
      <c r="A2031">
        <f t="shared" si="93"/>
        <v>2030</v>
      </c>
      <c r="B2031" t="str" cm="1">
        <f t="array" ref="B2031">INDEX('Enriched Data'!C:C,A2031+1)</f>
        <v>OPG Plus LLC</v>
      </c>
      <c r="C2031" s="11" cm="1">
        <f t="array" ref="C2031">INDEX('Enriched Data'!G:G,A2031+1)</f>
        <v>639.25</v>
      </c>
      <c r="D2031" s="11">
        <f t="shared" si="94"/>
        <v>935491501.63999975</v>
      </c>
      <c r="E2031" s="10">
        <f t="shared" si="95"/>
        <v>0.99992559263212411</v>
      </c>
    </row>
    <row r="2032" spans="1:5">
      <c r="A2032">
        <f t="shared" si="93"/>
        <v>2031</v>
      </c>
      <c r="B2032" t="str" cm="1">
        <f t="array" ref="B2032">INDEX('Enriched Data'!C:C,A2032+1)</f>
        <v>Interstate Billing Service</v>
      </c>
      <c r="C2032" s="11" cm="1">
        <f t="array" ref="C2032">INDEX('Enriched Data'!G:G,A2032+1)</f>
        <v>637.82000000000005</v>
      </c>
      <c r="D2032" s="11">
        <f t="shared" si="94"/>
        <v>935492139.4599998</v>
      </c>
      <c r="E2032" s="10">
        <f t="shared" si="95"/>
        <v>0.99992627438341786</v>
      </c>
    </row>
    <row r="2033" spans="1:5">
      <c r="A2033">
        <f t="shared" si="93"/>
        <v>2032</v>
      </c>
      <c r="B2033" t="str" cm="1">
        <f t="array" ref="B2033">INDEX('Enriched Data'!C:C,A2033+1)</f>
        <v>TAH Operations, LLC</v>
      </c>
      <c r="C2033" s="11" cm="1">
        <f t="array" ref="C2033">INDEX('Enriched Data'!G:G,A2033+1)</f>
        <v>634.37</v>
      </c>
      <c r="D2033" s="11">
        <f t="shared" si="94"/>
        <v>935492773.8299998</v>
      </c>
      <c r="E2033" s="10">
        <f t="shared" si="95"/>
        <v>0.99992695244708507</v>
      </c>
    </row>
    <row r="2034" spans="1:5">
      <c r="A2034">
        <f t="shared" si="93"/>
        <v>2033</v>
      </c>
      <c r="B2034" t="str" cm="1">
        <f t="array" ref="B2034">INDEX('Enriched Data'!C:C,A2034+1)</f>
        <v>Kansas Chemical Specialties, LLC</v>
      </c>
      <c r="C2034" s="11" cm="1">
        <f t="array" ref="C2034">INDEX('Enriched Data'!G:G,A2034+1)</f>
        <v>633.91</v>
      </c>
      <c r="D2034" s="11">
        <f t="shared" si="94"/>
        <v>935493407.73999977</v>
      </c>
      <c r="E2034" s="10">
        <f t="shared" si="95"/>
        <v>0.9999276300190687</v>
      </c>
    </row>
    <row r="2035" spans="1:5">
      <c r="A2035">
        <f t="shared" si="93"/>
        <v>2034</v>
      </c>
      <c r="B2035" t="str" cm="1">
        <f t="array" ref="B2035">INDEX('Enriched Data'!C:C,A2035+1)</f>
        <v>Culligan of Rockland</v>
      </c>
      <c r="C2035" s="11" cm="1">
        <f t="array" ref="C2035">INDEX('Enriched Data'!G:G,A2035+1)</f>
        <v>633.54999999999995</v>
      </c>
      <c r="D2035" s="11">
        <f t="shared" si="94"/>
        <v>935494041.28999972</v>
      </c>
      <c r="E2035" s="10">
        <f t="shared" si="95"/>
        <v>0.99992830720625636</v>
      </c>
    </row>
    <row r="2036" spans="1:5">
      <c r="A2036">
        <f t="shared" si="93"/>
        <v>2035</v>
      </c>
      <c r="B2036" t="str" cm="1">
        <f t="array" ref="B2036">INDEX('Enriched Data'!C:C,A2036+1)</f>
        <v>CHH, LLC</v>
      </c>
      <c r="C2036" s="11" cm="1">
        <f t="array" ref="C2036">INDEX('Enriched Data'!G:G,A2036+1)</f>
        <v>628.21</v>
      </c>
      <c r="D2036" s="11">
        <f t="shared" si="94"/>
        <v>935494669.49999976</v>
      </c>
      <c r="E2036" s="10">
        <f t="shared" si="95"/>
        <v>0.99992897868563968</v>
      </c>
    </row>
    <row r="2037" spans="1:5">
      <c r="A2037">
        <f t="shared" si="93"/>
        <v>2036</v>
      </c>
      <c r="B2037" t="str" cm="1">
        <f t="array" ref="B2037">INDEX('Enriched Data'!C:C,A2037+1)</f>
        <v>Teds Towing Service</v>
      </c>
      <c r="C2037" s="11" cm="1">
        <f t="array" ref="C2037">INDEX('Enriched Data'!G:G,A2037+1)</f>
        <v>625</v>
      </c>
      <c r="D2037" s="11">
        <f t="shared" si="94"/>
        <v>935495294.49999976</v>
      </c>
      <c r="E2037" s="10">
        <f t="shared" si="95"/>
        <v>0.99992964673392692</v>
      </c>
    </row>
    <row r="2038" spans="1:5">
      <c r="A2038">
        <f t="shared" si="93"/>
        <v>2037</v>
      </c>
      <c r="B2038" t="str" cm="1">
        <f t="array" ref="B2038">INDEX('Enriched Data'!C:C,A2038+1)</f>
        <v>Industrial Source</v>
      </c>
      <c r="C2038" s="11" cm="1">
        <f t="array" ref="C2038">INDEX('Enriched Data'!G:G,A2038+1)</f>
        <v>624.58000000000004</v>
      </c>
      <c r="D2038" s="11">
        <f t="shared" si="94"/>
        <v>935495919.0799998</v>
      </c>
      <c r="E2038" s="10">
        <f t="shared" si="95"/>
        <v>0.99993031433328572</v>
      </c>
    </row>
    <row r="2039" spans="1:5">
      <c r="A2039">
        <f t="shared" si="93"/>
        <v>2038</v>
      </c>
      <c r="B2039" t="str" cm="1">
        <f t="array" ref="B2039">INDEX('Enriched Data'!C:C,A2039+1)</f>
        <v>Pinellas Fastener</v>
      </c>
      <c r="C2039" s="11" cm="1">
        <f t="array" ref="C2039">INDEX('Enriched Data'!G:G,A2039+1)</f>
        <v>618.89</v>
      </c>
      <c r="D2039" s="11">
        <f t="shared" si="94"/>
        <v>935496537.96999979</v>
      </c>
      <c r="E2039" s="10">
        <f t="shared" si="95"/>
        <v>0.99993097585073287</v>
      </c>
    </row>
    <row r="2040" spans="1:5">
      <c r="A2040">
        <f t="shared" si="93"/>
        <v>2039</v>
      </c>
      <c r="B2040" t="str" cm="1">
        <f t="array" ref="B2040">INDEX('Enriched Data'!C:C,A2040+1)</f>
        <v>JKA Real Estate Investments LLC</v>
      </c>
      <c r="C2040" s="11" cm="1">
        <f t="array" ref="C2040">INDEX('Enriched Data'!G:G,A2040+1)</f>
        <v>600</v>
      </c>
      <c r="D2040" s="11">
        <f t="shared" si="94"/>
        <v>935497137.96999979</v>
      </c>
      <c r="E2040" s="10">
        <f t="shared" si="95"/>
        <v>0.99993161717708867</v>
      </c>
    </row>
    <row r="2041" spans="1:5">
      <c r="A2041">
        <f t="shared" si="93"/>
        <v>2040</v>
      </c>
      <c r="B2041" t="str" cm="1">
        <f t="array" ref="B2041">INDEX('Enriched Data'!C:C,A2041+1)</f>
        <v>The Pressure Cleaning People.com, LLC</v>
      </c>
      <c r="C2041" s="11" cm="1">
        <f t="array" ref="C2041">INDEX('Enriched Data'!G:G,A2041+1)</f>
        <v>600</v>
      </c>
      <c r="D2041" s="11">
        <f t="shared" si="94"/>
        <v>935497737.96999979</v>
      </c>
      <c r="E2041" s="10">
        <f t="shared" si="95"/>
        <v>0.99993225850344436</v>
      </c>
    </row>
    <row r="2042" spans="1:5">
      <c r="A2042">
        <f t="shared" si="93"/>
        <v>2041</v>
      </c>
      <c r="B2042" t="str" cm="1">
        <f t="array" ref="B2042">INDEX('Enriched Data'!C:C,A2042+1)</f>
        <v>A&amp;S Plumbing, Inc</v>
      </c>
      <c r="C2042" s="11" cm="1">
        <f t="array" ref="C2042">INDEX('Enriched Data'!G:G,A2042+1)</f>
        <v>597.32000000000005</v>
      </c>
      <c r="D2042" s="11">
        <f t="shared" si="94"/>
        <v>935498335.28999984</v>
      </c>
      <c r="E2042" s="10">
        <f t="shared" si="95"/>
        <v>0.99993289696520915</v>
      </c>
    </row>
    <row r="2043" spans="1:5">
      <c r="A2043">
        <f t="shared" si="93"/>
        <v>2042</v>
      </c>
      <c r="B2043" t="str" cm="1">
        <f t="array" ref="B2043">INDEX('Enriched Data'!C:C,A2043+1)</f>
        <v>Interboro Fire Safety LLC</v>
      </c>
      <c r="C2043" s="11" cm="1">
        <f t="array" ref="C2043">INDEX('Enriched Data'!G:G,A2043+1)</f>
        <v>593.15</v>
      </c>
      <c r="D2043" s="11">
        <f t="shared" si="94"/>
        <v>935498928.43999982</v>
      </c>
      <c r="E2043" s="10">
        <f t="shared" si="95"/>
        <v>0.99993353096975568</v>
      </c>
    </row>
    <row r="2044" spans="1:5">
      <c r="A2044">
        <f t="shared" si="93"/>
        <v>2043</v>
      </c>
      <c r="B2044" t="str" cm="1">
        <f t="array" ref="B2044">INDEX('Enriched Data'!C:C,A2044+1)</f>
        <v>COP Hometown Services Inc.</v>
      </c>
      <c r="C2044" s="11" cm="1">
        <f t="array" ref="C2044">INDEX('Enriched Data'!G:G,A2044+1)</f>
        <v>584</v>
      </c>
      <c r="D2044" s="11">
        <f t="shared" si="94"/>
        <v>935499512.43999982</v>
      </c>
      <c r="E2044" s="10">
        <f t="shared" si="95"/>
        <v>0.99993415519407525</v>
      </c>
    </row>
    <row r="2045" spans="1:5">
      <c r="A2045">
        <f t="shared" si="93"/>
        <v>2044</v>
      </c>
      <c r="B2045" t="str" cm="1">
        <f t="array" ref="B2045">INDEX('Enriched Data'!C:C,A2045+1)</f>
        <v>Marshall Marine Supply Inc</v>
      </c>
      <c r="C2045" s="11" cm="1">
        <f t="array" ref="C2045">INDEX('Enriched Data'!G:G,A2045+1)</f>
        <v>583</v>
      </c>
      <c r="D2045" s="11">
        <f t="shared" si="94"/>
        <v>935500095.43999982</v>
      </c>
      <c r="E2045" s="10">
        <f t="shared" si="95"/>
        <v>0.99993477834951761</v>
      </c>
    </row>
    <row r="2046" spans="1:5">
      <c r="A2046">
        <f t="shared" si="93"/>
        <v>2045</v>
      </c>
      <c r="B2046" t="str" cm="1">
        <f t="array" ref="B2046">INDEX('Enriched Data'!C:C,A2046+1)</f>
        <v>SSH Communications Security, Inc.</v>
      </c>
      <c r="C2046" s="11" cm="1">
        <f t="array" ref="C2046">INDEX('Enriched Data'!G:G,A2046+1)</f>
        <v>578.80999999999995</v>
      </c>
      <c r="D2046" s="11">
        <f t="shared" si="94"/>
        <v>935500674.24999976</v>
      </c>
      <c r="E2046" s="10">
        <f t="shared" si="95"/>
        <v>0.99993539702636414</v>
      </c>
    </row>
    <row r="2047" spans="1:5">
      <c r="A2047">
        <f t="shared" si="93"/>
        <v>2046</v>
      </c>
      <c r="B2047" t="str" cm="1">
        <f t="array" ref="B2047">INDEX('Enriched Data'!C:C,A2047+1)</f>
        <v>Air System Designs LLC</v>
      </c>
      <c r="C2047" s="11" cm="1">
        <f t="array" ref="C2047">INDEX('Enriched Data'!G:G,A2047+1)</f>
        <v>575</v>
      </c>
      <c r="D2047" s="11">
        <f t="shared" si="94"/>
        <v>935501249.24999976</v>
      </c>
      <c r="E2047" s="10">
        <f t="shared" si="95"/>
        <v>0.99993601163078838</v>
      </c>
    </row>
    <row r="2048" spans="1:5">
      <c r="A2048">
        <f t="shared" si="93"/>
        <v>2047</v>
      </c>
      <c r="B2048" t="str" cm="1">
        <f t="array" ref="B2048">INDEX('Enriched Data'!C:C,A2048+1)</f>
        <v>Transport Repair Service, Inc.</v>
      </c>
      <c r="C2048" s="11" cm="1">
        <f t="array" ref="C2048">INDEX('Enriched Data'!G:G,A2048+1)</f>
        <v>570</v>
      </c>
      <c r="D2048" s="11">
        <f t="shared" si="94"/>
        <v>935501819.24999976</v>
      </c>
      <c r="E2048" s="10">
        <f t="shared" si="95"/>
        <v>0.99993662089082636</v>
      </c>
    </row>
    <row r="2049" spans="1:5">
      <c r="A2049">
        <f t="shared" si="93"/>
        <v>2048</v>
      </c>
      <c r="B2049" t="str" cm="1">
        <f t="array" ref="B2049">INDEX('Enriched Data'!C:C,A2049+1)</f>
        <v>Maktech Fleet Solutions</v>
      </c>
      <c r="C2049" s="11" cm="1">
        <f t="array" ref="C2049">INDEX('Enriched Data'!G:G,A2049+1)</f>
        <v>565</v>
      </c>
      <c r="D2049" s="11">
        <f t="shared" si="94"/>
        <v>935502384.24999976</v>
      </c>
      <c r="E2049" s="10">
        <f t="shared" si="95"/>
        <v>0.99993722480647806</v>
      </c>
    </row>
    <row r="2050" spans="1:5">
      <c r="A2050">
        <f t="shared" si="93"/>
        <v>2049</v>
      </c>
      <c r="B2050" t="str" cm="1">
        <f t="array" ref="B2050">INDEX('Enriched Data'!C:C,A2050+1)</f>
        <v>R&amp;s Erection Of So Alameda</v>
      </c>
      <c r="C2050" s="11" cm="1">
        <f t="array" ref="C2050">INDEX('Enriched Data'!G:G,A2050+1)</f>
        <v>565</v>
      </c>
      <c r="D2050" s="11">
        <f t="shared" si="94"/>
        <v>935502949.24999976</v>
      </c>
      <c r="E2050" s="10">
        <f t="shared" si="95"/>
        <v>0.99993782872212966</v>
      </c>
    </row>
    <row r="2051" spans="1:5">
      <c r="A2051">
        <f t="shared" si="93"/>
        <v>2050</v>
      </c>
      <c r="B2051" t="str" cm="1">
        <f t="array" ref="B2051">INDEX('Enriched Data'!C:C,A2051+1)</f>
        <v>Heritage Industrial- do not use-USE Vendor #131947</v>
      </c>
      <c r="C2051" s="11" cm="1">
        <f t="array" ref="C2051">INDEX('Enriched Data'!G:G,A2051+1)</f>
        <v>560.85</v>
      </c>
      <c r="D2051" s="11">
        <f t="shared" si="94"/>
        <v>935503510.09999979</v>
      </c>
      <c r="E2051" s="10">
        <f t="shared" si="95"/>
        <v>0.99993842820194079</v>
      </c>
    </row>
    <row r="2052" spans="1:5">
      <c r="A2052">
        <f t="shared" ref="A2052:A2115" si="96">A2051+1</f>
        <v>2051</v>
      </c>
      <c r="B2052" t="str" cm="1">
        <f t="array" ref="B2052">INDEX('Enriched Data'!C:C,A2052+1)</f>
        <v>Safelink Corporation (Fire Protection)</v>
      </c>
      <c r="C2052" s="11" cm="1">
        <f t="array" ref="C2052">INDEX('Enriched Data'!G:G,A2052+1)</f>
        <v>557.09</v>
      </c>
      <c r="D2052" s="11">
        <f t="shared" ref="D2052:D2115" si="97">D2051+C2052</f>
        <v>935504067.18999982</v>
      </c>
      <c r="E2052" s="10">
        <f t="shared" ref="E2052:E2115" si="98">D2052/$F$2</f>
        <v>0.99993902366277332</v>
      </c>
    </row>
    <row r="2053" spans="1:5">
      <c r="A2053">
        <f t="shared" si="96"/>
        <v>2052</v>
      </c>
      <c r="B2053" t="str" cm="1">
        <f t="array" ref="B2053">INDEX('Enriched Data'!C:C,A2053+1)</f>
        <v>HomeServices Partnership Group, LLC</v>
      </c>
      <c r="C2053" s="11" cm="1">
        <f t="array" ref="C2053">INDEX('Enriched Data'!G:G,A2053+1)</f>
        <v>553.21</v>
      </c>
      <c r="D2053" s="11">
        <f t="shared" si="97"/>
        <v>935504620.39999986</v>
      </c>
      <c r="E2053" s="10">
        <f t="shared" si="98"/>
        <v>0.99993961497636208</v>
      </c>
    </row>
    <row r="2054" spans="1:5">
      <c r="A2054">
        <f t="shared" si="96"/>
        <v>2053</v>
      </c>
      <c r="B2054" t="str" cm="1">
        <f t="array" ref="B2054">INDEX('Enriched Data'!C:C,A2054+1)</f>
        <v>American Fire Protection Group, Inc</v>
      </c>
      <c r="C2054" s="11" cm="1">
        <f t="array" ref="C2054">INDEX('Enriched Data'!G:G,A2054+1)</f>
        <v>551.4</v>
      </c>
      <c r="D2054" s="11">
        <f t="shared" si="97"/>
        <v>935505171.79999983</v>
      </c>
      <c r="E2054" s="10">
        <f t="shared" si="98"/>
        <v>0.99994020435528308</v>
      </c>
    </row>
    <row r="2055" spans="1:5">
      <c r="A2055">
        <f t="shared" si="96"/>
        <v>2054</v>
      </c>
      <c r="B2055" t="str" cm="1">
        <f t="array" ref="B2055">INDEX('Enriched Data'!C:C,A2055+1)</f>
        <v>Dryco Construction</v>
      </c>
      <c r="C2055" s="11" cm="1">
        <f t="array" ref="C2055">INDEX('Enriched Data'!G:G,A2055+1)</f>
        <v>550</v>
      </c>
      <c r="D2055" s="11">
        <f t="shared" si="97"/>
        <v>935505721.79999983</v>
      </c>
      <c r="E2055" s="10">
        <f t="shared" si="98"/>
        <v>0.99994079223777577</v>
      </c>
    </row>
    <row r="2056" spans="1:5">
      <c r="A2056">
        <f t="shared" si="96"/>
        <v>2055</v>
      </c>
      <c r="B2056" t="str" cm="1">
        <f t="array" ref="B2056">INDEX('Enriched Data'!C:C,A2056+1)</f>
        <v>Schimmels Solutions LLC</v>
      </c>
      <c r="C2056" s="11" cm="1">
        <f t="array" ref="C2056">INDEX('Enriched Data'!G:G,A2056+1)</f>
        <v>550</v>
      </c>
      <c r="D2056" s="11">
        <f t="shared" si="97"/>
        <v>935506271.79999983</v>
      </c>
      <c r="E2056" s="10">
        <f t="shared" si="98"/>
        <v>0.99994138012026856</v>
      </c>
    </row>
    <row r="2057" spans="1:5">
      <c r="A2057">
        <f t="shared" si="96"/>
        <v>2056</v>
      </c>
      <c r="B2057" t="str" cm="1">
        <f t="array" ref="B2057">INDEX('Enriched Data'!C:C,A2057+1)</f>
        <v>Airtech Thermex LLC</v>
      </c>
      <c r="C2057" s="11" cm="1">
        <f t="array" ref="C2057">INDEX('Enriched Data'!G:G,A2057+1)</f>
        <v>540</v>
      </c>
      <c r="D2057" s="11">
        <f t="shared" si="97"/>
        <v>935506811.79999983</v>
      </c>
      <c r="E2057" s="10">
        <f t="shared" si="98"/>
        <v>0.99994195731398872</v>
      </c>
    </row>
    <row r="2058" spans="1:5">
      <c r="A2058">
        <f t="shared" si="96"/>
        <v>2057</v>
      </c>
      <c r="B2058" t="str" cm="1">
        <f t="array" ref="B2058">INDEX('Enriched Data'!C:C,A2058+1)</f>
        <v>ACT-Alarm &amp; Communication Technologies Inc</v>
      </c>
      <c r="C2058" s="11" cm="1">
        <f t="array" ref="C2058">INDEX('Enriched Data'!G:G,A2058+1)</f>
        <v>533.13</v>
      </c>
      <c r="D2058" s="11">
        <f t="shared" si="97"/>
        <v>935507344.92999983</v>
      </c>
      <c r="E2058" s="10">
        <f t="shared" si="98"/>
        <v>0.99994252716452214</v>
      </c>
    </row>
    <row r="2059" spans="1:5">
      <c r="A2059">
        <f t="shared" si="96"/>
        <v>2058</v>
      </c>
      <c r="B2059" t="str" cm="1">
        <f t="array" ref="B2059">INDEX('Enriched Data'!C:C,A2059+1)</f>
        <v>ADT Security Service</v>
      </c>
      <c r="C2059" s="11" cm="1">
        <f t="array" ref="C2059">INDEX('Enriched Data'!G:G,A2059+1)</f>
        <v>527.28</v>
      </c>
      <c r="D2059" s="11">
        <f t="shared" si="97"/>
        <v>935507872.2099998</v>
      </c>
      <c r="E2059" s="10">
        <f t="shared" si="98"/>
        <v>0.99994309076212351</v>
      </c>
    </row>
    <row r="2060" spans="1:5">
      <c r="A2060">
        <f t="shared" si="96"/>
        <v>2059</v>
      </c>
      <c r="B2060" t="str" cm="1">
        <f t="array" ref="B2060">INDEX('Enriched Data'!C:C,A2060+1)</f>
        <v>Xonex Relocation Llc</v>
      </c>
      <c r="C2060" s="11" cm="1">
        <f t="array" ref="C2060">INDEX('Enriched Data'!G:G,A2060+1)</f>
        <v>525.83000000000004</v>
      </c>
      <c r="D2060" s="11">
        <f t="shared" si="97"/>
        <v>935508398.03999984</v>
      </c>
      <c r="E2060" s="10">
        <f t="shared" si="98"/>
        <v>0.99994365280985298</v>
      </c>
    </row>
    <row r="2061" spans="1:5">
      <c r="A2061">
        <f t="shared" si="96"/>
        <v>2060</v>
      </c>
      <c r="B2061" t="str" cm="1">
        <f t="array" ref="B2061">INDEX('Enriched Data'!C:C,A2061+1)</f>
        <v>Burns Industrial Equipment Inc.</v>
      </c>
      <c r="C2061" s="11" cm="1">
        <f t="array" ref="C2061">INDEX('Enriched Data'!G:G,A2061+1)</f>
        <v>525.42999999999995</v>
      </c>
      <c r="D2061" s="11">
        <f t="shared" si="97"/>
        <v>935508923.46999979</v>
      </c>
      <c r="E2061" s="10">
        <f t="shared" si="98"/>
        <v>0.99994421443003145</v>
      </c>
    </row>
    <row r="2062" spans="1:5">
      <c r="A2062">
        <f t="shared" si="96"/>
        <v>2061</v>
      </c>
      <c r="B2062" t="str" cm="1">
        <f t="array" ref="B2062">INDEX('Enriched Data'!C:C,A2062+1)</f>
        <v>Soefker Services LLC</v>
      </c>
      <c r="C2062" s="11" cm="1">
        <f t="array" ref="C2062">INDEX('Enriched Data'!G:G,A2062+1)</f>
        <v>525</v>
      </c>
      <c r="D2062" s="11">
        <f t="shared" si="97"/>
        <v>935509448.46999979</v>
      </c>
      <c r="E2062" s="10">
        <f t="shared" si="98"/>
        <v>0.99994477559059269</v>
      </c>
    </row>
    <row r="2063" spans="1:5">
      <c r="A2063">
        <f t="shared" si="96"/>
        <v>2062</v>
      </c>
      <c r="B2063" t="str" cm="1">
        <f t="array" ref="B2063">INDEX('Enriched Data'!C:C,A2063+1)</f>
        <v>AXOMO dba Namify, LLC</v>
      </c>
      <c r="C2063" s="11" cm="1">
        <f t="array" ref="C2063">INDEX('Enriched Data'!G:G,A2063+1)</f>
        <v>522.59</v>
      </c>
      <c r="D2063" s="11">
        <f t="shared" si="97"/>
        <v>935509971.05999982</v>
      </c>
      <c r="E2063" s="10">
        <f t="shared" si="98"/>
        <v>0.99994533417515985</v>
      </c>
    </row>
    <row r="2064" spans="1:5">
      <c r="A2064">
        <f t="shared" si="96"/>
        <v>2063</v>
      </c>
      <c r="B2064" t="str" cm="1">
        <f t="array" ref="B2064">INDEX('Enriched Data'!C:C,A2064+1)</f>
        <v>R. Essay Plumbing &amp; Heating, Inc.</v>
      </c>
      <c r="C2064" s="11" cm="1">
        <f t="array" ref="C2064">INDEX('Enriched Data'!G:G,A2064+1)</f>
        <v>520</v>
      </c>
      <c r="D2064" s="11">
        <f t="shared" si="97"/>
        <v>935510491.05999982</v>
      </c>
      <c r="E2064" s="10">
        <f t="shared" si="98"/>
        <v>0.99994588999133482</v>
      </c>
    </row>
    <row r="2065" spans="1:5">
      <c r="A2065">
        <f t="shared" si="96"/>
        <v>2064</v>
      </c>
      <c r="B2065" t="str" cm="1">
        <f t="array" ref="B2065">INDEX('Enriched Data'!C:C,A2065+1)</f>
        <v>Mountain Alarm</v>
      </c>
      <c r="C2065" s="11" cm="1">
        <f t="array" ref="C2065">INDEX('Enriched Data'!G:G,A2065+1)</f>
        <v>519.92999999999995</v>
      </c>
      <c r="D2065" s="11">
        <f t="shared" si="97"/>
        <v>935511010.98999977</v>
      </c>
      <c r="E2065" s="10">
        <f t="shared" si="98"/>
        <v>0.99994644573268832</v>
      </c>
    </row>
    <row r="2066" spans="1:5">
      <c r="A2066">
        <f t="shared" si="96"/>
        <v>2065</v>
      </c>
      <c r="B2066" t="str" cm="1">
        <f t="array" ref="B2066">INDEX('Enriched Data'!C:C,A2066+1)</f>
        <v>Aloha Water Company, Inc</v>
      </c>
      <c r="C2066" s="11" cm="1">
        <f t="array" ref="C2066">INDEX('Enriched Data'!G:G,A2066+1)</f>
        <v>518.76</v>
      </c>
      <c r="D2066" s="11">
        <f t="shared" si="97"/>
        <v>935511529.74999976</v>
      </c>
      <c r="E2066" s="10">
        <f t="shared" si="98"/>
        <v>0.99994700022345551</v>
      </c>
    </row>
    <row r="2067" spans="1:5">
      <c r="A2067">
        <f t="shared" si="96"/>
        <v>2066</v>
      </c>
      <c r="B2067" t="str" cm="1">
        <f t="array" ref="B2067">INDEX('Enriched Data'!C:C,A2067+1)</f>
        <v>Jorgensen Company</v>
      </c>
      <c r="C2067" s="11" cm="1">
        <f t="array" ref="C2067">INDEX('Enriched Data'!G:G,A2067+1)</f>
        <v>518.21</v>
      </c>
      <c r="D2067" s="11">
        <f t="shared" si="97"/>
        <v>935512047.9599998</v>
      </c>
      <c r="E2067" s="10">
        <f t="shared" si="98"/>
        <v>0.99994755412634018</v>
      </c>
    </row>
    <row r="2068" spans="1:5">
      <c r="A2068">
        <f t="shared" si="96"/>
        <v>2067</v>
      </c>
      <c r="B2068" t="str" cm="1">
        <f t="array" ref="B2068">INDEX('Enriched Data'!C:C,A2068+1)</f>
        <v>Panhandle Alarm &amp; Telephone Co Inc.</v>
      </c>
      <c r="C2068" s="11" cm="1">
        <f t="array" ref="C2068">INDEX('Enriched Data'!G:G,A2068+1)</f>
        <v>516</v>
      </c>
      <c r="D2068" s="11">
        <f t="shared" si="97"/>
        <v>935512563.9599998</v>
      </c>
      <c r="E2068" s="10">
        <f t="shared" si="98"/>
        <v>0.9999481056670062</v>
      </c>
    </row>
    <row r="2069" spans="1:5">
      <c r="A2069">
        <f t="shared" si="96"/>
        <v>2068</v>
      </c>
      <c r="B2069" t="str" cm="1">
        <f t="array" ref="B2069">INDEX('Enriched Data'!C:C,A2069+1)</f>
        <v>Scott Bottoms Service</v>
      </c>
      <c r="C2069" s="11" cm="1">
        <f t="array" ref="C2069">INDEX('Enriched Data'!G:G,A2069+1)</f>
        <v>513.6</v>
      </c>
      <c r="D2069" s="11">
        <f t="shared" si="97"/>
        <v>935513077.55999982</v>
      </c>
      <c r="E2069" s="10">
        <f t="shared" si="98"/>
        <v>0.99994865464236671</v>
      </c>
    </row>
    <row r="2070" spans="1:5">
      <c r="A2070">
        <f t="shared" si="96"/>
        <v>2069</v>
      </c>
      <c r="B2070" t="str" cm="1">
        <f t="array" ref="B2070">INDEX('Enriched Data'!C:C,A2070+1)</f>
        <v>Corporate Billing, LLC</v>
      </c>
      <c r="C2070" s="11" cm="1">
        <f t="array" ref="C2070">INDEX('Enriched Data'!G:G,A2070+1)</f>
        <v>513.20000000000005</v>
      </c>
      <c r="D2070" s="11">
        <f t="shared" si="97"/>
        <v>935513590.75999987</v>
      </c>
      <c r="E2070" s="10">
        <f t="shared" si="98"/>
        <v>0.99994920319017633</v>
      </c>
    </row>
    <row r="2071" spans="1:5">
      <c r="A2071">
        <f t="shared" si="96"/>
        <v>2070</v>
      </c>
      <c r="B2071" t="str" cm="1">
        <f t="array" ref="B2071">INDEX('Enriched Data'!C:C,A2071+1)</f>
        <v>Colorado Lighting, Inc</v>
      </c>
      <c r="C2071" s="11" cm="1">
        <f t="array" ref="C2071">INDEX('Enriched Data'!G:G,A2071+1)</f>
        <v>510.72</v>
      </c>
      <c r="D2071" s="11">
        <f t="shared" si="97"/>
        <v>935514101.4799999</v>
      </c>
      <c r="E2071" s="10">
        <f t="shared" si="98"/>
        <v>0.99994974908717038</v>
      </c>
    </row>
    <row r="2072" spans="1:5">
      <c r="A2072">
        <f t="shared" si="96"/>
        <v>2071</v>
      </c>
      <c r="B2072" t="str" cm="1">
        <f t="array" ref="B2072">INDEX('Enriched Data'!C:C,A2072+1)</f>
        <v>Cre8tive Eye Designs</v>
      </c>
      <c r="C2072" s="11" cm="1">
        <f t="array" ref="C2072">INDEX('Enriched Data'!G:G,A2072+1)</f>
        <v>508.5</v>
      </c>
      <c r="D2072" s="11">
        <f t="shared" si="97"/>
        <v>935514609.9799999</v>
      </c>
      <c r="E2072" s="10">
        <f t="shared" si="98"/>
        <v>0.9999502926112569</v>
      </c>
    </row>
    <row r="2073" spans="1:5">
      <c r="A2073">
        <f t="shared" si="96"/>
        <v>2072</v>
      </c>
      <c r="B2073" t="str" cm="1">
        <f t="array" ref="B2073">INDEX('Enriched Data'!C:C,A2073+1)</f>
        <v>Exeter Finance LLC</v>
      </c>
      <c r="C2073" s="11" cm="1">
        <f t="array" ref="C2073">INDEX('Enriched Data'!G:G,A2073+1)</f>
        <v>503.07</v>
      </c>
      <c r="D2073" s="11">
        <f t="shared" si="97"/>
        <v>935515113.04999995</v>
      </c>
      <c r="E2073" s="10">
        <f t="shared" si="98"/>
        <v>0.99995083033133991</v>
      </c>
    </row>
    <row r="2074" spans="1:5">
      <c r="A2074">
        <f t="shared" si="96"/>
        <v>2073</v>
      </c>
      <c r="B2074" t="str" cm="1">
        <f t="array" ref="B2074">INDEX('Enriched Data'!C:C,A2074+1)</f>
        <v>K.J.D. Inc.</v>
      </c>
      <c r="C2074" s="11" cm="1">
        <f t="array" ref="C2074">INDEX('Enriched Data'!G:G,A2074+1)</f>
        <v>500</v>
      </c>
      <c r="D2074" s="11">
        <f t="shared" si="97"/>
        <v>935515613.04999995</v>
      </c>
      <c r="E2074" s="10">
        <f t="shared" si="98"/>
        <v>0.99995136476996971</v>
      </c>
    </row>
    <row r="2075" spans="1:5">
      <c r="A2075">
        <f t="shared" si="96"/>
        <v>2074</v>
      </c>
      <c r="B2075" t="str" cm="1">
        <f t="array" ref="B2075">INDEX('Enriched Data'!C:C,A2075+1)</f>
        <v>Erica Goodness</v>
      </c>
      <c r="C2075" s="11" cm="1">
        <f t="array" ref="C2075">INDEX('Enriched Data'!G:G,A2075+1)</f>
        <v>500</v>
      </c>
      <c r="D2075" s="11">
        <f t="shared" si="97"/>
        <v>935516113.04999995</v>
      </c>
      <c r="E2075" s="10">
        <f t="shared" si="98"/>
        <v>0.9999518992085995</v>
      </c>
    </row>
    <row r="2076" spans="1:5">
      <c r="A2076">
        <f t="shared" si="96"/>
        <v>2075</v>
      </c>
      <c r="B2076" t="str" cm="1">
        <f t="array" ref="B2076">INDEX('Enriched Data'!C:C,A2076+1)</f>
        <v>Proweld Fabrication &amp; Chassis, Inc.</v>
      </c>
      <c r="C2076" s="11" cm="1">
        <f t="array" ref="C2076">INDEX('Enriched Data'!G:G,A2076+1)</f>
        <v>500</v>
      </c>
      <c r="D2076" s="11">
        <f t="shared" si="97"/>
        <v>935516613.04999995</v>
      </c>
      <c r="E2076" s="10">
        <f t="shared" si="98"/>
        <v>0.9999524336472293</v>
      </c>
    </row>
    <row r="2077" spans="1:5">
      <c r="A2077">
        <f t="shared" si="96"/>
        <v>2076</v>
      </c>
      <c r="B2077" t="str" cm="1">
        <f t="array" ref="B2077">INDEX('Enriched Data'!C:C,A2077+1)</f>
        <v>4J Mgt dba Wholesale Signs Plus</v>
      </c>
      <c r="C2077" s="11" cm="1">
        <f t="array" ref="C2077">INDEX('Enriched Data'!G:G,A2077+1)</f>
        <v>495.91</v>
      </c>
      <c r="D2077" s="11">
        <f t="shared" si="97"/>
        <v>935517108.95999992</v>
      </c>
      <c r="E2077" s="10">
        <f t="shared" si="98"/>
        <v>0.9999529637141511</v>
      </c>
    </row>
    <row r="2078" spans="1:5">
      <c r="A2078">
        <f t="shared" si="96"/>
        <v>2077</v>
      </c>
      <c r="B2078" t="str" cm="1">
        <f t="array" ref="B2078">INDEX('Enriched Data'!C:C,A2078+1)</f>
        <v>Columbus Fire &amp; Safety</v>
      </c>
      <c r="C2078" s="11" cm="1">
        <f t="array" ref="C2078">INDEX('Enriched Data'!G:G,A2078+1)</f>
        <v>487.73</v>
      </c>
      <c r="D2078" s="11">
        <f t="shared" si="97"/>
        <v>935517596.68999994</v>
      </c>
      <c r="E2078" s="10">
        <f t="shared" si="98"/>
        <v>0.99995348503765691</v>
      </c>
    </row>
    <row r="2079" spans="1:5">
      <c r="A2079">
        <f t="shared" si="96"/>
        <v>2078</v>
      </c>
      <c r="B2079" t="str" cm="1">
        <f t="array" ref="B2079">INDEX('Enriched Data'!C:C,A2079+1)</f>
        <v>Best Western International, Inc</v>
      </c>
      <c r="C2079" s="11" cm="1">
        <f t="array" ref="C2079">INDEX('Enriched Data'!G:G,A2079+1)</f>
        <v>487.12</v>
      </c>
      <c r="D2079" s="11">
        <f t="shared" si="97"/>
        <v>935518083.80999994</v>
      </c>
      <c r="E2079" s="10">
        <f t="shared" si="98"/>
        <v>0.99995400570914761</v>
      </c>
    </row>
    <row r="2080" spans="1:5">
      <c r="A2080">
        <f t="shared" si="96"/>
        <v>2079</v>
      </c>
      <c r="B2080" t="str" cm="1">
        <f t="array" ref="B2080">INDEX('Enriched Data'!C:C,A2080+1)</f>
        <v>Dick SmithAC &amp; Refrigeration</v>
      </c>
      <c r="C2080" s="11" cm="1">
        <f t="array" ref="C2080">INDEX('Enriched Data'!G:G,A2080+1)</f>
        <v>479.85</v>
      </c>
      <c r="D2080" s="11">
        <f t="shared" si="97"/>
        <v>935518563.65999997</v>
      </c>
      <c r="E2080" s="10">
        <f t="shared" si="98"/>
        <v>0.99995451860990059</v>
      </c>
    </row>
    <row r="2081" spans="1:5">
      <c r="A2081">
        <f t="shared" si="96"/>
        <v>2080</v>
      </c>
      <c r="B2081" t="str" cm="1">
        <f t="array" ref="B2081">INDEX('Enriched Data'!C:C,A2081+1)</f>
        <v>Fire Pro LLC</v>
      </c>
      <c r="C2081" s="11" cm="1">
        <f t="array" ref="C2081">INDEX('Enriched Data'!G:G,A2081+1)</f>
        <v>479</v>
      </c>
      <c r="D2081" s="11">
        <f t="shared" si="97"/>
        <v>935519042.65999997</v>
      </c>
      <c r="E2081" s="10">
        <f t="shared" si="98"/>
        <v>0.999955030602108</v>
      </c>
    </row>
    <row r="2082" spans="1:5">
      <c r="A2082">
        <f t="shared" si="96"/>
        <v>2081</v>
      </c>
      <c r="B2082" t="str" cm="1">
        <f t="array" ref="B2082">INDEX('Enriched Data'!C:C,A2082+1)</f>
        <v>Interstate Batteries of N Chicago</v>
      </c>
      <c r="C2082" s="11" cm="1">
        <f t="array" ref="C2082">INDEX('Enriched Data'!G:G,A2082+1)</f>
        <v>476.85</v>
      </c>
      <c r="D2082" s="11">
        <f t="shared" si="97"/>
        <v>935519519.50999999</v>
      </c>
      <c r="E2082" s="10">
        <f t="shared" si="98"/>
        <v>0.99995554029622924</v>
      </c>
    </row>
    <row r="2083" spans="1:5">
      <c r="A2083">
        <f t="shared" si="96"/>
        <v>2082</v>
      </c>
      <c r="B2083" t="str" cm="1">
        <f t="array" ref="B2083">INDEX('Enriched Data'!C:C,A2083+1)</f>
        <v>Halls Electrical LLC</v>
      </c>
      <c r="C2083" s="11" cm="1">
        <f t="array" ref="C2083">INDEX('Enriched Data'!G:G,A2083+1)</f>
        <v>472.14</v>
      </c>
      <c r="D2083" s="11">
        <f t="shared" si="97"/>
        <v>935519991.64999998</v>
      </c>
      <c r="E2083" s="10">
        <f t="shared" si="98"/>
        <v>0.99995604495593859</v>
      </c>
    </row>
    <row r="2084" spans="1:5">
      <c r="A2084">
        <f t="shared" si="96"/>
        <v>2083</v>
      </c>
      <c r="B2084" t="str" cm="1">
        <f t="array" ref="B2084">INDEX('Enriched Data'!C:C,A2084+1)</f>
        <v>Omps Garage Inc</v>
      </c>
      <c r="C2084" s="11" cm="1">
        <f t="array" ref="C2084">INDEX('Enriched Data'!G:G,A2084+1)</f>
        <v>469.78</v>
      </c>
      <c r="D2084" s="11">
        <f t="shared" si="97"/>
        <v>935520461.42999995</v>
      </c>
      <c r="E2084" s="10">
        <f t="shared" si="98"/>
        <v>0.99995654709309756</v>
      </c>
    </row>
    <row r="2085" spans="1:5">
      <c r="A2085">
        <f t="shared" si="96"/>
        <v>2084</v>
      </c>
      <c r="B2085" t="str" cm="1">
        <f t="array" ref="B2085">INDEX('Enriched Data'!C:C,A2085+1)</f>
        <v>Amex Bank of Canada</v>
      </c>
      <c r="C2085" s="11" cm="1">
        <f t="array" ref="C2085">INDEX('Enriched Data'!G:G,A2085+1)</f>
        <v>469.3</v>
      </c>
      <c r="D2085" s="11">
        <f t="shared" si="97"/>
        <v>935520930.7299999</v>
      </c>
      <c r="E2085" s="10">
        <f t="shared" si="98"/>
        <v>0.99995704871719537</v>
      </c>
    </row>
    <row r="2086" spans="1:5">
      <c r="A2086">
        <f t="shared" si="96"/>
        <v>2085</v>
      </c>
      <c r="B2086" t="str" cm="1">
        <f t="array" ref="B2086">INDEX('Enriched Data'!C:C,A2086+1)</f>
        <v>Sedgwick</v>
      </c>
      <c r="C2086" s="11" cm="1">
        <f t="array" ref="C2086">INDEX('Enriched Data'!G:G,A2086+1)</f>
        <v>466</v>
      </c>
      <c r="D2086" s="11">
        <f t="shared" si="97"/>
        <v>935521396.7299999</v>
      </c>
      <c r="E2086" s="10">
        <f t="shared" si="98"/>
        <v>0.9999575468139984</v>
      </c>
    </row>
    <row r="2087" spans="1:5">
      <c r="A2087">
        <f t="shared" si="96"/>
        <v>2086</v>
      </c>
      <c r="B2087" t="str" cm="1">
        <f t="array" ref="B2087">INDEX('Enriched Data'!C:C,A2087+1)</f>
        <v>Marine Maintenance and Const Inc</v>
      </c>
      <c r="C2087" s="11" cm="1">
        <f t="array" ref="C2087">INDEX('Enriched Data'!G:G,A2087+1)</f>
        <v>462</v>
      </c>
      <c r="D2087" s="11">
        <f t="shared" si="97"/>
        <v>935521858.7299999</v>
      </c>
      <c r="E2087" s="10">
        <f t="shared" si="98"/>
        <v>0.99995804063529226</v>
      </c>
    </row>
    <row r="2088" spans="1:5">
      <c r="A2088">
        <f t="shared" si="96"/>
        <v>2087</v>
      </c>
      <c r="B2088" t="str" cm="1">
        <f t="array" ref="B2088">INDEX('Enriched Data'!C:C,A2088+1)</f>
        <v>Res/Comm Security Systems Inc</v>
      </c>
      <c r="C2088" s="11" cm="1">
        <f t="array" ref="C2088">INDEX('Enriched Data'!G:G,A2088+1)</f>
        <v>457.92</v>
      </c>
      <c r="D2088" s="11">
        <f t="shared" si="97"/>
        <v>935522316.64999986</v>
      </c>
      <c r="E2088" s="10">
        <f t="shared" si="98"/>
        <v>0.9999585300955669</v>
      </c>
    </row>
    <row r="2089" spans="1:5">
      <c r="A2089">
        <f t="shared" si="96"/>
        <v>2088</v>
      </c>
      <c r="B2089" t="str" cm="1">
        <f t="array" ref="B2089">INDEX('Enriched Data'!C:C,A2089+1)</f>
        <v>Auto Glass Assist</v>
      </c>
      <c r="C2089" s="11" cm="1">
        <f t="array" ref="C2089">INDEX('Enriched Data'!G:G,A2089+1)</f>
        <v>456.88</v>
      </c>
      <c r="D2089" s="11">
        <f t="shared" si="97"/>
        <v>935522773.52999985</v>
      </c>
      <c r="E2089" s="10">
        <f t="shared" si="98"/>
        <v>0.99995901844420931</v>
      </c>
    </row>
    <row r="2090" spans="1:5">
      <c r="A2090">
        <f t="shared" si="96"/>
        <v>2089</v>
      </c>
      <c r="B2090" t="str" cm="1">
        <f t="array" ref="B2090">INDEX('Enriched Data'!C:C,A2090+1)</f>
        <v>East Point Georgia-#193081-162228</v>
      </c>
      <c r="C2090" s="11" cm="1">
        <f t="array" ref="C2090">INDEX('Enriched Data'!G:G,A2090+1)</f>
        <v>456.75</v>
      </c>
      <c r="D2090" s="11">
        <f t="shared" si="97"/>
        <v>935523230.27999985</v>
      </c>
      <c r="E2090" s="10">
        <f t="shared" si="98"/>
        <v>0.99995950665389766</v>
      </c>
    </row>
    <row r="2091" spans="1:5">
      <c r="A2091">
        <f t="shared" si="96"/>
        <v>2090</v>
      </c>
      <c r="B2091" t="str" cm="1">
        <f t="array" ref="B2091">INDEX('Enriched Data'!C:C,A2091+1)</f>
        <v>Valor Fire Protection DO NOT USE -USE 150548</v>
      </c>
      <c r="C2091" s="11" cm="1">
        <f t="array" ref="C2091">INDEX('Enriched Data'!G:G,A2091+1)</f>
        <v>455</v>
      </c>
      <c r="D2091" s="11">
        <f t="shared" si="97"/>
        <v>935523685.27999985</v>
      </c>
      <c r="E2091" s="10">
        <f t="shared" si="98"/>
        <v>0.99995999299305072</v>
      </c>
    </row>
    <row r="2092" spans="1:5">
      <c r="A2092">
        <f t="shared" si="96"/>
        <v>2091</v>
      </c>
      <c r="B2092" t="str" cm="1">
        <f t="array" ref="B2092">INDEX('Enriched Data'!C:C,A2092+1)</f>
        <v>Cheney Door Company</v>
      </c>
      <c r="C2092" s="11" cm="1">
        <f t="array" ref="C2092">INDEX('Enriched Data'!G:G,A2092+1)</f>
        <v>453.8</v>
      </c>
      <c r="D2092" s="11">
        <f t="shared" si="97"/>
        <v>935524139.0799998</v>
      </c>
      <c r="E2092" s="10">
        <f t="shared" si="98"/>
        <v>0.99996047804955102</v>
      </c>
    </row>
    <row r="2093" spans="1:5">
      <c r="A2093">
        <f t="shared" si="96"/>
        <v>2092</v>
      </c>
      <c r="B2093" t="str" cm="1">
        <f t="array" ref="B2093">INDEX('Enriched Data'!C:C,A2093+1)</f>
        <v>Borem Fire Protection Inc.</v>
      </c>
      <c r="C2093" s="11" cm="1">
        <f t="array" ref="C2093">INDEX('Enriched Data'!G:G,A2093+1)</f>
        <v>445.8</v>
      </c>
      <c r="D2093" s="11">
        <f t="shared" si="97"/>
        <v>935524584.87999976</v>
      </c>
      <c r="E2093" s="10">
        <f t="shared" si="98"/>
        <v>0.99996095455503331</v>
      </c>
    </row>
    <row r="2094" spans="1:5">
      <c r="A2094">
        <f t="shared" si="96"/>
        <v>2093</v>
      </c>
      <c r="B2094" t="str" cm="1">
        <f t="array" ref="B2094">INDEX('Enriched Data'!C:C,A2094+1)</f>
        <v>Freshwater &amp; Sons Electric, LLC</v>
      </c>
      <c r="C2094" s="11" cm="1">
        <f t="array" ref="C2094">INDEX('Enriched Data'!G:G,A2094+1)</f>
        <v>444.62</v>
      </c>
      <c r="D2094" s="11">
        <f t="shared" si="97"/>
        <v>935525029.49999976</v>
      </c>
      <c r="E2094" s="10">
        <f t="shared" si="98"/>
        <v>0.99996142979924052</v>
      </c>
    </row>
    <row r="2095" spans="1:5">
      <c r="A2095">
        <f t="shared" si="96"/>
        <v>2094</v>
      </c>
      <c r="B2095" t="str" cm="1">
        <f t="array" ref="B2095">INDEX('Enriched Data'!C:C,A2095+1)</f>
        <v>Bessler Welding, Inc.</v>
      </c>
      <c r="C2095" s="11" cm="1">
        <f t="array" ref="C2095">INDEX('Enriched Data'!G:G,A2095+1)</f>
        <v>444.2</v>
      </c>
      <c r="D2095" s="11">
        <f t="shared" si="97"/>
        <v>935525473.69999981</v>
      </c>
      <c r="E2095" s="10">
        <f t="shared" si="98"/>
        <v>0.99996190459451928</v>
      </c>
    </row>
    <row r="2096" spans="1:5">
      <c r="A2096">
        <f t="shared" si="96"/>
        <v>2095</v>
      </c>
      <c r="B2096" t="str" cm="1">
        <f t="array" ref="B2096">INDEX('Enriched Data'!C:C,A2096+1)</f>
        <v>KayW Mobile Hose LLC</v>
      </c>
      <c r="C2096" s="11" cm="1">
        <f t="array" ref="C2096">INDEX('Enriched Data'!G:G,A2096+1)</f>
        <v>442.75</v>
      </c>
      <c r="D2096" s="11">
        <f t="shared" si="97"/>
        <v>935525916.44999981</v>
      </c>
      <c r="E2096" s="10">
        <f t="shared" si="98"/>
        <v>0.99996237783992592</v>
      </c>
    </row>
    <row r="2097" spans="1:5">
      <c r="A2097">
        <f t="shared" si="96"/>
        <v>2096</v>
      </c>
      <c r="B2097" t="str" cm="1">
        <f t="array" ref="B2097">INDEX('Enriched Data'!C:C,A2097+1)</f>
        <v>SMC MONITORING CORPORATION</v>
      </c>
      <c r="C2097" s="11" cm="1">
        <f t="array" ref="C2097">INDEX('Enriched Data'!G:G,A2097+1)</f>
        <v>441</v>
      </c>
      <c r="D2097" s="11">
        <f t="shared" si="97"/>
        <v>935526357.44999981</v>
      </c>
      <c r="E2097" s="10">
        <f t="shared" si="98"/>
        <v>0.99996284921479739</v>
      </c>
    </row>
    <row r="2098" spans="1:5">
      <c r="A2098">
        <f t="shared" si="96"/>
        <v>2097</v>
      </c>
      <c r="B2098" t="str" cm="1">
        <f t="array" ref="B2098">INDEX('Enriched Data'!C:C,A2098+1)</f>
        <v>Hurricane Industrial</v>
      </c>
      <c r="C2098" s="11" cm="1">
        <f t="array" ref="C2098">INDEX('Enriched Data'!G:G,A2098+1)</f>
        <v>438.09</v>
      </c>
      <c r="D2098" s="11">
        <f t="shared" si="97"/>
        <v>935526795.53999984</v>
      </c>
      <c r="E2098" s="10">
        <f t="shared" si="98"/>
        <v>0.99996331747923606</v>
      </c>
    </row>
    <row r="2099" spans="1:5">
      <c r="A2099">
        <f t="shared" si="96"/>
        <v>2098</v>
      </c>
      <c r="B2099" t="str" cm="1">
        <f t="array" ref="B2099">INDEX('Enriched Data'!C:C,A2099+1)</f>
        <v>Safety Systems and Signs Hawaii</v>
      </c>
      <c r="C2099" s="11" cm="1">
        <f t="array" ref="C2099">INDEX('Enriched Data'!G:G,A2099+1)</f>
        <v>438</v>
      </c>
      <c r="D2099" s="11">
        <f t="shared" si="97"/>
        <v>935527233.53999984</v>
      </c>
      <c r="E2099" s="10">
        <f t="shared" si="98"/>
        <v>0.99996378564747579</v>
      </c>
    </row>
    <row r="2100" spans="1:5">
      <c r="A2100">
        <f t="shared" si="96"/>
        <v>2099</v>
      </c>
      <c r="B2100" t="str" cm="1">
        <f t="array" ref="B2100">INDEX('Enriched Data'!C:C,A2100+1)</f>
        <v>AAA Auto Glass Inc.</v>
      </c>
      <c r="C2100" s="11" cm="1">
        <f t="array" ref="C2100">INDEX('Enriched Data'!G:G,A2100+1)</f>
        <v>430.14</v>
      </c>
      <c r="D2100" s="11">
        <f t="shared" si="97"/>
        <v>935527663.67999983</v>
      </c>
      <c r="E2100" s="10">
        <f t="shared" si="98"/>
        <v>0.99996424541434015</v>
      </c>
    </row>
    <row r="2101" spans="1:5">
      <c r="A2101">
        <f t="shared" si="96"/>
        <v>2100</v>
      </c>
      <c r="B2101" t="str" cm="1">
        <f t="array" ref="B2101">INDEX('Enriched Data'!C:C,A2101+1)</f>
        <v>W.H. Thomas Oil Co.</v>
      </c>
      <c r="C2101" s="11" cm="1">
        <f t="array" ref="C2101">INDEX('Enriched Data'!G:G,A2101+1)</f>
        <v>421.82</v>
      </c>
      <c r="D2101" s="11">
        <f t="shared" si="97"/>
        <v>935528085.49999988</v>
      </c>
      <c r="E2101" s="10">
        <f t="shared" si="98"/>
        <v>0.99996469628814588</v>
      </c>
    </row>
    <row r="2102" spans="1:5">
      <c r="A2102">
        <f t="shared" si="96"/>
        <v>2101</v>
      </c>
      <c r="B2102" t="str" cm="1">
        <f t="array" ref="B2102">INDEX('Enriched Data'!C:C,A2102+1)</f>
        <v>Halifax Bridge</v>
      </c>
      <c r="C2102" s="11" cm="1">
        <f t="array" ref="C2102">INDEX('Enriched Data'!G:G,A2102+1)</f>
        <v>421.79</v>
      </c>
      <c r="D2102" s="11">
        <f t="shared" si="97"/>
        <v>935528507.28999984</v>
      </c>
      <c r="E2102" s="10">
        <f t="shared" si="98"/>
        <v>0.99996514712988516</v>
      </c>
    </row>
    <row r="2103" spans="1:5">
      <c r="A2103">
        <f t="shared" si="96"/>
        <v>2102</v>
      </c>
      <c r="B2103" t="str" cm="1">
        <f t="array" ref="B2103">INDEX('Enriched Data'!C:C,A2103+1)</f>
        <v>Alexanders Mobility Services</v>
      </c>
      <c r="C2103" s="11" cm="1">
        <f t="array" ref="C2103">INDEX('Enriched Data'!G:G,A2103+1)</f>
        <v>420</v>
      </c>
      <c r="D2103" s="11">
        <f t="shared" si="97"/>
        <v>935528927.28999984</v>
      </c>
      <c r="E2103" s="10">
        <f t="shared" si="98"/>
        <v>0.99996559605833424</v>
      </c>
    </row>
    <row r="2104" spans="1:5">
      <c r="A2104">
        <f t="shared" si="96"/>
        <v>2103</v>
      </c>
      <c r="B2104" t="str" cm="1">
        <f t="array" ref="B2104">INDEX('Enriched Data'!C:C,A2104+1)</f>
        <v>Superior Water &amp; Air</v>
      </c>
      <c r="C2104" s="11" cm="1">
        <f t="array" ref="C2104">INDEX('Enriched Data'!G:G,A2104+1)</f>
        <v>419.4</v>
      </c>
      <c r="D2104" s="11">
        <f t="shared" si="97"/>
        <v>935529346.68999982</v>
      </c>
      <c r="E2104" s="10">
        <f t="shared" si="98"/>
        <v>0.99996604434545688</v>
      </c>
    </row>
    <row r="2105" spans="1:5">
      <c r="A2105">
        <f t="shared" si="96"/>
        <v>2104</v>
      </c>
      <c r="B2105" t="str" cm="1">
        <f t="array" ref="B2105">INDEX('Enriched Data'!C:C,A2105+1)</f>
        <v>Greenville Scale Co. Inc</v>
      </c>
      <c r="C2105" s="11" cm="1">
        <f t="array" ref="C2105">INDEX('Enriched Data'!G:G,A2105+1)</f>
        <v>415</v>
      </c>
      <c r="D2105" s="11">
        <f t="shared" si="97"/>
        <v>935529761.68999982</v>
      </c>
      <c r="E2105" s="10">
        <f t="shared" si="98"/>
        <v>0.99996648792951959</v>
      </c>
    </row>
    <row r="2106" spans="1:5">
      <c r="A2106">
        <f t="shared" si="96"/>
        <v>2105</v>
      </c>
      <c r="B2106" t="str" cm="1">
        <f t="array" ref="B2106">INDEX('Enriched Data'!C:C,A2106+1)</f>
        <v>Installed Building Products LLC</v>
      </c>
      <c r="C2106" s="11" cm="1">
        <f t="array" ref="C2106">INDEX('Enriched Data'!G:G,A2106+1)</f>
        <v>415</v>
      </c>
      <c r="D2106" s="11">
        <f t="shared" si="97"/>
        <v>935530176.68999982</v>
      </c>
      <c r="E2106" s="10">
        <f t="shared" si="98"/>
        <v>0.99996693151358229</v>
      </c>
    </row>
    <row r="2107" spans="1:5">
      <c r="A2107">
        <f t="shared" si="96"/>
        <v>2106</v>
      </c>
      <c r="B2107" t="str" cm="1">
        <f t="array" ref="B2107">INDEX('Enriched Data'!C:C,A2107+1)</f>
        <v>HOI Vending Inc.</v>
      </c>
      <c r="C2107" s="11" cm="1">
        <f t="array" ref="C2107">INDEX('Enriched Data'!G:G,A2107+1)</f>
        <v>411.7</v>
      </c>
      <c r="D2107" s="11">
        <f t="shared" si="97"/>
        <v>935530588.38999987</v>
      </c>
      <c r="E2107" s="10">
        <f t="shared" si="98"/>
        <v>0.99996737157035009</v>
      </c>
    </row>
    <row r="2108" spans="1:5">
      <c r="A2108">
        <f t="shared" si="96"/>
        <v>2107</v>
      </c>
      <c r="B2108" t="str" cm="1">
        <f t="array" ref="B2108">INDEX('Enriched Data'!C:C,A2108+1)</f>
        <v>Chulskis Salt Service, LLC</v>
      </c>
      <c r="C2108" s="11" cm="1">
        <f t="array" ref="C2108">INDEX('Enriched Data'!G:G,A2108+1)</f>
        <v>410.33</v>
      </c>
      <c r="D2108" s="11">
        <f t="shared" si="97"/>
        <v>935530998.71999991</v>
      </c>
      <c r="E2108" s="10">
        <f t="shared" si="98"/>
        <v>0.99996781016275604</v>
      </c>
    </row>
    <row r="2109" spans="1:5">
      <c r="A2109">
        <f t="shared" si="96"/>
        <v>2108</v>
      </c>
      <c r="B2109" t="str" cm="1">
        <f t="array" ref="B2109">INDEX('Enriched Data'!C:C,A2109+1)</f>
        <v>Corporate Plus Card, Inc.</v>
      </c>
      <c r="C2109" s="11" cm="1">
        <f t="array" ref="C2109">INDEX('Enriched Data'!G:G,A2109+1)</f>
        <v>400.51</v>
      </c>
      <c r="D2109" s="11">
        <f t="shared" si="97"/>
        <v>935531399.2299999</v>
      </c>
      <c r="E2109" s="10">
        <f t="shared" si="98"/>
        <v>0.99996823825878733</v>
      </c>
    </row>
    <row r="2110" spans="1:5">
      <c r="A2110">
        <f t="shared" si="96"/>
        <v>2109</v>
      </c>
      <c r="B2110" t="str" cm="1">
        <f t="array" ref="B2110">INDEX('Enriched Data'!C:C,A2110+1)</f>
        <v>Precision Cleaning Systems, Inc.</v>
      </c>
      <c r="C2110" s="11" cm="1">
        <f t="array" ref="C2110">INDEX('Enriched Data'!G:G,A2110+1)</f>
        <v>400.24</v>
      </c>
      <c r="D2110" s="11">
        <f t="shared" si="97"/>
        <v>935531799.46999991</v>
      </c>
      <c r="E2110" s="10">
        <f t="shared" si="98"/>
        <v>0.9999686660662217</v>
      </c>
    </row>
    <row r="2111" spans="1:5">
      <c r="A2111">
        <f t="shared" si="96"/>
        <v>2110</v>
      </c>
      <c r="B2111" t="str" cm="1">
        <f t="array" ref="B2111">INDEX('Enriched Data'!C:C,A2111+1)</f>
        <v>Overhead Door Of Clearwater</v>
      </c>
      <c r="C2111" s="11" cm="1">
        <f t="array" ref="C2111">INDEX('Enriched Data'!G:G,A2111+1)</f>
        <v>400</v>
      </c>
      <c r="D2111" s="11">
        <f t="shared" si="97"/>
        <v>935532199.46999991</v>
      </c>
      <c r="E2111" s="10">
        <f t="shared" si="98"/>
        <v>0.99996909361712549</v>
      </c>
    </row>
    <row r="2112" spans="1:5">
      <c r="A2112">
        <f t="shared" si="96"/>
        <v>2111</v>
      </c>
      <c r="B2112" t="str" cm="1">
        <f t="array" ref="B2112">INDEX('Enriched Data'!C:C,A2112+1)</f>
        <v>Mels Auto Glass</v>
      </c>
      <c r="C2112" s="11" cm="1">
        <f t="array" ref="C2112">INDEX('Enriched Data'!G:G,A2112+1)</f>
        <v>399.99</v>
      </c>
      <c r="D2112" s="11">
        <f t="shared" si="97"/>
        <v>935532599.45999992</v>
      </c>
      <c r="E2112" s="10">
        <f t="shared" si="98"/>
        <v>0.99996952115734061</v>
      </c>
    </row>
    <row r="2113" spans="1:5">
      <c r="A2113">
        <f t="shared" si="96"/>
        <v>2112</v>
      </c>
      <c r="B2113" t="str" cm="1">
        <f t="array" ref="B2113">INDEX('Enriched Data'!C:C,A2113+1)</f>
        <v>Greenbrier Inc. dba Tiger Fuel Co.</v>
      </c>
      <c r="C2113" s="11" cm="1">
        <f t="array" ref="C2113">INDEX('Enriched Data'!G:G,A2113+1)</f>
        <v>396.85</v>
      </c>
      <c r="D2113" s="11">
        <f t="shared" si="97"/>
        <v>935532996.30999994</v>
      </c>
      <c r="E2113" s="10">
        <f t="shared" si="98"/>
        <v>0.99996994534128103</v>
      </c>
    </row>
    <row r="2114" spans="1:5">
      <c r="A2114">
        <f t="shared" si="96"/>
        <v>2113</v>
      </c>
      <c r="B2114" t="str" cm="1">
        <f t="array" ref="B2114">INDEX('Enriched Data'!C:C,A2114+1)</f>
        <v>Premium Waters Inc.</v>
      </c>
      <c r="C2114" s="11" cm="1">
        <f t="array" ref="C2114">INDEX('Enriched Data'!G:G,A2114+1)</f>
        <v>391.19</v>
      </c>
      <c r="D2114" s="11">
        <f t="shared" si="97"/>
        <v>935533387.5</v>
      </c>
      <c r="E2114" s="10">
        <f t="shared" si="98"/>
        <v>0.99997036347537627</v>
      </c>
    </row>
    <row r="2115" spans="1:5">
      <c r="A2115">
        <f t="shared" si="96"/>
        <v>2114</v>
      </c>
      <c r="B2115" t="str" cm="1">
        <f t="array" ref="B2115">INDEX('Enriched Data'!C:C,A2115+1)</f>
        <v>Stegall Mechanical, LLC</v>
      </c>
      <c r="C2115" s="11" cm="1">
        <f t="array" ref="C2115">INDEX('Enriched Data'!G:G,A2115+1)</f>
        <v>388.95</v>
      </c>
      <c r="D2115" s="11">
        <f t="shared" si="97"/>
        <v>935533776.45000005</v>
      </c>
      <c r="E2115" s="10">
        <f t="shared" si="98"/>
        <v>0.99997077921518651</v>
      </c>
    </row>
    <row r="2116" spans="1:5">
      <c r="A2116">
        <f t="shared" ref="A2116:A2179" si="99">A2115+1</f>
        <v>2115</v>
      </c>
      <c r="B2116" t="str" cm="1">
        <f t="array" ref="B2116">INDEX('Enriched Data'!C:C,A2116+1)</f>
        <v>Linde Canada Inc</v>
      </c>
      <c r="C2116" s="11" cm="1">
        <f t="array" ref="C2116">INDEX('Enriched Data'!G:G,A2116+1)</f>
        <v>388.45</v>
      </c>
      <c r="D2116" s="11">
        <f t="shared" ref="D2116:D2179" si="100">D2115+C2116</f>
        <v>935534164.9000001</v>
      </c>
      <c r="E2116" s="10">
        <f t="shared" ref="E2116:E2179" si="101">D2116/$F$2</f>
        <v>0.99997119442055804</v>
      </c>
    </row>
    <row r="2117" spans="1:5">
      <c r="A2117">
        <f t="shared" si="99"/>
        <v>2116</v>
      </c>
      <c r="B2117" t="str" cm="1">
        <f t="array" ref="B2117">INDEX('Enriched Data'!C:C,A2117+1)</f>
        <v>Tims Towing &amp; Recovery</v>
      </c>
      <c r="C2117" s="11" cm="1">
        <f t="array" ref="C2117">INDEX('Enriched Data'!G:G,A2117+1)</f>
        <v>385</v>
      </c>
      <c r="D2117" s="11">
        <f t="shared" si="100"/>
        <v>935534549.9000001</v>
      </c>
      <c r="E2117" s="10">
        <f t="shared" si="101"/>
        <v>0.99997160593830292</v>
      </c>
    </row>
    <row r="2118" spans="1:5">
      <c r="A2118">
        <f t="shared" si="99"/>
        <v>2117</v>
      </c>
      <c r="B2118" t="str" cm="1">
        <f t="array" ref="B2118">INDEX('Enriched Data'!C:C,A2118+1)</f>
        <v>Pure Water Partners, LLC</v>
      </c>
      <c r="C2118" s="11" cm="1">
        <f t="array" ref="C2118">INDEX('Enriched Data'!G:G,A2118+1)</f>
        <v>384.1</v>
      </c>
      <c r="D2118" s="11">
        <f t="shared" si="100"/>
        <v>935534934.00000012</v>
      </c>
      <c r="E2118" s="10">
        <f t="shared" si="101"/>
        <v>0.99997201649405842</v>
      </c>
    </row>
    <row r="2119" spans="1:5">
      <c r="A2119">
        <f t="shared" si="99"/>
        <v>2118</v>
      </c>
      <c r="B2119" t="str" cm="1">
        <f t="array" ref="B2119">INDEX('Enriched Data'!C:C,A2119+1)</f>
        <v>3D Security, Inc.</v>
      </c>
      <c r="C2119" s="11" cm="1">
        <f t="array" ref="C2119">INDEX('Enriched Data'!G:G,A2119+1)</f>
        <v>382.32</v>
      </c>
      <c r="D2119" s="11">
        <f t="shared" si="100"/>
        <v>935535316.32000017</v>
      </c>
      <c r="E2119" s="10">
        <f t="shared" si="101"/>
        <v>0.9999724251472123</v>
      </c>
    </row>
    <row r="2120" spans="1:5">
      <c r="A2120">
        <f t="shared" si="99"/>
        <v>2119</v>
      </c>
      <c r="B2120" t="str" cm="1">
        <f t="array" ref="B2120">INDEX('Enriched Data'!C:C,A2120+1)</f>
        <v>United States Postal Service</v>
      </c>
      <c r="C2120" s="11" cm="1">
        <f t="array" ref="C2120">INDEX('Enriched Data'!G:G,A2120+1)</f>
        <v>381.41</v>
      </c>
      <c r="D2120" s="11">
        <f t="shared" si="100"/>
        <v>935535697.73000014</v>
      </c>
      <c r="E2120" s="10">
        <f t="shared" si="101"/>
        <v>0.9999728328276879</v>
      </c>
    </row>
    <row r="2121" spans="1:5">
      <c r="A2121">
        <f t="shared" si="99"/>
        <v>2120</v>
      </c>
      <c r="B2121" t="str" cm="1">
        <f t="array" ref="B2121">INDEX('Enriched Data'!C:C,A2121+1)</f>
        <v>Reyes Industrial Group LLC</v>
      </c>
      <c r="C2121" s="11" cm="1">
        <f t="array" ref="C2121">INDEX('Enriched Data'!G:G,A2121+1)</f>
        <v>378.88</v>
      </c>
      <c r="D2121" s="11">
        <f t="shared" si="100"/>
        <v>935536076.61000013</v>
      </c>
      <c r="E2121" s="10">
        <f t="shared" si="101"/>
        <v>0.9999732378039039</v>
      </c>
    </row>
    <row r="2122" spans="1:5">
      <c r="A2122">
        <f t="shared" si="99"/>
        <v>2121</v>
      </c>
      <c r="B2122" t="str" cm="1">
        <f t="array" ref="B2122">INDEX('Enriched Data'!C:C,A2122+1)</f>
        <v>Pensacola Rubber &amp; Gasket CO Inc</v>
      </c>
      <c r="C2122" s="11" cm="1">
        <f t="array" ref="C2122">INDEX('Enriched Data'!G:G,A2122+1)</f>
        <v>376.73</v>
      </c>
      <c r="D2122" s="11">
        <f t="shared" si="100"/>
        <v>935536453.34000015</v>
      </c>
      <c r="E2122" s="10">
        <f t="shared" si="101"/>
        <v>0.99997364048203397</v>
      </c>
    </row>
    <row r="2123" spans="1:5">
      <c r="A2123">
        <f t="shared" si="99"/>
        <v>2122</v>
      </c>
      <c r="B2123" t="str" cm="1">
        <f t="array" ref="B2123">INDEX('Enriched Data'!C:C,A2123+1)</f>
        <v>Carolina R Richardson</v>
      </c>
      <c r="C2123" s="11" cm="1">
        <f t="array" ref="C2123">INDEX('Enriched Data'!G:G,A2123+1)</f>
        <v>375</v>
      </c>
      <c r="D2123" s="11">
        <f t="shared" si="100"/>
        <v>935536828.34000015</v>
      </c>
      <c r="E2123" s="10">
        <f t="shared" si="101"/>
        <v>0.99997404131100631</v>
      </c>
    </row>
    <row r="2124" spans="1:5">
      <c r="A2124">
        <f t="shared" si="99"/>
        <v>2123</v>
      </c>
      <c r="B2124" t="str" cm="1">
        <f t="array" ref="B2124">INDEX('Enriched Data'!C:C,A2124+1)</f>
        <v>All County Garage Doors, LLC</v>
      </c>
      <c r="C2124" s="11" cm="1">
        <f t="array" ref="C2124">INDEX('Enriched Data'!G:G,A2124+1)</f>
        <v>371</v>
      </c>
      <c r="D2124" s="11">
        <f t="shared" si="100"/>
        <v>935537199.34000015</v>
      </c>
      <c r="E2124" s="10">
        <f t="shared" si="101"/>
        <v>0.9999744378644696</v>
      </c>
    </row>
    <row r="2125" spans="1:5">
      <c r="A2125">
        <f t="shared" si="99"/>
        <v>2124</v>
      </c>
      <c r="B2125" t="str" cm="1">
        <f t="array" ref="B2125">INDEX('Enriched Data'!C:C,A2125+1)</f>
        <v>Valley Air Condition &amp; Repair, Inc.</v>
      </c>
      <c r="C2125" s="11" cm="1">
        <f t="array" ref="C2125">INDEX('Enriched Data'!G:G,A2125+1)</f>
        <v>368</v>
      </c>
      <c r="D2125" s="11">
        <f t="shared" si="100"/>
        <v>935537567.34000015</v>
      </c>
      <c r="E2125" s="10">
        <f t="shared" si="101"/>
        <v>0.99997483121130115</v>
      </c>
    </row>
    <row r="2126" spans="1:5">
      <c r="A2126">
        <f t="shared" si="99"/>
        <v>2125</v>
      </c>
      <c r="B2126" t="str" cm="1">
        <f t="array" ref="B2126">INDEX('Enriched Data'!C:C,A2126+1)</f>
        <v>Glenna Streeter</v>
      </c>
      <c r="C2126" s="11" cm="1">
        <f t="array" ref="C2126">INDEX('Enriched Data'!G:G,A2126+1)</f>
        <v>365.87</v>
      </c>
      <c r="D2126" s="11">
        <f t="shared" si="100"/>
        <v>935537933.21000016</v>
      </c>
      <c r="E2126" s="10">
        <f t="shared" si="101"/>
        <v>0.9999752222814241</v>
      </c>
    </row>
    <row r="2127" spans="1:5">
      <c r="A2127">
        <f t="shared" si="99"/>
        <v>2126</v>
      </c>
      <c r="B2127" t="str" cm="1">
        <f t="array" ref="B2127">INDEX('Enriched Data'!C:C,A2127+1)</f>
        <v>City of Bakersfield-#225653-7396</v>
      </c>
      <c r="C2127" s="11" cm="1">
        <f t="array" ref="C2127">INDEX('Enriched Data'!G:G,A2127+1)</f>
        <v>357.73</v>
      </c>
      <c r="D2127" s="11">
        <f t="shared" si="100"/>
        <v>935538290.94000018</v>
      </c>
      <c r="E2127" s="10">
        <f t="shared" si="101"/>
        <v>0.9999756046508862</v>
      </c>
    </row>
    <row r="2128" spans="1:5">
      <c r="A2128">
        <f t="shared" si="99"/>
        <v>2127</v>
      </c>
      <c r="B2128" t="str" cm="1">
        <f t="array" ref="B2128">INDEX('Enriched Data'!C:C,A2128+1)</f>
        <v>Sparefoot Inc</v>
      </c>
      <c r="C2128" s="11" cm="1">
        <f t="array" ref="C2128">INDEX('Enriched Data'!G:G,A2128+1)</f>
        <v>356.61</v>
      </c>
      <c r="D2128" s="11">
        <f t="shared" si="100"/>
        <v>935538647.55000019</v>
      </c>
      <c r="E2128" s="10">
        <f t="shared" si="101"/>
        <v>0.99997598582320579</v>
      </c>
    </row>
    <row r="2129" spans="1:5">
      <c r="A2129">
        <f t="shared" si="99"/>
        <v>2128</v>
      </c>
      <c r="B2129" t="str" cm="1">
        <f t="array" ref="B2129">INDEX('Enriched Data'!C:C,A2129+1)</f>
        <v>Crawford Contractor Connection</v>
      </c>
      <c r="C2129" s="11" cm="1">
        <f t="array" ref="C2129">INDEX('Enriched Data'!G:G,A2129+1)</f>
        <v>354.97</v>
      </c>
      <c r="D2129" s="11">
        <f t="shared" si="100"/>
        <v>935539002.52000022</v>
      </c>
      <c r="E2129" s="10">
        <f t="shared" si="101"/>
        <v>0.99997636524256661</v>
      </c>
    </row>
    <row r="2130" spans="1:5">
      <c r="A2130">
        <f t="shared" si="99"/>
        <v>2129</v>
      </c>
      <c r="B2130" t="str" cm="1">
        <f t="array" ref="B2130">INDEX('Enriched Data'!C:C,A2130+1)</f>
        <v>Security One, Inc.</v>
      </c>
      <c r="C2130" s="11" cm="1">
        <f t="array" ref="C2130">INDEX('Enriched Data'!G:G,A2130+1)</f>
        <v>352.79</v>
      </c>
      <c r="D2130" s="11">
        <f t="shared" si="100"/>
        <v>935539355.31000018</v>
      </c>
      <c r="E2130" s="10">
        <f t="shared" si="101"/>
        <v>0.99997674233177503</v>
      </c>
    </row>
    <row r="2131" spans="1:5">
      <c r="A2131">
        <f t="shared" si="99"/>
        <v>2130</v>
      </c>
      <c r="B2131" t="str" cm="1">
        <f t="array" ref="B2131">INDEX('Enriched Data'!C:C,A2131+1)</f>
        <v>Ferry, Inc.</v>
      </c>
      <c r="C2131" s="11" cm="1">
        <f t="array" ref="C2131">INDEX('Enriched Data'!G:G,A2131+1)</f>
        <v>350.18</v>
      </c>
      <c r="D2131" s="11">
        <f t="shared" si="100"/>
        <v>935539705.49000013</v>
      </c>
      <c r="E2131" s="10">
        <f t="shared" si="101"/>
        <v>0.99997711663121369</v>
      </c>
    </row>
    <row r="2132" spans="1:5">
      <c r="A2132">
        <f t="shared" si="99"/>
        <v>2131</v>
      </c>
      <c r="B2132" t="str" cm="1">
        <f t="array" ref="B2132">INDEX('Enriched Data'!C:C,A2132+1)</f>
        <v>Ottawa Police Service</v>
      </c>
      <c r="C2132" s="11" cm="1">
        <f t="array" ref="C2132">INDEX('Enriched Data'!G:G,A2132+1)</f>
        <v>348</v>
      </c>
      <c r="D2132" s="11">
        <f t="shared" si="100"/>
        <v>935540053.49000013</v>
      </c>
      <c r="E2132" s="10">
        <f t="shared" si="101"/>
        <v>0.99997748860050006</v>
      </c>
    </row>
    <row r="2133" spans="1:5">
      <c r="A2133">
        <f t="shared" si="99"/>
        <v>2132</v>
      </c>
      <c r="B2133" t="str" cm="1">
        <f t="array" ref="B2133">INDEX('Enriched Data'!C:C,A2133+1)</f>
        <v>Shamrocks Discount Janitorial Supp</v>
      </c>
      <c r="C2133" s="11" cm="1">
        <f t="array" ref="C2133">INDEX('Enriched Data'!G:G,A2133+1)</f>
        <v>345.57</v>
      </c>
      <c r="D2133" s="11">
        <f t="shared" si="100"/>
        <v>935540399.06000018</v>
      </c>
      <c r="E2133" s="10">
        <f t="shared" si="101"/>
        <v>0.99997785797241467</v>
      </c>
    </row>
    <row r="2134" spans="1:5">
      <c r="A2134">
        <f t="shared" si="99"/>
        <v>2133</v>
      </c>
      <c r="B2134" t="str" cm="1">
        <f t="array" ref="B2134">INDEX('Enriched Data'!C:C,A2134+1)</f>
        <v>Rex Lock &amp; Safe, Inc</v>
      </c>
      <c r="C2134" s="11" cm="1">
        <f t="array" ref="C2134">INDEX('Enriched Data'!G:G,A2134+1)</f>
        <v>343.07</v>
      </c>
      <c r="D2134" s="11">
        <f t="shared" si="100"/>
        <v>935540742.13000023</v>
      </c>
      <c r="E2134" s="10">
        <f t="shared" si="101"/>
        <v>0.99997822467213615</v>
      </c>
    </row>
    <row r="2135" spans="1:5">
      <c r="A2135">
        <f t="shared" si="99"/>
        <v>2134</v>
      </c>
      <c r="B2135" t="str" cm="1">
        <f t="array" ref="B2135">INDEX('Enriched Data'!C:C,A2135+1)</f>
        <v>Pacific Office Automation</v>
      </c>
      <c r="C2135" s="11" cm="1">
        <f t="array" ref="C2135">INDEX('Enriched Data'!G:G,A2135+1)</f>
        <v>337.2</v>
      </c>
      <c r="D2135" s="11">
        <f t="shared" si="100"/>
        <v>935541079.33000028</v>
      </c>
      <c r="E2135" s="10">
        <f t="shared" si="101"/>
        <v>0.99997858509754811</v>
      </c>
    </row>
    <row r="2136" spans="1:5">
      <c r="A2136">
        <f t="shared" si="99"/>
        <v>2135</v>
      </c>
      <c r="B2136" t="str" cm="1">
        <f t="array" ref="B2136">INDEX('Enriched Data'!C:C,A2136+1)</f>
        <v>The Ctr of Health Aff&amp; CHAMPS GPO</v>
      </c>
      <c r="C2136" s="11" cm="1">
        <f t="array" ref="C2136">INDEX('Enriched Data'!G:G,A2136+1)</f>
        <v>335.52</v>
      </c>
      <c r="D2136" s="11">
        <f t="shared" si="100"/>
        <v>935541414.85000026</v>
      </c>
      <c r="E2136" s="10">
        <f t="shared" si="101"/>
        <v>0.99997894372724627</v>
      </c>
    </row>
    <row r="2137" spans="1:5">
      <c r="A2137">
        <f t="shared" si="99"/>
        <v>2136</v>
      </c>
      <c r="B2137" t="str" cm="1">
        <f t="array" ref="B2137">INDEX('Enriched Data'!C:C,A2137+1)</f>
        <v>Crown Maintenance Company</v>
      </c>
      <c r="C2137" s="11" cm="1">
        <f t="array" ref="C2137">INDEX('Enriched Data'!G:G,A2137+1)</f>
        <v>335</v>
      </c>
      <c r="D2137" s="11">
        <f t="shared" si="100"/>
        <v>935541749.85000026</v>
      </c>
      <c r="E2137" s="10">
        <f t="shared" si="101"/>
        <v>0.99997930180112826</v>
      </c>
    </row>
    <row r="2138" spans="1:5">
      <c r="A2138">
        <f t="shared" si="99"/>
        <v>2137</v>
      </c>
      <c r="B2138" t="str" cm="1">
        <f t="array" ref="B2138">INDEX('Enriched Data'!C:C,A2138+1)</f>
        <v>Gustas Outdoor Power Equipment</v>
      </c>
      <c r="C2138" s="11" cm="1">
        <f t="array" ref="C2138">INDEX('Enriched Data'!G:G,A2138+1)</f>
        <v>334.88</v>
      </c>
      <c r="D2138" s="11">
        <f t="shared" si="100"/>
        <v>935542084.73000026</v>
      </c>
      <c r="E2138" s="10">
        <f t="shared" si="101"/>
        <v>0.99997965974674485</v>
      </c>
    </row>
    <row r="2139" spans="1:5">
      <c r="A2139">
        <f t="shared" si="99"/>
        <v>2138</v>
      </c>
      <c r="B2139" t="str" cm="1">
        <f t="array" ref="B2139">INDEX('Enriched Data'!C:C,A2139+1)</f>
        <v>Lighting and Lamp Corporation</v>
      </c>
      <c r="C2139" s="11" cm="1">
        <f t="array" ref="C2139">INDEX('Enriched Data'!G:G,A2139+1)</f>
        <v>334.4</v>
      </c>
      <c r="D2139" s="11">
        <f t="shared" si="100"/>
        <v>935542419.13000023</v>
      </c>
      <c r="E2139" s="10">
        <f t="shared" si="101"/>
        <v>0.99998001717930052</v>
      </c>
    </row>
    <row r="2140" spans="1:5">
      <c r="A2140">
        <f t="shared" si="99"/>
        <v>2139</v>
      </c>
      <c r="B2140" t="str" cm="1">
        <f t="array" ref="B2140">INDEX('Enriched Data'!C:C,A2140+1)</f>
        <v>Brecke Mechanical Contractor</v>
      </c>
      <c r="C2140" s="11" cm="1">
        <f t="array" ref="C2140">INDEX('Enriched Data'!G:G,A2140+1)</f>
        <v>327.24</v>
      </c>
      <c r="D2140" s="11">
        <f t="shared" si="100"/>
        <v>935542746.37000024</v>
      </c>
      <c r="E2140" s="10">
        <f t="shared" si="101"/>
        <v>0.99998036695869497</v>
      </c>
    </row>
    <row r="2141" spans="1:5">
      <c r="A2141">
        <f t="shared" si="99"/>
        <v>2140</v>
      </c>
      <c r="B2141" t="str" cm="1">
        <f t="array" ref="B2141">INDEX('Enriched Data'!C:C,A2141+1)</f>
        <v>FireTech Extinguisher Service &amp; Safety Equipment Co, LLC</v>
      </c>
      <c r="C2141" s="11" cm="1">
        <f t="array" ref="C2141">INDEX('Enriched Data'!G:G,A2141+1)</f>
        <v>326.35000000000002</v>
      </c>
      <c r="D2141" s="11">
        <f t="shared" si="100"/>
        <v>935543072.72000027</v>
      </c>
      <c r="E2141" s="10">
        <f t="shared" si="101"/>
        <v>0.9999807157867886</v>
      </c>
    </row>
    <row r="2142" spans="1:5">
      <c r="A2142">
        <f t="shared" si="99"/>
        <v>2141</v>
      </c>
      <c r="B2142" t="str" cm="1">
        <f t="array" ref="B2142">INDEX('Enriched Data'!C:C,A2142+1)</f>
        <v>Sigler Heat and Air, LLC</v>
      </c>
      <c r="C2142" s="11" cm="1">
        <f t="array" ref="C2142">INDEX('Enriched Data'!G:G,A2142+1)</f>
        <v>325.66000000000003</v>
      </c>
      <c r="D2142" s="11">
        <f t="shared" si="100"/>
        <v>935543398.38000023</v>
      </c>
      <c r="E2142" s="10">
        <f t="shared" si="101"/>
        <v>0.99998106387735697</v>
      </c>
    </row>
    <row r="2143" spans="1:5">
      <c r="A2143">
        <f t="shared" si="99"/>
        <v>2142</v>
      </c>
      <c r="B2143" t="str" cm="1">
        <f t="array" ref="B2143">INDEX('Enriched Data'!C:C,A2143+1)</f>
        <v>Spectra Laboratories, LLC</v>
      </c>
      <c r="C2143" s="11" cm="1">
        <f t="array" ref="C2143">INDEX('Enriched Data'!G:G,A2143+1)</f>
        <v>324</v>
      </c>
      <c r="D2143" s="11">
        <f t="shared" si="100"/>
        <v>935543722.38000023</v>
      </c>
      <c r="E2143" s="10">
        <f t="shared" si="101"/>
        <v>0.99998141019358899</v>
      </c>
    </row>
    <row r="2144" spans="1:5">
      <c r="A2144">
        <f t="shared" si="99"/>
        <v>2143</v>
      </c>
      <c r="B2144" t="str" cm="1">
        <f t="array" ref="B2144">INDEX('Enriched Data'!C:C,A2144+1)</f>
        <v>Mobile Storage Of Calgary</v>
      </c>
      <c r="C2144" s="11" cm="1">
        <f t="array" ref="C2144">INDEX('Enriched Data'!G:G,A2144+1)</f>
        <v>320.64</v>
      </c>
      <c r="D2144" s="11">
        <f t="shared" si="100"/>
        <v>935544043.02000022</v>
      </c>
      <c r="E2144" s="10">
        <f t="shared" si="101"/>
        <v>0.99998175291839353</v>
      </c>
    </row>
    <row r="2145" spans="1:5">
      <c r="A2145">
        <f t="shared" si="99"/>
        <v>2144</v>
      </c>
      <c r="B2145" t="str" cm="1">
        <f t="array" ref="B2145">INDEX('Enriched Data'!C:C,A2145+1)</f>
        <v>Mobile Storage Of Calgary-c</v>
      </c>
      <c r="C2145" s="11" cm="1">
        <f t="array" ref="C2145">INDEX('Enriched Data'!G:G,A2145+1)</f>
        <v>320.64</v>
      </c>
      <c r="D2145" s="11">
        <f t="shared" si="100"/>
        <v>935544363.66000021</v>
      </c>
      <c r="E2145" s="10">
        <f t="shared" si="101"/>
        <v>0.99998209564319807</v>
      </c>
    </row>
    <row r="2146" spans="1:5">
      <c r="A2146">
        <f t="shared" si="99"/>
        <v>2145</v>
      </c>
      <c r="B2146" t="str" cm="1">
        <f t="array" ref="B2146">INDEX('Enriched Data'!C:C,A2146+1)</f>
        <v>Murray Construction Co., Inc.</v>
      </c>
      <c r="C2146" s="11" cm="1">
        <f t="array" ref="C2146">INDEX('Enriched Data'!G:G,A2146+1)</f>
        <v>319.88</v>
      </c>
      <c r="D2146" s="11">
        <f t="shared" si="100"/>
        <v>935544683.5400002</v>
      </c>
      <c r="E2146" s="10">
        <f t="shared" si="101"/>
        <v>0.99998243755565586</v>
      </c>
    </row>
    <row r="2147" spans="1:5">
      <c r="A2147">
        <f t="shared" si="99"/>
        <v>2146</v>
      </c>
      <c r="B2147" t="str" cm="1">
        <f t="array" ref="B2147">INDEX('Enriched Data'!C:C,A2147+1)</f>
        <v>Sterling Lexicon</v>
      </c>
      <c r="C2147" s="11" cm="1">
        <f t="array" ref="C2147">INDEX('Enriched Data'!G:G,A2147+1)</f>
        <v>316.08999999999997</v>
      </c>
      <c r="D2147" s="11">
        <f t="shared" si="100"/>
        <v>935544999.63000023</v>
      </c>
      <c r="E2147" s="10">
        <f t="shared" si="101"/>
        <v>0.99998277541706881</v>
      </c>
    </row>
    <row r="2148" spans="1:5">
      <c r="A2148">
        <f t="shared" si="99"/>
        <v>2147</v>
      </c>
      <c r="B2148" t="str" cm="1">
        <f t="array" ref="B2148">INDEX('Enriched Data'!C:C,A2148+1)</f>
        <v>Globalinduatrial.ca</v>
      </c>
      <c r="C2148" s="11" cm="1">
        <f t="array" ref="C2148">INDEX('Enriched Data'!G:G,A2148+1)</f>
        <v>315.27</v>
      </c>
      <c r="D2148" s="11">
        <f t="shared" si="100"/>
        <v>935545314.90000021</v>
      </c>
      <c r="E2148" s="10">
        <f t="shared" si="101"/>
        <v>0.99998311240200244</v>
      </c>
    </row>
    <row r="2149" spans="1:5">
      <c r="A2149">
        <f t="shared" si="99"/>
        <v>2148</v>
      </c>
      <c r="B2149" t="str" cm="1">
        <f t="array" ref="B2149">INDEX('Enriched Data'!C:C,A2149+1)</f>
        <v>Fire Tech LLC</v>
      </c>
      <c r="C2149" s="11" cm="1">
        <f t="array" ref="C2149">INDEX('Enriched Data'!G:G,A2149+1)</f>
        <v>314</v>
      </c>
      <c r="D2149" s="11">
        <f t="shared" si="100"/>
        <v>935545628.90000021</v>
      </c>
      <c r="E2149" s="10">
        <f t="shared" si="101"/>
        <v>0.99998344802946193</v>
      </c>
    </row>
    <row r="2150" spans="1:5">
      <c r="A2150">
        <f t="shared" si="99"/>
        <v>2149</v>
      </c>
      <c r="B2150" t="str" cm="1">
        <f t="array" ref="B2150">INDEX('Enriched Data'!C:C,A2150+1)</f>
        <v>Capital Relocation Services (db)</v>
      </c>
      <c r="C2150" s="11" cm="1">
        <f t="array" ref="C2150">INDEX('Enriched Data'!G:G,A2150+1)</f>
        <v>309.68</v>
      </c>
      <c r="D2150" s="11">
        <f t="shared" si="100"/>
        <v>935545938.58000016</v>
      </c>
      <c r="E2150" s="10">
        <f t="shared" si="101"/>
        <v>0.99998377903937163</v>
      </c>
    </row>
    <row r="2151" spans="1:5">
      <c r="A2151">
        <f t="shared" si="99"/>
        <v>2150</v>
      </c>
      <c r="B2151" t="str" cm="1">
        <f t="array" ref="B2151">INDEX('Enriched Data'!C:C,A2151+1)</f>
        <v>Overhead Door Co of Savannah</v>
      </c>
      <c r="C2151" s="11" cm="1">
        <f t="array" ref="C2151">INDEX('Enriched Data'!G:G,A2151+1)</f>
        <v>303.5</v>
      </c>
      <c r="D2151" s="11">
        <f t="shared" si="100"/>
        <v>935546242.08000016</v>
      </c>
      <c r="E2151" s="10">
        <f t="shared" si="101"/>
        <v>0.99998410344361988</v>
      </c>
    </row>
    <row r="2152" spans="1:5">
      <c r="A2152">
        <f t="shared" si="99"/>
        <v>2151</v>
      </c>
      <c r="B2152" t="str" cm="1">
        <f t="array" ref="B2152">INDEX('Enriched Data'!C:C,A2152+1)</f>
        <v>Pinnacle Fire &amp; Automation, LLC</v>
      </c>
      <c r="C2152" s="11" cm="1">
        <f t="array" ref="C2152">INDEX('Enriched Data'!G:G,A2152+1)</f>
        <v>300</v>
      </c>
      <c r="D2152" s="11">
        <f t="shared" si="100"/>
        <v>935546542.08000016</v>
      </c>
      <c r="E2152" s="10">
        <f t="shared" si="101"/>
        <v>0.99998442410679778</v>
      </c>
    </row>
    <row r="2153" spans="1:5">
      <c r="A2153">
        <f t="shared" si="99"/>
        <v>2152</v>
      </c>
      <c r="B2153" t="str" cm="1">
        <f t="array" ref="B2153">INDEX('Enriched Data'!C:C,A2153+1)</f>
        <v>Overhead Door Co of Rogue Valley</v>
      </c>
      <c r="C2153" s="11" cm="1">
        <f t="array" ref="C2153">INDEX('Enriched Data'!G:G,A2153+1)</f>
        <v>300</v>
      </c>
      <c r="D2153" s="11">
        <f t="shared" si="100"/>
        <v>935546842.08000016</v>
      </c>
      <c r="E2153" s="10">
        <f t="shared" si="101"/>
        <v>0.99998474476997568</v>
      </c>
    </row>
    <row r="2154" spans="1:5">
      <c r="A2154">
        <f t="shared" si="99"/>
        <v>2153</v>
      </c>
      <c r="B2154" t="str" cm="1">
        <f t="array" ref="B2154">INDEX('Enriched Data'!C:C,A2154+1)</f>
        <v>Adam Wild</v>
      </c>
      <c r="C2154" s="11" cm="1">
        <f t="array" ref="C2154">INDEX('Enriched Data'!G:G,A2154+1)</f>
        <v>300</v>
      </c>
      <c r="D2154" s="11">
        <f t="shared" si="100"/>
        <v>935547142.08000016</v>
      </c>
      <c r="E2154" s="10">
        <f t="shared" si="101"/>
        <v>0.99998506543315357</v>
      </c>
    </row>
    <row r="2155" spans="1:5">
      <c r="A2155">
        <f t="shared" si="99"/>
        <v>2154</v>
      </c>
      <c r="B2155" t="str" cm="1">
        <f t="array" ref="B2155">INDEX('Enriched Data'!C:C,A2155+1)</f>
        <v>Priority One Security</v>
      </c>
      <c r="C2155" s="11" cm="1">
        <f t="array" ref="C2155">INDEX('Enriched Data'!G:G,A2155+1)</f>
        <v>297.72000000000003</v>
      </c>
      <c r="D2155" s="11">
        <f t="shared" si="100"/>
        <v>935547439.80000019</v>
      </c>
      <c r="E2155" s="10">
        <f t="shared" si="101"/>
        <v>0.99998538365929124</v>
      </c>
    </row>
    <row r="2156" spans="1:5">
      <c r="A2156">
        <f t="shared" si="99"/>
        <v>2155</v>
      </c>
      <c r="B2156" t="str" cm="1">
        <f t="array" ref="B2156">INDEX('Enriched Data'!C:C,A2156+1)</f>
        <v>Unitil-#5071538504</v>
      </c>
      <c r="C2156" s="11" cm="1">
        <f t="array" ref="C2156">INDEX('Enriched Data'!G:G,A2156+1)</f>
        <v>295.87</v>
      </c>
      <c r="D2156" s="11">
        <f t="shared" si="100"/>
        <v>935547735.6700002</v>
      </c>
      <c r="E2156" s="10">
        <f t="shared" si="101"/>
        <v>0.99998569990800612</v>
      </c>
    </row>
    <row r="2157" spans="1:5">
      <c r="A2157">
        <f t="shared" si="99"/>
        <v>2156</v>
      </c>
      <c r="B2157" t="str" cm="1">
        <f t="array" ref="B2157">INDEX('Enriched Data'!C:C,A2157+1)</f>
        <v>Aerial Hydraulics, Inc.</v>
      </c>
      <c r="C2157" s="11" cm="1">
        <f t="array" ref="C2157">INDEX('Enriched Data'!G:G,A2157+1)</f>
        <v>292.89</v>
      </c>
      <c r="D2157" s="11">
        <f t="shared" si="100"/>
        <v>935548028.56000018</v>
      </c>
      <c r="E2157" s="10">
        <f t="shared" si="101"/>
        <v>0.99998601297146661</v>
      </c>
    </row>
    <row r="2158" spans="1:5">
      <c r="A2158">
        <f t="shared" si="99"/>
        <v>2157</v>
      </c>
      <c r="B2158" t="str" cm="1">
        <f t="array" ref="B2158">INDEX('Enriched Data'!C:C,A2158+1)</f>
        <v>Lenny Campbell Service Company Inc.</v>
      </c>
      <c r="C2158" s="11" cm="1">
        <f t="array" ref="C2158">INDEX('Enriched Data'!G:G,A2158+1)</f>
        <v>290</v>
      </c>
      <c r="D2158" s="11">
        <f t="shared" si="100"/>
        <v>935548318.56000018</v>
      </c>
      <c r="E2158" s="10">
        <f t="shared" si="101"/>
        <v>0.99998632294587186</v>
      </c>
    </row>
    <row r="2159" spans="1:5">
      <c r="A2159">
        <f t="shared" si="99"/>
        <v>2158</v>
      </c>
      <c r="B2159" t="str" cm="1">
        <f t="array" ref="B2159">INDEX('Enriched Data'!C:C,A2159+1)</f>
        <v>Tire King</v>
      </c>
      <c r="C2159" s="11" cm="1">
        <f t="array" ref="C2159">INDEX('Enriched Data'!G:G,A2159+1)</f>
        <v>287.89</v>
      </c>
      <c r="D2159" s="11">
        <f t="shared" si="100"/>
        <v>935548606.45000017</v>
      </c>
      <c r="E2159" s="10">
        <f t="shared" si="101"/>
        <v>0.9999866306649462</v>
      </c>
    </row>
    <row r="2160" spans="1:5">
      <c r="A2160">
        <f t="shared" si="99"/>
        <v>2159</v>
      </c>
      <c r="B2160" t="str" cm="1">
        <f t="array" ref="B2160">INDEX('Enriched Data'!C:C,A2160+1)</f>
        <v>School Bus Safety Program NY</v>
      </c>
      <c r="C2160" s="11" cm="1">
        <f t="array" ref="C2160">INDEX('Enriched Data'!G:G,A2160+1)</f>
        <v>275</v>
      </c>
      <c r="D2160" s="11">
        <f t="shared" si="100"/>
        <v>935548881.45000017</v>
      </c>
      <c r="E2160" s="10">
        <f t="shared" si="101"/>
        <v>0.99998692460619254</v>
      </c>
    </row>
    <row r="2161" spans="1:5">
      <c r="A2161">
        <f t="shared" si="99"/>
        <v>2160</v>
      </c>
      <c r="B2161" t="str" cm="1">
        <f t="array" ref="B2161">INDEX('Enriched Data'!C:C,A2161+1)</f>
        <v>Ace Hardware Corporation</v>
      </c>
      <c r="C2161" s="11" cm="1">
        <f t="array" ref="C2161">INDEX('Enriched Data'!G:G,A2161+1)</f>
        <v>273.45</v>
      </c>
      <c r="D2161" s="11">
        <f t="shared" si="100"/>
        <v>935549154.90000021</v>
      </c>
      <c r="E2161" s="10">
        <f t="shared" si="101"/>
        <v>0.99998721689067926</v>
      </c>
    </row>
    <row r="2162" spans="1:5">
      <c r="A2162">
        <f t="shared" si="99"/>
        <v>2161</v>
      </c>
      <c r="B2162" t="str" cm="1">
        <f t="array" ref="B2162">INDEX('Enriched Data'!C:C,A2162+1)</f>
        <v>Hammers Towing</v>
      </c>
      <c r="C2162" s="11" cm="1">
        <f t="array" ref="C2162">INDEX('Enriched Data'!G:G,A2162+1)</f>
        <v>269.38</v>
      </c>
      <c r="D2162" s="11">
        <f t="shared" si="100"/>
        <v>935549424.28000021</v>
      </c>
      <c r="E2162" s="10">
        <f t="shared" si="101"/>
        <v>0.99998750482483545</v>
      </c>
    </row>
    <row r="2163" spans="1:5">
      <c r="A2163">
        <f t="shared" si="99"/>
        <v>2162</v>
      </c>
      <c r="B2163" t="str" cm="1">
        <f t="array" ref="B2163">INDEX('Enriched Data'!C:C,A2163+1)</f>
        <v>Fond Technologies, Inc. Do Not Use-Use Vendor 149334</v>
      </c>
      <c r="C2163" s="11" cm="1">
        <f t="array" ref="C2163">INDEX('Enriched Data'!G:G,A2163+1)</f>
        <v>267.62</v>
      </c>
      <c r="D2163" s="11">
        <f t="shared" si="100"/>
        <v>935549691.90000021</v>
      </c>
      <c r="E2163" s="10">
        <f t="shared" si="101"/>
        <v>0.99998779087776757</v>
      </c>
    </row>
    <row r="2164" spans="1:5">
      <c r="A2164">
        <f t="shared" si="99"/>
        <v>2163</v>
      </c>
      <c r="B2164" t="str" cm="1">
        <f t="array" ref="B2164">INDEX('Enriched Data'!C:C,A2164+1)</f>
        <v>ARIN</v>
      </c>
      <c r="C2164" s="11" cm="1">
        <f t="array" ref="C2164">INDEX('Enriched Data'!G:G,A2164+1)</f>
        <v>262.5</v>
      </c>
      <c r="D2164" s="11">
        <f t="shared" si="100"/>
        <v>935549954.40000021</v>
      </c>
      <c r="E2164" s="10">
        <f t="shared" si="101"/>
        <v>0.99998807145804824</v>
      </c>
    </row>
    <row r="2165" spans="1:5">
      <c r="A2165">
        <f t="shared" si="99"/>
        <v>2164</v>
      </c>
      <c r="B2165" t="str" cm="1">
        <f t="array" ref="B2165">INDEX('Enriched Data'!C:C,A2165+1)</f>
        <v>Austin Fire Systems LLC</v>
      </c>
      <c r="C2165" s="11" cm="1">
        <f t="array" ref="C2165">INDEX('Enriched Data'!G:G,A2165+1)</f>
        <v>259.68</v>
      </c>
      <c r="D2165" s="11">
        <f t="shared" si="100"/>
        <v>935550214.08000016</v>
      </c>
      <c r="E2165" s="10">
        <f t="shared" si="101"/>
        <v>0.99998834902409495</v>
      </c>
    </row>
    <row r="2166" spans="1:5">
      <c r="A2166">
        <f t="shared" si="99"/>
        <v>2165</v>
      </c>
      <c r="B2166" t="str" cm="1">
        <f t="array" ref="B2166">INDEX('Enriched Data'!C:C,A2166+1)</f>
        <v>HCTRA- Violations</v>
      </c>
      <c r="C2166" s="11" cm="1">
        <f t="array" ref="C2166">INDEX('Enriched Data'!G:G,A2166+1)</f>
        <v>256.5</v>
      </c>
      <c r="D2166" s="11">
        <f t="shared" si="100"/>
        <v>935550470.58000016</v>
      </c>
      <c r="E2166" s="10">
        <f t="shared" si="101"/>
        <v>0.99998862319111204</v>
      </c>
    </row>
    <row r="2167" spans="1:5">
      <c r="A2167">
        <f t="shared" si="99"/>
        <v>2166</v>
      </c>
      <c r="B2167" t="str" cm="1">
        <f t="array" ref="B2167">INDEX('Enriched Data'!C:C,A2167+1)</f>
        <v>SNO CO Dist CT South DIV</v>
      </c>
      <c r="C2167" s="11" cm="1">
        <f t="array" ref="C2167">INDEX('Enriched Data'!G:G,A2167+1)</f>
        <v>251</v>
      </c>
      <c r="D2167" s="11">
        <f t="shared" si="100"/>
        <v>935550721.58000016</v>
      </c>
      <c r="E2167" s="10">
        <f t="shared" si="101"/>
        <v>0.99998889147930414</v>
      </c>
    </row>
    <row r="2168" spans="1:5">
      <c r="A2168">
        <f t="shared" si="99"/>
        <v>2167</v>
      </c>
      <c r="B2168" t="str" cm="1">
        <f t="array" ref="B2168">INDEX('Enriched Data'!C:C,A2168+1)</f>
        <v>Mid-Atlantic Appraisal Cons.</v>
      </c>
      <c r="C2168" s="11" cm="1">
        <f t="array" ref="C2168">INDEX('Enriched Data'!G:G,A2168+1)</f>
        <v>250</v>
      </c>
      <c r="D2168" s="11">
        <f t="shared" si="100"/>
        <v>935550971.58000016</v>
      </c>
      <c r="E2168" s="10">
        <f t="shared" si="101"/>
        <v>0.99998915869861904</v>
      </c>
    </row>
    <row r="2169" spans="1:5">
      <c r="A2169">
        <f t="shared" si="99"/>
        <v>2168</v>
      </c>
      <c r="B2169" t="str" cm="1">
        <f t="array" ref="B2169">INDEX('Enriched Data'!C:C,A2169+1)</f>
        <v>ADP Inc.</v>
      </c>
      <c r="C2169" s="11" cm="1">
        <f t="array" ref="C2169">INDEX('Enriched Data'!G:G,A2169+1)</f>
        <v>247.5</v>
      </c>
      <c r="D2169" s="11">
        <f t="shared" si="100"/>
        <v>935551219.08000016</v>
      </c>
      <c r="E2169" s="10">
        <f t="shared" si="101"/>
        <v>0.9999894232457408</v>
      </c>
    </row>
    <row r="2170" spans="1:5">
      <c r="A2170">
        <f t="shared" si="99"/>
        <v>2169</v>
      </c>
      <c r="B2170" t="str" cm="1">
        <f t="array" ref="B2170">INDEX('Enriched Data'!C:C,A2170+1)</f>
        <v>Roanoke Gas Company-#0751953-1</v>
      </c>
      <c r="C2170" s="11" cm="1">
        <f t="array" ref="C2170">INDEX('Enriched Data'!G:G,A2170+1)</f>
        <v>245.25</v>
      </c>
      <c r="D2170" s="11">
        <f t="shared" si="100"/>
        <v>935551464.33000016</v>
      </c>
      <c r="E2170" s="10">
        <f t="shared" si="101"/>
        <v>0.99998968538788879</v>
      </c>
    </row>
    <row r="2171" spans="1:5">
      <c r="A2171">
        <f t="shared" si="99"/>
        <v>2170</v>
      </c>
      <c r="B2171" t="str" cm="1">
        <f t="array" ref="B2171">INDEX('Enriched Data'!C:C,A2171+1)</f>
        <v>Illinois Tollway</v>
      </c>
      <c r="C2171" s="11" cm="1">
        <f t="array" ref="C2171">INDEX('Enriched Data'!G:G,A2171+1)</f>
        <v>244.5</v>
      </c>
      <c r="D2171" s="11">
        <f t="shared" si="100"/>
        <v>935551708.83000016</v>
      </c>
      <c r="E2171" s="10">
        <f t="shared" si="101"/>
        <v>0.99998994672837871</v>
      </c>
    </row>
    <row r="2172" spans="1:5">
      <c r="A2172">
        <f t="shared" si="99"/>
        <v>2171</v>
      </c>
      <c r="B2172" t="str" cm="1">
        <f t="array" ref="B2172">INDEX('Enriched Data'!C:C,A2172+1)</f>
        <v>Progressive Commercial Services, LLC.</v>
      </c>
      <c r="C2172" s="11" cm="1">
        <f t="array" ref="C2172">INDEX('Enriched Data'!G:G,A2172+1)</f>
        <v>243.99</v>
      </c>
      <c r="D2172" s="11">
        <f t="shared" si="100"/>
        <v>935551952.82000017</v>
      </c>
      <c r="E2172" s="10">
        <f t="shared" si="101"/>
        <v>0.99999020752374124</v>
      </c>
    </row>
    <row r="2173" spans="1:5">
      <c r="A2173">
        <f t="shared" si="99"/>
        <v>2172</v>
      </c>
      <c r="B2173" t="str" cm="1">
        <f t="array" ref="B2173">INDEX('Enriched Data'!C:C,A2173+1)</f>
        <v>Pet Screening Inc.</v>
      </c>
      <c r="C2173" s="11" cm="1">
        <f t="array" ref="C2173">INDEX('Enriched Data'!G:G,A2173+1)</f>
        <v>242.44</v>
      </c>
      <c r="D2173" s="11">
        <f t="shared" si="100"/>
        <v>935552195.26000023</v>
      </c>
      <c r="E2173" s="10">
        <f t="shared" si="101"/>
        <v>0.99999046666234415</v>
      </c>
    </row>
    <row r="2174" spans="1:5">
      <c r="A2174">
        <f t="shared" si="99"/>
        <v>2173</v>
      </c>
      <c r="B2174" t="str" cm="1">
        <f t="array" ref="B2174">INDEX('Enriched Data'!C:C,A2174+1)</f>
        <v>Saf-Way Recycler</v>
      </c>
      <c r="C2174" s="11" cm="1">
        <f t="array" ref="C2174">INDEX('Enriched Data'!G:G,A2174+1)</f>
        <v>237.8</v>
      </c>
      <c r="D2174" s="11">
        <f t="shared" si="100"/>
        <v>935552433.06000018</v>
      </c>
      <c r="E2174" s="10">
        <f t="shared" si="101"/>
        <v>0.99999072084135643</v>
      </c>
    </row>
    <row r="2175" spans="1:5">
      <c r="A2175">
        <f t="shared" si="99"/>
        <v>2174</v>
      </c>
      <c r="B2175" t="str" cm="1">
        <f t="array" ref="B2175">INDEX('Enriched Data'!C:C,A2175+1)</f>
        <v>Security Dynamics Inc.</v>
      </c>
      <c r="C2175" s="11" cm="1">
        <f t="array" ref="C2175">INDEX('Enriched Data'!G:G,A2175+1)</f>
        <v>237.07</v>
      </c>
      <c r="D2175" s="11">
        <f t="shared" si="100"/>
        <v>935552670.13000023</v>
      </c>
      <c r="E2175" s="10">
        <f t="shared" si="101"/>
        <v>0.99999097424008843</v>
      </c>
    </row>
    <row r="2176" spans="1:5">
      <c r="A2176">
        <f t="shared" si="99"/>
        <v>2175</v>
      </c>
      <c r="B2176" t="str" cm="1">
        <f t="array" ref="B2176">INDEX('Enriched Data'!C:C,A2176+1)</f>
        <v>Transteck, Inc.</v>
      </c>
      <c r="C2176" s="11" cm="1">
        <f t="array" ref="C2176">INDEX('Enriched Data'!G:G,A2176+1)</f>
        <v>232.18</v>
      </c>
      <c r="D2176" s="11">
        <f t="shared" si="100"/>
        <v>935552902.31000018</v>
      </c>
      <c r="E2176" s="10">
        <f t="shared" si="101"/>
        <v>0.99999122241201055</v>
      </c>
    </row>
    <row r="2177" spans="1:5">
      <c r="A2177">
        <f t="shared" si="99"/>
        <v>2176</v>
      </c>
      <c r="B2177" t="str" cm="1">
        <f t="array" ref="B2177">INDEX('Enriched Data'!C:C,A2177+1)</f>
        <v>Averitt Express, Inc.</v>
      </c>
      <c r="C2177" s="11" cm="1">
        <f t="array" ref="C2177">INDEX('Enriched Data'!G:G,A2177+1)</f>
        <v>230.92</v>
      </c>
      <c r="D2177" s="11">
        <f t="shared" si="100"/>
        <v>935553133.23000014</v>
      </c>
      <c r="E2177" s="10">
        <f t="shared" si="101"/>
        <v>0.99999146923714721</v>
      </c>
    </row>
    <row r="2178" spans="1:5">
      <c r="A2178">
        <f t="shared" si="99"/>
        <v>2177</v>
      </c>
      <c r="B2178" t="str" cm="1">
        <f t="array" ref="B2178">INDEX('Enriched Data'!C:C,A2178+1)</f>
        <v>Keane Fire &amp; Safety Equipment Co</v>
      </c>
      <c r="C2178" s="11" cm="1">
        <f t="array" ref="C2178">INDEX('Enriched Data'!G:G,A2178+1)</f>
        <v>229.18</v>
      </c>
      <c r="D2178" s="11">
        <f t="shared" si="100"/>
        <v>935553362.41000009</v>
      </c>
      <c r="E2178" s="10">
        <f t="shared" si="101"/>
        <v>0.99999171420243749</v>
      </c>
    </row>
    <row r="2179" spans="1:5">
      <c r="A2179">
        <f t="shared" si="99"/>
        <v>2178</v>
      </c>
      <c r="B2179" t="str" cm="1">
        <f t="array" ref="B2179">INDEX('Enriched Data'!C:C,A2179+1)</f>
        <v>MC Tabor Enterprises</v>
      </c>
      <c r="C2179" s="11" cm="1">
        <f t="array" ref="C2179">INDEX('Enriched Data'!G:G,A2179+1)</f>
        <v>226.47</v>
      </c>
      <c r="D2179" s="11">
        <f t="shared" si="100"/>
        <v>935553588.88000011</v>
      </c>
      <c r="E2179" s="10">
        <f t="shared" si="101"/>
        <v>0.99999195627107051</v>
      </c>
    </row>
    <row r="2180" spans="1:5">
      <c r="A2180">
        <f t="shared" ref="A2180:A2225" si="102">A2179+1</f>
        <v>2179</v>
      </c>
      <c r="B2180" t="str" cm="1">
        <f t="array" ref="B2180">INDEX('Enriched Data'!C:C,A2180+1)</f>
        <v>Complete Auto Glass</v>
      </c>
      <c r="C2180" s="11" cm="1">
        <f t="array" ref="C2180">INDEX('Enriched Data'!G:G,A2180+1)</f>
        <v>225</v>
      </c>
      <c r="D2180" s="11">
        <f t="shared" ref="D2180:D2225" si="103">D2179+C2180</f>
        <v>935553813.88000011</v>
      </c>
      <c r="E2180" s="10">
        <f t="shared" ref="E2180:E2225" si="104">D2180/$F$2</f>
        <v>0.99999219676845397</v>
      </c>
    </row>
    <row r="2181" spans="1:5">
      <c r="A2181">
        <f t="shared" si="102"/>
        <v>2180</v>
      </c>
      <c r="B2181" t="str" cm="1">
        <f t="array" ref="B2181">INDEX('Enriched Data'!C:C,A2181+1)</f>
        <v>Jon-Don LLC dba Factory Cleaning Equipment by Jon-Don LLC</v>
      </c>
      <c r="C2181" s="11" cm="1">
        <f t="array" ref="C2181">INDEX('Enriched Data'!G:G,A2181+1)</f>
        <v>218.79</v>
      </c>
      <c r="D2181" s="11">
        <f t="shared" si="103"/>
        <v>935554032.67000008</v>
      </c>
      <c r="E2181" s="10">
        <f t="shared" si="104"/>
        <v>0.9999924306281095</v>
      </c>
    </row>
    <row r="2182" spans="1:5">
      <c r="A2182">
        <f t="shared" si="102"/>
        <v>2181</v>
      </c>
      <c r="B2182" t="str" cm="1">
        <f t="array" ref="B2182">INDEX('Enriched Data'!C:C,A2182+1)</f>
        <v>Napa Auto Parts-DO NOT USE</v>
      </c>
      <c r="C2182" s="11" cm="1">
        <f t="array" ref="C2182">INDEX('Enriched Data'!G:G,A2182+1)</f>
        <v>211.28</v>
      </c>
      <c r="D2182" s="11">
        <f t="shared" si="103"/>
        <v>935554243.95000005</v>
      </c>
      <c r="E2182" s="10">
        <f t="shared" si="104"/>
        <v>0.99999265646049684</v>
      </c>
    </row>
    <row r="2183" spans="1:5">
      <c r="A2183">
        <f t="shared" si="102"/>
        <v>2182</v>
      </c>
      <c r="B2183" t="str" cm="1">
        <f t="array" ref="B2183">INDEX('Enriched Data'!C:C,A2183+1)</f>
        <v>NTTA</v>
      </c>
      <c r="C2183" s="11" cm="1">
        <f t="array" ref="C2183">INDEX('Enriched Data'!G:G,A2183+1)</f>
        <v>210.8</v>
      </c>
      <c r="D2183" s="11">
        <f t="shared" si="103"/>
        <v>935554454.75</v>
      </c>
      <c r="E2183" s="10">
        <f t="shared" si="104"/>
        <v>0.99999288177982315</v>
      </c>
    </row>
    <row r="2184" spans="1:5">
      <c r="A2184">
        <f t="shared" si="102"/>
        <v>2183</v>
      </c>
      <c r="B2184" t="str" cm="1">
        <f t="array" ref="B2184">INDEX('Enriched Data'!C:C,A2184+1)</f>
        <v>Texas Lone Star Plumbing LLC</v>
      </c>
      <c r="C2184" s="11" cm="1">
        <f t="array" ref="C2184">INDEX('Enriched Data'!G:G,A2184+1)</f>
        <v>209.46</v>
      </c>
      <c r="D2184" s="11">
        <f t="shared" si="103"/>
        <v>935554664.21000004</v>
      </c>
      <c r="E2184" s="10">
        <f t="shared" si="104"/>
        <v>0.99999310566685395</v>
      </c>
    </row>
    <row r="2185" spans="1:5">
      <c r="A2185">
        <f t="shared" si="102"/>
        <v>2184</v>
      </c>
      <c r="B2185" t="str" cm="1">
        <f t="array" ref="B2185">INDEX('Enriched Data'!C:C,A2185+1)</f>
        <v>Spectrum Business #8260 13 009 1585300</v>
      </c>
      <c r="C2185" s="11" cm="1">
        <f t="array" ref="C2185">INDEX('Enriched Data'!G:G,A2185+1)</f>
        <v>206.08</v>
      </c>
      <c r="D2185" s="11">
        <f t="shared" si="103"/>
        <v>935554870.29000008</v>
      </c>
      <c r="E2185" s="10">
        <f t="shared" si="104"/>
        <v>0.9999933259410797</v>
      </c>
    </row>
    <row r="2186" spans="1:5">
      <c r="A2186">
        <f t="shared" si="102"/>
        <v>2185</v>
      </c>
      <c r="B2186" t="str" cm="1">
        <f t="array" ref="B2186">INDEX('Enriched Data'!C:C,A2186+1)</f>
        <v>Net RMA Processing</v>
      </c>
      <c r="C2186" s="11" cm="1">
        <f t="array" ref="C2186">INDEX('Enriched Data'!G:G,A2186+1)</f>
        <v>205.29</v>
      </c>
      <c r="D2186" s="11">
        <f t="shared" si="103"/>
        <v>935555075.58000004</v>
      </c>
      <c r="E2186" s="10">
        <f t="shared" si="104"/>
        <v>0.99999354537089225</v>
      </c>
    </row>
    <row r="2187" spans="1:5">
      <c r="A2187">
        <f t="shared" si="102"/>
        <v>2186</v>
      </c>
      <c r="B2187" t="str" cm="1">
        <f t="array" ref="B2187">INDEX('Enriched Data'!C:C,A2187+1)</f>
        <v>Les Gestions NAS Inc.</v>
      </c>
      <c r="C2187" s="11" cm="1">
        <f t="array" ref="C2187">INDEX('Enriched Data'!G:G,A2187+1)</f>
        <v>201.65</v>
      </c>
      <c r="D2187" s="11">
        <f t="shared" si="103"/>
        <v>935555277.23000002</v>
      </c>
      <c r="E2187" s="10">
        <f t="shared" si="104"/>
        <v>0.99999376090999159</v>
      </c>
    </row>
    <row r="2188" spans="1:5">
      <c r="A2188">
        <f t="shared" si="102"/>
        <v>2187</v>
      </c>
      <c r="B2188" t="str" cm="1">
        <f t="array" ref="B2188">INDEX('Enriched Data'!C:C,A2188+1)</f>
        <v>Central Florida Expressway Auth</v>
      </c>
      <c r="C2188" s="11" cm="1">
        <f t="array" ref="C2188">INDEX('Enriched Data'!G:G,A2188+1)</f>
        <v>200.32</v>
      </c>
      <c r="D2188" s="11">
        <f t="shared" si="103"/>
        <v>935555477.55000007</v>
      </c>
      <c r="E2188" s="10">
        <f t="shared" si="104"/>
        <v>0.99999397502748433</v>
      </c>
    </row>
    <row r="2189" spans="1:5">
      <c r="A2189">
        <f t="shared" si="102"/>
        <v>2188</v>
      </c>
      <c r="B2189" t="str" cm="1">
        <f t="array" ref="B2189">INDEX('Enriched Data'!C:C,A2189+1)</f>
        <v>Baxter Estates Court</v>
      </c>
      <c r="C2189" s="11" cm="1">
        <f t="array" ref="C2189">INDEX('Enriched Data'!G:G,A2189+1)</f>
        <v>200</v>
      </c>
      <c r="D2189" s="11">
        <f t="shared" si="103"/>
        <v>935555677.55000007</v>
      </c>
      <c r="E2189" s="10">
        <f t="shared" si="104"/>
        <v>0.99999418880293622</v>
      </c>
    </row>
    <row r="2190" spans="1:5">
      <c r="A2190">
        <f t="shared" si="102"/>
        <v>2189</v>
      </c>
      <c r="B2190" t="str" cm="1">
        <f t="array" ref="B2190">INDEX('Enriched Data'!C:C,A2190+1)</f>
        <v>Moving Waldo, Inc.</v>
      </c>
      <c r="C2190" s="11" cm="1">
        <f t="array" ref="C2190">INDEX('Enriched Data'!G:G,A2190+1)</f>
        <v>199.11</v>
      </c>
      <c r="D2190" s="11">
        <f t="shared" si="103"/>
        <v>935555876.66000009</v>
      </c>
      <c r="E2190" s="10">
        <f t="shared" si="104"/>
        <v>0.99999440162708741</v>
      </c>
    </row>
    <row r="2191" spans="1:5">
      <c r="A2191">
        <f t="shared" si="102"/>
        <v>2190</v>
      </c>
      <c r="B2191" t="str" cm="1">
        <f t="array" ref="B2191">INDEX('Enriched Data'!C:C,A2191+1)</f>
        <v>Crystal Springs</v>
      </c>
      <c r="C2191" s="11" cm="1">
        <f t="array" ref="C2191">INDEX('Enriched Data'!G:G,A2191+1)</f>
        <v>195.62</v>
      </c>
      <c r="D2191" s="11">
        <f t="shared" si="103"/>
        <v>935556072.28000009</v>
      </c>
      <c r="E2191" s="10">
        <f t="shared" si="104"/>
        <v>0.99999461072085694</v>
      </c>
    </row>
    <row r="2192" spans="1:5">
      <c r="A2192">
        <f t="shared" si="102"/>
        <v>2191</v>
      </c>
      <c r="B2192" t="str" cm="1">
        <f t="array" ref="B2192">INDEX('Enriched Data'!C:C,A2192+1)</f>
        <v>Advanced Lock and Alarm</v>
      </c>
      <c r="C2192" s="11" cm="1">
        <f t="array" ref="C2192">INDEX('Enriched Data'!G:G,A2192+1)</f>
        <v>190.95</v>
      </c>
      <c r="D2192" s="11">
        <f t="shared" si="103"/>
        <v>935556263.23000014</v>
      </c>
      <c r="E2192" s="10">
        <f t="shared" si="104"/>
        <v>0.9999948148229697</v>
      </c>
    </row>
    <row r="2193" spans="1:5">
      <c r="A2193">
        <f t="shared" si="102"/>
        <v>2192</v>
      </c>
      <c r="B2193" t="str" cm="1">
        <f t="array" ref="B2193">INDEX('Enriched Data'!C:C,A2193+1)</f>
        <v>CertaSite, LLC</v>
      </c>
      <c r="C2193" s="11" cm="1">
        <f t="array" ref="C2193">INDEX('Enriched Data'!G:G,A2193+1)</f>
        <v>190.9</v>
      </c>
      <c r="D2193" s="11">
        <f t="shared" si="103"/>
        <v>935556454.13000011</v>
      </c>
      <c r="E2193" s="10">
        <f t="shared" si="104"/>
        <v>0.99999501887163855</v>
      </c>
    </row>
    <row r="2194" spans="1:5">
      <c r="A2194">
        <f t="shared" si="102"/>
        <v>2193</v>
      </c>
      <c r="B2194" t="str" cm="1">
        <f t="array" ref="B2194">INDEX('Enriched Data'!C:C,A2194+1)</f>
        <v>Advanced Fluid Power, Inc.</v>
      </c>
      <c r="C2194" s="11" cm="1">
        <f t="array" ref="C2194">INDEX('Enriched Data'!G:G,A2194+1)</f>
        <v>190</v>
      </c>
      <c r="D2194" s="11">
        <f t="shared" si="103"/>
        <v>935556644.13000011</v>
      </c>
      <c r="E2194" s="10">
        <f t="shared" si="104"/>
        <v>0.99999522195831791</v>
      </c>
    </row>
    <row r="2195" spans="1:5">
      <c r="A2195">
        <f t="shared" si="102"/>
        <v>2194</v>
      </c>
      <c r="B2195" t="str" cm="1">
        <f t="array" ref="B2195">INDEX('Enriched Data'!C:C,A2195+1)</f>
        <v>Language Testing International Inc.</v>
      </c>
      <c r="C2195" s="11" cm="1">
        <f t="array" ref="C2195">INDEX('Enriched Data'!G:G,A2195+1)</f>
        <v>189</v>
      </c>
      <c r="D2195" s="11">
        <f t="shared" si="103"/>
        <v>935556833.13000011</v>
      </c>
      <c r="E2195" s="10">
        <f t="shared" si="104"/>
        <v>0.99999542397611996</v>
      </c>
    </row>
    <row r="2196" spans="1:5">
      <c r="A2196">
        <f t="shared" si="102"/>
        <v>2195</v>
      </c>
      <c r="B2196" t="str" cm="1">
        <f t="array" ref="B2196">INDEX('Enriched Data'!C:C,A2196+1)</f>
        <v>Jeffrey Knight</v>
      </c>
      <c r="C2196" s="11" cm="1">
        <f t="array" ref="C2196">INDEX('Enriched Data'!G:G,A2196+1)</f>
        <v>184.61</v>
      </c>
      <c r="D2196" s="11">
        <f t="shared" si="103"/>
        <v>935557017.74000013</v>
      </c>
      <c r="E2196" s="10">
        <f t="shared" si="104"/>
        <v>0.99999562130155084</v>
      </c>
    </row>
    <row r="2197" spans="1:5">
      <c r="A2197">
        <f t="shared" si="102"/>
        <v>2196</v>
      </c>
      <c r="B2197" t="str" cm="1">
        <f t="array" ref="B2197">INDEX('Enriched Data'!C:C,A2197+1)</f>
        <v>CCA Global Partners Inc.</v>
      </c>
      <c r="C2197" s="11" cm="1">
        <f t="array" ref="C2197">INDEX('Enriched Data'!G:G,A2197+1)</f>
        <v>178.87</v>
      </c>
      <c r="D2197" s="11">
        <f t="shared" si="103"/>
        <v>935557196.61000013</v>
      </c>
      <c r="E2197" s="10">
        <f t="shared" si="104"/>
        <v>0.99999581249162628</v>
      </c>
    </row>
    <row r="2198" spans="1:5">
      <c r="A2198">
        <f t="shared" si="102"/>
        <v>2197</v>
      </c>
      <c r="B2198" t="str" cm="1">
        <f t="array" ref="B2198">INDEX('Enriched Data'!C:C,A2198+1)</f>
        <v>Commonwealth Gaming &amp; Ho</v>
      </c>
      <c r="C2198" s="11" cm="1">
        <f t="array" ref="C2198">INDEX('Enriched Data'!G:G,A2198+1)</f>
        <v>175</v>
      </c>
      <c r="D2198" s="11">
        <f t="shared" si="103"/>
        <v>935557371.61000013</v>
      </c>
      <c r="E2198" s="10">
        <f t="shared" si="104"/>
        <v>0.99999599954514673</v>
      </c>
    </row>
    <row r="2199" spans="1:5">
      <c r="A2199">
        <f t="shared" si="102"/>
        <v>2198</v>
      </c>
      <c r="B2199" t="str" cm="1">
        <f t="array" ref="B2199">INDEX('Enriched Data'!C:C,A2199+1)</f>
        <v>Andrew Schuetz</v>
      </c>
      <c r="C2199" s="11" cm="1">
        <f t="array" ref="C2199">INDEX('Enriched Data'!G:G,A2199+1)</f>
        <v>174.58</v>
      </c>
      <c r="D2199" s="11">
        <f t="shared" si="103"/>
        <v>935557546.19000018</v>
      </c>
      <c r="E2199" s="10">
        <f t="shared" si="104"/>
        <v>0.99999618614973873</v>
      </c>
    </row>
    <row r="2200" spans="1:5">
      <c r="A2200">
        <f t="shared" si="102"/>
        <v>2199</v>
      </c>
      <c r="B2200" t="str" cm="1">
        <f t="array" ref="B2200">INDEX('Enriched Data'!C:C,A2200+1)</f>
        <v>Air Liquide</v>
      </c>
      <c r="C2200" s="11" cm="1">
        <f t="array" ref="C2200">INDEX('Enriched Data'!G:G,A2200+1)</f>
        <v>169.83</v>
      </c>
      <c r="D2200" s="11">
        <f t="shared" si="103"/>
        <v>935557716.02000022</v>
      </c>
      <c r="E2200" s="10">
        <f t="shared" si="104"/>
        <v>0.99999636767716371</v>
      </c>
    </row>
    <row r="2201" spans="1:5">
      <c r="A2201">
        <f t="shared" si="102"/>
        <v>2200</v>
      </c>
      <c r="B2201" t="str" cm="1">
        <f t="array" ref="B2201">INDEX('Enriched Data'!C:C,A2201+1)</f>
        <v>The Salvation Army Western Terr. Hq</v>
      </c>
      <c r="C2201" s="11" cm="1">
        <f t="array" ref="C2201">INDEX('Enriched Data'!G:G,A2201+1)</f>
        <v>167.38</v>
      </c>
      <c r="D2201" s="11">
        <f t="shared" si="103"/>
        <v>935557883.40000021</v>
      </c>
      <c r="E2201" s="10">
        <f t="shared" si="104"/>
        <v>0.99999654658583947</v>
      </c>
    </row>
    <row r="2202" spans="1:5">
      <c r="A2202">
        <f t="shared" si="102"/>
        <v>2201</v>
      </c>
      <c r="B2202" t="str" cm="1">
        <f t="array" ref="B2202">INDEX('Enriched Data'!C:C,A2202+1)</f>
        <v>SaveAround</v>
      </c>
      <c r="C2202" s="11" cm="1">
        <f t="array" ref="C2202">INDEX('Enriched Data'!G:G,A2202+1)</f>
        <v>165.33</v>
      </c>
      <c r="D2202" s="11">
        <f t="shared" si="103"/>
        <v>935558048.73000026</v>
      </c>
      <c r="E2202" s="10">
        <f t="shared" si="104"/>
        <v>0.99999672330331679</v>
      </c>
    </row>
    <row r="2203" spans="1:5">
      <c r="A2203">
        <f t="shared" si="102"/>
        <v>2202</v>
      </c>
      <c r="B2203" t="str" cm="1">
        <f t="array" ref="B2203">INDEX('Enriched Data'!C:C,A2203+1)</f>
        <v>SHARP- Pinellas Cty Sherriffs Off</v>
      </c>
      <c r="C2203" s="11" cm="1">
        <f t="array" ref="C2203">INDEX('Enriched Data'!G:G,A2203+1)</f>
        <v>160</v>
      </c>
      <c r="D2203" s="11">
        <f t="shared" si="103"/>
        <v>935558208.73000026</v>
      </c>
      <c r="E2203" s="10">
        <f t="shared" si="104"/>
        <v>0.99999689432367833</v>
      </c>
    </row>
    <row r="2204" spans="1:5">
      <c r="A2204">
        <f t="shared" si="102"/>
        <v>2203</v>
      </c>
      <c r="B2204" t="str" cm="1">
        <f t="array" ref="B2204">INDEX('Enriched Data'!C:C,A2204+1)</f>
        <v>Pony Up Moving</v>
      </c>
      <c r="C2204" s="11" cm="1">
        <f t="array" ref="C2204">INDEX('Enriched Data'!G:G,A2204+1)</f>
        <v>159.47999999999999</v>
      </c>
      <c r="D2204" s="11">
        <f t="shared" si="103"/>
        <v>935558368.21000028</v>
      </c>
      <c r="E2204" s="10">
        <f t="shared" si="104"/>
        <v>0.9999970647882237</v>
      </c>
    </row>
    <row r="2205" spans="1:5">
      <c r="A2205">
        <f t="shared" si="102"/>
        <v>2204</v>
      </c>
      <c r="B2205" t="str" cm="1">
        <f t="array" ref="B2205">INDEX('Enriched Data'!C:C,A2205+1)</f>
        <v>Suburban Propane-1645</v>
      </c>
      <c r="C2205" s="11" cm="1">
        <f t="array" ref="C2205">INDEX('Enriched Data'!G:G,A2205+1)</f>
        <v>159.33000000000001</v>
      </c>
      <c r="D2205" s="11">
        <f t="shared" si="103"/>
        <v>935558527.54000032</v>
      </c>
      <c r="E2205" s="10">
        <f t="shared" si="104"/>
        <v>0.99999723509243754</v>
      </c>
    </row>
    <row r="2206" spans="1:5">
      <c r="A2206">
        <f t="shared" si="102"/>
        <v>2205</v>
      </c>
      <c r="B2206" t="str" cm="1">
        <f t="array" ref="B2206">INDEX('Enriched Data'!C:C,A2206+1)</f>
        <v>Advanced Refreshments of Michigan</v>
      </c>
      <c r="C2206" s="11" cm="1">
        <f t="array" ref="C2206">INDEX('Enriched Data'!G:G,A2206+1)</f>
        <v>159</v>
      </c>
      <c r="D2206" s="11">
        <f t="shared" si="103"/>
        <v>935558686.54000032</v>
      </c>
      <c r="E2206" s="10">
        <f t="shared" si="104"/>
        <v>0.99999740504392187</v>
      </c>
    </row>
    <row r="2207" spans="1:5">
      <c r="A2207">
        <f t="shared" si="102"/>
        <v>2206</v>
      </c>
      <c r="B2207" t="str" cm="1">
        <f t="array" ref="B2207">INDEX('Enriched Data'!C:C,A2207+1)</f>
        <v>SNT Solutions</v>
      </c>
      <c r="C2207" s="11" cm="1">
        <f t="array" ref="C2207">INDEX('Enriched Data'!G:G,A2207+1)</f>
        <v>158.13</v>
      </c>
      <c r="D2207" s="11">
        <f t="shared" si="103"/>
        <v>935558844.67000031</v>
      </c>
      <c r="E2207" s="10">
        <f t="shared" si="104"/>
        <v>0.99999757406548284</v>
      </c>
    </row>
    <row r="2208" spans="1:5">
      <c r="A2208">
        <f t="shared" si="102"/>
        <v>2207</v>
      </c>
      <c r="B2208" t="str" cm="1">
        <f t="array" ref="B2208">INDEX('Enriched Data'!C:C,A2208+1)</f>
        <v>Maine Oxy Acetylene Supply Co.</v>
      </c>
      <c r="C2208" s="11" cm="1">
        <f t="array" ref="C2208">INDEX('Enriched Data'!G:G,A2208+1)</f>
        <v>157.13</v>
      </c>
      <c r="D2208" s="11">
        <f t="shared" si="103"/>
        <v>935559001.80000031</v>
      </c>
      <c r="E2208" s="10">
        <f t="shared" si="104"/>
        <v>0.99999774201816671</v>
      </c>
    </row>
    <row r="2209" spans="1:5">
      <c r="A2209">
        <f t="shared" si="102"/>
        <v>2208</v>
      </c>
      <c r="B2209" t="str" cm="1">
        <f t="array" ref="B2209">INDEX('Enriched Data'!C:C,A2209+1)</f>
        <v>Overhead Door Co of Shreveport</v>
      </c>
      <c r="C2209" s="11" cm="1">
        <f t="array" ref="C2209">INDEX('Enriched Data'!G:G,A2209+1)</f>
        <v>153.44</v>
      </c>
      <c r="D2209" s="11">
        <f t="shared" si="103"/>
        <v>935559155.24000037</v>
      </c>
      <c r="E2209" s="10">
        <f t="shared" si="104"/>
        <v>0.99999790602669347</v>
      </c>
    </row>
    <row r="2210" spans="1:5">
      <c r="A2210">
        <f t="shared" si="102"/>
        <v>2209</v>
      </c>
      <c r="B2210" t="str" cm="1">
        <f t="array" ref="B2210">INDEX('Enriched Data'!C:C,A2210+1)</f>
        <v>Southeast Industrial Equipment, Inc.</v>
      </c>
      <c r="C2210" s="11" cm="1">
        <f t="array" ref="C2210">INDEX('Enriched Data'!G:G,A2210+1)</f>
        <v>150.47</v>
      </c>
      <c r="D2210" s="11">
        <f t="shared" si="103"/>
        <v>935559305.7100004</v>
      </c>
      <c r="E2210" s="10">
        <f t="shared" si="104"/>
        <v>0.99999806686065473</v>
      </c>
    </row>
    <row r="2211" spans="1:5">
      <c r="A2211">
        <f t="shared" si="102"/>
        <v>2210</v>
      </c>
      <c r="B2211" t="str" cm="1">
        <f t="array" ref="B2211">INDEX('Enriched Data'!C:C,A2211+1)</f>
        <v>NYC Dept Of Finance-3600</v>
      </c>
      <c r="C2211" s="11" cm="1">
        <f t="array" ref="C2211">INDEX('Enriched Data'!G:G,A2211+1)</f>
        <v>150</v>
      </c>
      <c r="D2211" s="11">
        <f t="shared" si="103"/>
        <v>935559455.7100004</v>
      </c>
      <c r="E2211" s="10">
        <f t="shared" si="104"/>
        <v>0.99999822719224363</v>
      </c>
    </row>
    <row r="2212" spans="1:5">
      <c r="A2212">
        <f t="shared" si="102"/>
        <v>2211</v>
      </c>
      <c r="B2212" t="str" cm="1">
        <f t="array" ref="B2212">INDEX('Enriched Data'!C:C,A2212+1)</f>
        <v>Terminix Commercial</v>
      </c>
      <c r="C2212" s="11" cm="1">
        <f t="array" ref="C2212">INDEX('Enriched Data'!G:G,A2212+1)</f>
        <v>134.38999999999999</v>
      </c>
      <c r="D2212" s="11">
        <f t="shared" si="103"/>
        <v>935559590.10000038</v>
      </c>
      <c r="E2212" s="10">
        <f t="shared" si="104"/>
        <v>0.9999983708386585</v>
      </c>
    </row>
    <row r="2213" spans="1:5">
      <c r="A2213">
        <f t="shared" si="102"/>
        <v>2212</v>
      </c>
      <c r="B2213" t="str" cm="1">
        <f t="array" ref="B2213">INDEX('Enriched Data'!C:C,A2213+1)</f>
        <v>Missouri Dept of Agiculture, Weights, Measures and Comsumer</v>
      </c>
      <c r="C2213" s="11" cm="1">
        <f t="array" ref="C2213">INDEX('Enriched Data'!G:G,A2213+1)</f>
        <v>134</v>
      </c>
      <c r="D2213" s="11">
        <f t="shared" si="103"/>
        <v>935559724.10000038</v>
      </c>
      <c r="E2213" s="10">
        <f t="shared" si="104"/>
        <v>0.99999851406821139</v>
      </c>
    </row>
    <row r="2214" spans="1:5">
      <c r="A2214">
        <f t="shared" si="102"/>
        <v>2213</v>
      </c>
      <c r="B2214" t="str" cm="1">
        <f t="array" ref="B2214">INDEX('Enriched Data'!C:C,A2214+1)</f>
        <v>Spectora, Inc.</v>
      </c>
      <c r="C2214" s="11" cm="1">
        <f t="array" ref="C2214">INDEX('Enriched Data'!G:G,A2214+1)</f>
        <v>132.22</v>
      </c>
      <c r="D2214" s="11">
        <f t="shared" si="103"/>
        <v>935559856.32000041</v>
      </c>
      <c r="E2214" s="10">
        <f t="shared" si="104"/>
        <v>0.99999865539516264</v>
      </c>
    </row>
    <row r="2215" spans="1:5">
      <c r="A2215">
        <f t="shared" si="102"/>
        <v>2214</v>
      </c>
      <c r="B2215" t="str" cm="1">
        <f t="array" ref="B2215">INDEX('Enriched Data'!C:C,A2215+1)</f>
        <v>Occup Health Ctrs of Kansas, P.A.</v>
      </c>
      <c r="C2215" s="11" cm="1">
        <f t="array" ref="C2215">INDEX('Enriched Data'!G:G,A2215+1)</f>
        <v>131</v>
      </c>
      <c r="D2215" s="11">
        <f t="shared" si="103"/>
        <v>935559987.32000041</v>
      </c>
      <c r="E2215" s="10">
        <f t="shared" si="104"/>
        <v>0.99999879541808367</v>
      </c>
    </row>
    <row r="2216" spans="1:5">
      <c r="A2216">
        <f t="shared" si="102"/>
        <v>2215</v>
      </c>
      <c r="B2216" t="str" cm="1">
        <f t="array" ref="B2216">INDEX('Enriched Data'!C:C,A2216+1)</f>
        <v>Appalachian Power-#023-479-215-1-8</v>
      </c>
      <c r="C2216" s="11" cm="1">
        <f t="array" ref="C2216">INDEX('Enriched Data'!G:G,A2216+1)</f>
        <v>129.5</v>
      </c>
      <c r="D2216" s="11">
        <f t="shared" si="103"/>
        <v>935560116.82000041</v>
      </c>
      <c r="E2216" s="10">
        <f t="shared" si="104"/>
        <v>0.99999893383768879</v>
      </c>
    </row>
    <row r="2217" spans="1:5">
      <c r="A2217">
        <f t="shared" si="102"/>
        <v>2216</v>
      </c>
      <c r="B2217" t="str" cm="1">
        <f t="array" ref="B2217">INDEX('Enriched Data'!C:C,A2217+1)</f>
        <v>Paylode, Inc.</v>
      </c>
      <c r="C2217" s="11" cm="1">
        <f t="array" ref="C2217">INDEX('Enriched Data'!G:G,A2217+1)</f>
        <v>126.79</v>
      </c>
      <c r="D2217" s="11">
        <f t="shared" si="103"/>
        <v>935560243.61000037</v>
      </c>
      <c r="E2217" s="10">
        <f t="shared" si="104"/>
        <v>0.99999906936063643</v>
      </c>
    </row>
    <row r="2218" spans="1:5">
      <c r="A2218">
        <f t="shared" si="102"/>
        <v>2217</v>
      </c>
      <c r="B2218" t="str" cm="1">
        <f t="array" ref="B2218">INDEX('Enriched Data'!C:C,A2218+1)</f>
        <v>The Bug Man, Inc.</v>
      </c>
      <c r="C2218" s="11" cm="1">
        <f t="array" ref="C2218">INDEX('Enriched Data'!G:G,A2218+1)</f>
        <v>125</v>
      </c>
      <c r="D2218" s="11">
        <f t="shared" si="103"/>
        <v>935560368.61000037</v>
      </c>
      <c r="E2218" s="10">
        <f t="shared" si="104"/>
        <v>0.99999920297029388</v>
      </c>
    </row>
    <row r="2219" spans="1:5">
      <c r="A2219">
        <f t="shared" si="102"/>
        <v>2218</v>
      </c>
      <c r="B2219" t="str" cm="1">
        <f t="array" ref="B2219">INDEX('Enriched Data'!C:C,A2219+1)</f>
        <v>Buckeye Plumbing Inc.</v>
      </c>
      <c r="C2219" s="11" cm="1">
        <f t="array" ref="C2219">INDEX('Enriched Data'!G:G,A2219+1)</f>
        <v>125</v>
      </c>
      <c r="D2219" s="11">
        <f t="shared" si="103"/>
        <v>935560493.61000037</v>
      </c>
      <c r="E2219" s="10">
        <f t="shared" si="104"/>
        <v>0.99999933657995133</v>
      </c>
    </row>
    <row r="2220" spans="1:5">
      <c r="A2220">
        <f t="shared" si="102"/>
        <v>2219</v>
      </c>
      <c r="B2220" t="str" cm="1">
        <f t="array" ref="B2220">INDEX('Enriched Data'!C:C,A2220+1)</f>
        <v>Lori Folco dba Rhode Island Cross Connection Control</v>
      </c>
      <c r="C2220" s="11" cm="1">
        <f t="array" ref="C2220">INDEX('Enriched Data'!G:G,A2220+1)</f>
        <v>110</v>
      </c>
      <c r="D2220" s="11">
        <f t="shared" si="103"/>
        <v>935560603.61000037</v>
      </c>
      <c r="E2220" s="10">
        <f t="shared" si="104"/>
        <v>0.99999945415644986</v>
      </c>
    </row>
    <row r="2221" spans="1:5">
      <c r="A2221">
        <f t="shared" si="102"/>
        <v>2220</v>
      </c>
      <c r="B2221" t="str" cm="1">
        <f t="array" ref="B2221">INDEX('Enriched Data'!C:C,A2221+1)</f>
        <v>One Point Solutions</v>
      </c>
      <c r="C2221" s="11" cm="1">
        <f t="array" ref="C2221">INDEX('Enriched Data'!G:G,A2221+1)</f>
        <v>105.67</v>
      </c>
      <c r="D2221" s="11">
        <f t="shared" si="103"/>
        <v>935560709.28000033</v>
      </c>
      <c r="E2221" s="10">
        <f t="shared" si="104"/>
        <v>0.99999956710470983</v>
      </c>
    </row>
    <row r="2222" spans="1:5">
      <c r="A2222">
        <f t="shared" si="102"/>
        <v>2221</v>
      </c>
      <c r="B2222" t="str" cm="1">
        <f t="array" ref="B2222">INDEX('Enriched Data'!C:C,A2222+1)</f>
        <v>Fire Safety First, LLC</v>
      </c>
      <c r="C2222" s="11" cm="1">
        <f t="array" ref="C2222">INDEX('Enriched Data'!G:G,A2222+1)</f>
        <v>105</v>
      </c>
      <c r="D2222" s="11">
        <f t="shared" si="103"/>
        <v>935560814.28000033</v>
      </c>
      <c r="E2222" s="10">
        <f t="shared" si="104"/>
        <v>0.9999996793368221</v>
      </c>
    </row>
    <row r="2223" spans="1:5">
      <c r="A2223">
        <f t="shared" si="102"/>
        <v>2222</v>
      </c>
      <c r="B2223" t="str" cm="1">
        <f t="array" ref="B2223">INDEX('Enriched Data'!C:C,A2223+1)</f>
        <v>Chantez Dickerson</v>
      </c>
      <c r="C2223" s="11" cm="1">
        <f t="array" ref="C2223">INDEX('Enriched Data'!G:G,A2223+1)</f>
        <v>100</v>
      </c>
      <c r="D2223" s="11">
        <f t="shared" si="103"/>
        <v>935560914.28000033</v>
      </c>
      <c r="E2223" s="10">
        <f t="shared" si="104"/>
        <v>0.9999997862245481</v>
      </c>
    </row>
    <row r="2224" spans="1:5">
      <c r="A2224">
        <f t="shared" si="102"/>
        <v>2223</v>
      </c>
      <c r="B2224" t="str" cm="1">
        <f t="array" ref="B2224">INDEX('Enriched Data'!C:C,A2224+1)</f>
        <v>Thomas Asselin</v>
      </c>
      <c r="C2224" s="11" cm="1">
        <f t="array" ref="C2224">INDEX('Enriched Data'!G:G,A2224+1)</f>
        <v>100</v>
      </c>
      <c r="D2224" s="11">
        <f t="shared" si="103"/>
        <v>935561014.28000033</v>
      </c>
      <c r="E2224" s="10">
        <f t="shared" si="104"/>
        <v>0.999999893112274</v>
      </c>
    </row>
    <row r="2225" spans="1:5">
      <c r="A2225">
        <f t="shared" si="102"/>
        <v>2224</v>
      </c>
      <c r="B2225" t="str" cm="1">
        <f t="array" ref="B2225">INDEX('Enriched Data'!C:C,A2225+1)</f>
        <v>Kelly Dukes</v>
      </c>
      <c r="C2225" s="11" cm="1">
        <f t="array" ref="C2225">INDEX('Enriched Data'!G:G,A2225+1)</f>
        <v>100</v>
      </c>
      <c r="D2225" s="11">
        <f t="shared" si="103"/>
        <v>935561114.28000033</v>
      </c>
      <c r="E2225" s="10">
        <f t="shared" si="10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2026-04-07T13:13:14Z</dcterms:created>
  <dcterms:modified xsi:type="dcterms:W3CDTF">2026-05-13T05:26:41Z</dcterms:modified>
  <cp:category/>
  <cp:contentStatus/>
</cp:coreProperties>
</file>